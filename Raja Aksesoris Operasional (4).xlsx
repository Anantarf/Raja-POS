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k Fisik" sheetId="1" r:id="rId5"/>
    <sheet state="visible" name="Stok Digital" sheetId="2" r:id="rId6"/>
    <sheet state="visible" name="Input Produk Baru" sheetId="3" r:id="rId7"/>
    <sheet state="visible" name="Input Saldo" sheetId="4" r:id="rId8"/>
    <sheet state="visible" name="Saldo" sheetId="5" r:id="rId9"/>
    <sheet state="visible" name="Transaksi Harian" sheetId="6" r:id="rId10"/>
    <sheet state="visible" name="Saldo (Transaksi)" sheetId="7" r:id="rId11"/>
    <sheet state="visible" name="Laporan Harian" sheetId="8" r:id="rId12"/>
    <sheet state="visible" name="Laporan Bulanan" sheetId="9" r:id="rId13"/>
    <sheet state="hidden" name="Form Responses 1" sheetId="10" r:id="rId14"/>
    <sheet state="visible" name="Master_Dropdown" sheetId="11" r:id="rId15"/>
  </sheets>
  <definedNames>
    <definedName hidden="1" localSheetId="1" name="_xlnm._FilterDatabase">'Stok Digital'!$A$1:$J$1997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8">
      <text>
        <t xml:space="preserve">{"version":1,"syncedAt":"2026-07-19T03:26:54.274Z","produkKode":"RJA-AXIS-0001","produkNama":"AXIS AIGO MINI - 3 GB + BONUS 7 HARI","produkTipe":"Digital","qty":1,"hargaModal":13130,"hargaJual":15000,"akunPembayaran":"","akunModal":"MULTI","totalModal":13130,"totalPenjualan":0}</t>
      </text>
    </comment>
    <comment authorId="0" ref="L75">
      <text>
        <t xml:space="preserve">{"version":1,"syncedAt":"2026-07-19T03:26:54.274Z","produkKode":"RJA-AXIS-0033","produkNama":"AXIS PULSA - 25000","produkTipe":"Digital","qty":1,"hargaModal":25069,"hargaJual":27500,"akunPembayaran":"","akunModal":"MULTI","totalModal":25069,"totalPenjualan":0}</t>
      </text>
    </comment>
    <comment authorId="0" ref="L42">
      <text>
        <t xml:space="preserve">{"version":1,"syncedAt":"2026-07-17T11:53:42.585Z","produkKode":"RJA-KBD-0015","produkNama":"ROBOT Data Cable RGM100S colorful","produkTipe":"Fisik","qty":1,"hargaModal":10300,"hargaJual":20000,"akunPembayaran":"","akunModal":"","totalModal":0,"totalPenjualan":0}</t>
      </text>
    </comment>
    <comment authorId="0" ref="L133">
      <text>
        <t xml:space="preserve">{"version":1,"syncedAt":"2026-07-19T07:29:50.414Z","produkKode":"RJA-BY-0010","produkNama":"BY U BULANAN - 11 GB 30 HARI","produkTipe":"Digital","qty":1,"hargaModal":45500,"hargaJual":50000,"akunPembayaran":"","akunModal":"MULTI","totalModal":45500,"totalPenjualan":0}</t>
      </text>
    </comment>
    <comment authorId="0" ref="L100">
      <text>
        <t xml:space="preserve">{"version":1,"syncedAt":"2026-07-19T03:26:54.274Z","produkKode":"RJA-BANK-0002","produkNama":"BANK MAS - 200.1K - 500K","produkTipe":"Digital","qty":1,"hargaModal":400000,"hargaJual":407500,"akunPembayaran":"","akunModal":"BANK MAS","totalModal":400000,"totalPenjualan":0}</t>
      </text>
    </comment>
    <comment authorId="0" ref="L67">
      <text>
        <t xml:space="preserve">{"version":1,"syncedAt":"2026-07-19T03:26:54.273Z","produkKode":"RJA-BANK-0003","produkNama":"BANK MAS - 500.1K - 1000K","produkTipe":"Digital","qty":1,"hargaModal":700000,"hargaJual":710000,"akunPembayaran":"","akunModal":"BANK MAS","totalModal":700000,"totalPenjualan":0}</t>
      </text>
    </comment>
    <comment authorId="0" ref="L125">
      <text>
        <t xml:space="preserve">{"version":1,"syncedAt":"2026-07-19T06:20:20.536Z","produkKode":"RJA-INDOSAT-0049","produkNama":"INDOSAT MINI NASIONAL - FREEDOM MINI 5 GB 5 HARI","produkTipe":"Digital","qty":1,"hargaModal":14575,"hargaJual":17000,"akunPembayaran":"","akunModal":"MULTI","totalModal":14575,"totalPenjualan":0}</t>
      </text>
    </comment>
    <comment authorId="0" ref="L92">
      <text>
        <t xml:space="preserve">{"version":1,"syncedAt":"2026-07-19T03:26:54.274Z","produkKode":"RJA-GOPAY-0002","produkNama":"GOPAY TOP UP - 51K - 99K","produkTipe":"Digital","qty":1,"hargaModal":61005,"hargaJual":64000,"akunPembayaran":"","akunModal":"MULTI","totalModal":61005,"totalPenjualan":0}</t>
      </text>
    </comment>
    <comment authorId="0" ref="L59">
      <text>
        <t xml:space="preserve">{"version":1,"syncedAt":"2026-07-17T11:53:42.585Z","produkKode":"RJA-KBD-0017","produkNama":"ROBOT Data Cable RGL100S colorful","produkTipe":"Fisik","qty":1,"hargaModal":15000,"hargaJual":25000,"akunPembayaran":"QRIS","akunModal":"","totalModal":0,"totalPenjualan":25000}</t>
      </text>
    </comment>
    <comment authorId="0" ref="L150">
      <text>
        <t xml:space="preserve">{"version":1,"syncedAt":"2026-07-19T12:17:27.406Z","produkKode":"RJA-DANA-0002","produkNama":"DANA TOP UP - 100K - 200K","produkTipe":"Digital","qty":1,"hargaModal":100000,"hargaJual":105000,"akunPembayaran":"","akunModal":"DANA","totalModal":100000,"totalPenjualan":0}</t>
      </text>
    </comment>
    <comment authorId="0" ref="L117">
      <text>
        <t xml:space="preserve">{"version":1,"syncedAt":"2026-07-19T04:05:24.443Z","produkKode":"RJA-PUL-0016","produkNama":"VC T-sel 4 GB 5 hari","produkTipe":"Fisik","qty":1,"hargaModal":12800,"hargaJual":15500,"akunPembayaran":"","akunModal":"","totalModal":0,"totalPenjualan":0}</t>
      </text>
    </comment>
    <comment authorId="0" ref="L84">
      <text>
        <t xml:space="preserve">{"version":1,"syncedAt":"2026-07-19T03:26:54.274Z","produkKode":"RJA-TARIK-0001","produkNama":"TARIK TUNAI - 10K - 200K","produkTipe":"Digital","qty":1,"hargaModal":0,"hargaJual":3000,"akunPembayaran":"","akunModal":"","totalModal":0,"totalPenjualan":0}</t>
      </text>
    </comment>
    <comment authorId="0" ref="L51">
      <text>
        <t xml:space="preserve">{"version":1,"syncedAt":"2026-07-17T11:53:42.585Z","produkKode":"RJA-AKS-0007","produkNama":"KANTONG HP WATER PROOF BENING/WARNA","produkTipe":"Fisik","qty":1,"hargaModal":2500,"hargaJual":10000,"akunPembayaran":"","akunModal":"","totalModal":0,"totalPenjualan":0}</t>
      </text>
    </comment>
    <comment authorId="0" ref="L142">
      <text>
        <t xml:space="preserve">{"version":1,"syncedAt":"2026-07-19T09:47:54.290Z","produkKode":"RJA-PUL-0021","produkNama":"VC Three 3,5 GB 3 hari","produkTipe":"Fisik","qty":1,"hargaModal":11700,"hargaJual":14000,"akunPembayaran":"","akunModal":"","totalModal":0,"totalPenjualan":0}</t>
      </text>
    </comment>
    <comment authorId="0" ref="L76">
      <text>
        <t xml:space="preserve">{"version":1,"syncedAt":"2026-07-19T03:26:54.274Z","produkKode":"RJA-INDOSAT-0045","produkNama":"INDOSAT MINI NASIONAL - FREEDOM MINI 3.5 GB 3 HARI","produkTipe":"Digital","qty":1,"hargaModal":11888,"hargaJual":15000,"akunPembayaran":"","akunModal":"MULTI","totalModal":11888,"totalPenjualan":0}</t>
      </text>
    </comment>
    <comment authorId="0" ref="L43">
      <text>
        <t xml:space="preserve">{"version":1,"syncedAt":"2026-07-17T11:53:42.585Z","produkKode":"","produkNama":"TARIK TUNAI - 10K - 200K","produkTipe":"Digital","qty":1,"hargaModal":100000,"hargaJual":100000,"akunPembayaran":"QRIS","akunModal":"","totalModal":0,"totalPenjualan":100000}</t>
      </text>
    </comment>
    <comment authorId="0" ref="L134">
      <text>
        <t xml:space="preserve">{"version":1,"syncedAt":"2026-07-19T07:29:50.414Z","produkKode":"RJA-PUL-0017","produkNama":"VC T-sel 9 GB 7 hari","produkTipe":"Fisik","qty":1,"hargaModal":27400,"hargaJual":30000,"akunPembayaran":"","akunModal":"","totalModal":0,"totalPenjualan":0}</t>
      </text>
    </comment>
    <comment authorId="0" ref="L101">
      <text>
        <t xml:space="preserve">{"version":1,"syncedAt":"2026-07-19T03:26:54.274Z","produkKode":"RJA-BANK-0003","produkNama":"BANK MAS - 500.1K - 1000K","produkTipe":"Digital","qty":1,"hargaModal":900000,"hargaJual":910000,"akunPembayaran":"","akunModal":"BANK MAS","totalModal":900000,"totalPenjualan":0}</t>
      </text>
    </comment>
    <comment authorId="0" ref="L68">
      <text>
        <t xml:space="preserve">{"version":1,"syncedAt":"2026-07-19T03:26:54.273Z","produkKode":"RJA-BANK-0001","produkNama":"BANK MAS - 10K - 200K","produkTipe":"Digital","qty":1,"hargaModal":150000,"hargaJual":155000,"akunPembayaran":"","akunModal":"BANK MAS","totalModal":150000,"totalPenjualan":0}</t>
      </text>
    </comment>
    <comment authorId="0" ref="L126">
      <text>
        <t xml:space="preserve">{"version":1,"syncedAt":"2026-07-19T06:20:20.536Z","produkKode":"RJA-DANA-0004","produkNama":"DANA TOP UP - 500K - 1000K","produkTipe":"Digital","qty":1,"hargaModal":700000,"hargaJual":710000,"akunPembayaran":"","akunModal":"DANA","totalModal":700000,"totalPenjualan":0}</t>
      </text>
    </comment>
    <comment authorId="0" ref="L93">
      <text>
        <t xml:space="preserve">{"version":1,"syncedAt":"2026-07-19T03:26:54.274Z","produkKode":"RJA-GOPAY-0001","produkNama":"GOPAY TOP UP - 10K - 50K","produkTipe":"Digital","qty":1,"hargaModal":5825,"hargaJual":8000,"akunPembayaran":"","akunModal":"MULTI","totalModal":5825,"totalPenjualan":0}</t>
      </text>
    </comment>
    <comment authorId="0" ref="L60">
      <text>
        <t xml:space="preserve">{"version":1,"syncedAt":"2026-07-17T11:53:42.585Z","produkKode":"","produkNama":"DANA TOP UP - 10K - 99K","produkTipe":"Digital","qty":1,"hargaModal":50000,"hargaJual":53000,"akunPembayaran":"","akunModal":"DANA","totalModal":50000,"totalPenjualan":0}</t>
      </text>
    </comment>
    <comment authorId="0" ref="L151">
      <text>
        <t xml:space="preserve">{"version":1,"syncedAt":"2026-07-19T12:17:27.406Z","produkKode":"RJA-TEM-0015","produkNama":"VIVAN VSP03X BASIC2 Anti-glare Front Film For Phone","produkTipe":"Fisik","qty":1,"hargaModal":14500,"hargaJual":30000,"akunPembayaran":"","akunModal":"","totalModal":0,"totalPenjualan":0}</t>
      </text>
    </comment>
    <comment authorId="0" ref="L118">
      <text>
        <t xml:space="preserve">{"version":1,"syncedAt":"2026-07-19T04:05:24.443Z","produkKode":"RJA-PUL-0015","produkNama":"Smart 6 GB 7 hari","produkTipe":"Fisik","qty":1,"hargaModal":15150,"hargaJual":17500,"akunPembayaran":"","akunModal":"","totalModal":0,"totalPenjualan":0}</t>
      </text>
    </comment>
    <comment authorId="0" ref="L85">
      <text>
        <t xml:space="preserve">{"version":1,"syncedAt":"2026-07-19T03:26:54.274Z","produkKode":"RJA-WAHANA-0001","produkNama":"WAHANA - VOUCHER","produkTipe":"Digital","qty":1,"hargaModal":7500,"hargaJual":10000,"akunPembayaran":"","akunModal":"WAHANA","totalModal":7500,"totalPenjualan":0}</t>
      </text>
    </comment>
    <comment authorId="0" ref="L52">
      <text>
        <t xml:space="preserve">{"version":1,"syncedAt":"2026-07-17T11:53:42.585Z","produkKode":"RJA-AKS-0007","produkNama":"KANTONG HP WATER PROOF BENING/WARNA","produkTipe":"Fisik","qty":1,"hargaModal":2500,"hargaJual":10000,"akunPembayaran":"","akunModal":"","totalModal":0,"totalPenjualan":0}</t>
      </text>
    </comment>
    <comment authorId="0" ref="L143">
      <text>
        <t xml:space="preserve">{"version":1,"syncedAt":"2026-07-19T11:31:18.586Z","produkKode":"RJA-DANA-0001","produkNama":"DANA TOP UP - 10K - 99K","produkTipe":"Digital","qty":1,"hargaModal":50000,"hargaJual":53000,"akunPembayaran":"","akunModal":"DANA","totalModal":50000,"totalPenjualan":0}</t>
      </text>
    </comment>
    <comment authorId="0" ref="L110">
      <text>
        <t xml:space="preserve">{"version":1,"syncedAt":"2026-07-19T03:26:54.274Z","produkKode":"RJA-PUL-0018","produkNama":"VC T sell 6 Gb 2 hari","produkTipe":"Fisik","qty":1,"hargaModal":10375,"hargaJual":12500,"akunPembayaran":"","akunModal":"","totalModal":0,"totalPenjualan":0}</t>
      </text>
    </comment>
    <comment authorId="0" ref="L77">
      <text>
        <t xml:space="preserve">{"version":1,"syncedAt":"2026-07-19T03:26:54.274Z","produkKode":"RJA-TELKOMSEL-0003","produkNama":"TELKOMSEL FLASH - 2 GB NASIONAL 30 HARI","produkTipe":"Digital","qty":1,"hargaModal":22291,"hargaJual":25000,"akunPembayaran":"","akunModal":"MULTI","totalModal":22291,"totalPenjualan":0}</t>
      </text>
    </comment>
    <comment authorId="0" ref="L135">
      <text>
        <t xml:space="preserve">{"version":1,"syncedAt":"2026-07-19T07:29:50.414Z","produkKode":"RJA-BANK-0003","produkNama":"BANK MAS - 500.1K - 1000K","produkTipe":"Digital","qty":1,"hargaModal":1000000,"hargaJual":1010000,"akunPembayaran":"","akunModal":"BANK MAS","totalModal":1000000,"totalPenjualan":0}</t>
      </text>
    </comment>
    <comment authorId="0" ref="L102">
      <text>
        <t xml:space="preserve">{"version":1,"syncedAt":"2026-07-19T03:26:54.274Z","produkKode":"RJA-PUL-0027","produkNama":"VC XL S 4,5 GB 7 HR","produkTipe":"Fisik","qty":1,"hargaModal":17700,"hargaJual":20000,"akunPembayaran":"","akunModal":"","totalModal":0,"totalPenjualan":0}</t>
      </text>
    </comment>
    <comment authorId="0" ref="L69">
      <text>
        <t xml:space="preserve">{"version":1,"syncedAt":"2026-07-19T03:26:54.273Z","produkKode":"RJA-PLN-0003","produkNama":"PLN Token Pra-bayar - 50 RIBU","produkTipe":"Digital","qty":1,"hargaModal":51795,"hargaJual":54000,"akunPembayaran":"","akunModal":"MULTI","totalModal":51795,"totalPenjualan":0}</t>
      </text>
    </comment>
    <comment authorId="0" ref="L127">
      <text>
        <t xml:space="preserve">{"version":1,"syncedAt":"2026-07-19T06:20:20.536Z","produkKode":"RJA-THREE-0022","produkNama":"THREE HAPPY 3 HARI - 5 GB ALL + 2 GB BONUS 3 HARI","produkTipe":"Digital","qty":1,"hargaModal":12690,"hargaJual":15000,"akunPembayaran":"","akunModal":"MULTI","totalModal":12690,"totalPenjualan":0}</t>
      </text>
    </comment>
    <comment authorId="0" ref="L94">
      <text>
        <t xml:space="preserve">{"version":1,"syncedAt":"2026-07-19T03:26:54.274Z","produkKode":"RJA-BANK-0002","produkNama":"BANK MAS - 200.1K - 500K","produkTipe":"Digital","qty":1,"hargaModal":500000,"hargaJual":510000,"akunPembayaran":"","akunModal":"BANK MAS","totalModal":500000,"totalPenjualan":0}</t>
      </text>
    </comment>
    <comment authorId="0" ref="L119">
      <text>
        <t xml:space="preserve">{"version":1,"syncedAt":"2026-07-19T04:05:24.443Z","produkKode":"RJA-DANA-0001","produkNama":"DANA TOP UP - 10K - 99K","produkTipe":"Digital","qty":1,"hargaModal":15000,"hargaJual":18000,"akunPembayaran":"","akunModal":"DANA","totalModal":15000,"totalPenjualan":0}</t>
      </text>
    </comment>
    <comment authorId="0" ref="L86">
      <text>
        <t xml:space="preserve">{"version":1,"syncedAt":"2026-07-19T03:26:54.274Z","produkKode":"RJA-BANK-0002","produkNama":"BANK MAS - 200.1K - 500K","produkTipe":"Digital","qty":1,"hargaModal":500000,"hargaJual":510000,"akunPembayaran":"","akunModal":"BANK MAS","totalModal":500000,"totalPenjualan":0}</t>
      </text>
    </comment>
    <comment authorId="0" ref="L53">
      <text>
        <t xml:space="preserve">{"version":1,"syncedAt":"2026-07-17T11:53:42.585Z","produkKode":"","produkNama":"BANK MAS - 500.1K - 1000K","produkTipe":"Digital","qty":1,"hargaModal":1000000,"hargaJual":1010000,"akunPembayaran":"","akunModal":"BANK MAS","totalModal":1000000,"totalPenjualan":0}</t>
      </text>
    </comment>
    <comment authorId="0" ref="L144">
      <text>
        <t xml:space="preserve">{"version":1,"syncedAt":"2026-07-19T11:31:18.586Z","produkKode":"RJA-PUL-0001","produkNama":"VC Axis 3 GB 3 hari","produkTipe":"Fisik","qty":1,"hargaModal":9750,"hargaJual":12000,"akunPembayaran":"","akunModal":"","totalModal":0,"totalPenjualan":0}</t>
      </text>
    </comment>
    <comment authorId="0" ref="L111">
      <text>
        <t xml:space="preserve">{"version":1,"syncedAt":"2026-07-19T03:26:54.274Z","produkKode":"RJA-PLN-0005","produkNama":"PLN Token Pra-bayar - 200 RIBU","produkTipe":"Digital","qty":1,"hargaModal":201740,"hargaJual":207000,"akunPembayaran":"","akunModal":"MULTI","totalModal":201740,"totalPenjualan":0}</t>
      </text>
    </comment>
    <comment authorId="0" ref="L78">
      <text>
        <t xml:space="preserve">{"version":1,"syncedAt":"2026-07-19T03:26:54.274Z","produkKode":"RJA-TELKOMSEL-0084","produkNama":"TELKOMSEL PULSA - 85000","produkTipe":"Digital","qty":1,"hargaModal":83976,"hargaJual":87000,"akunPembayaran":"","akunModal":"MULTI","totalModal":83976,"totalPenjualan":0}</t>
      </text>
    </comment>
    <comment authorId="0" ref="L45">
      <text>
        <t xml:space="preserve">{"version":1,"syncedAt":"2026-07-17T11:53:42.585Z","produkKode":"","produkNama":"TARIK TUNAI - 10K - 200K","produkTipe":"Digital","qty":1,"hargaModal":0,"hargaJual":3000,"akunPembayaran":"","akunModal":"","totalModal":0,"totalPenjualan":0}</t>
      </text>
    </comment>
    <comment authorId="0" ref="L136">
      <text>
        <t xml:space="preserve">{"version":1,"syncedAt":"2026-07-19T07:29:50.414Z","produkKode":"RJA-PUL-0025","produkNama":"VC XL L 3 HARI (6 Gb)","produkTipe":"Fisik","qty":1,"hargaModal":14925,"hargaJual":17000,"akunPembayaran":"","akunModal":"","totalModal":0,"totalPenjualan":0}</t>
      </text>
    </comment>
    <comment authorId="0" ref="L103">
      <text>
        <t xml:space="preserve">{"version":1,"syncedAt":"2026-07-19T03:26:54.274Z","produkKode":"RJA-KBD-0078","produkNama":"KABEL DATA OLIKE D309BC TYPE C","produkTipe":"Fisik","qty":1,"hargaModal":8250,"hargaJual":25000,"akunPembayaran":"","akunModal":"","totalModal":0,"totalPenjualan":0}</t>
      </text>
    </comment>
    <comment authorId="0" ref="L70">
      <text>
        <t xml:space="preserve">{"version":1,"syncedAt":"2026-07-19T03:26:54.273Z","produkKode":"RJA-TRC-0047","produkNama":"ROBOT Smart Phone Charger RT-K8S White","produkTipe":"Fisik","qty":1,"hargaModal":10550,"hargaJual":40000,"akunPembayaran":"","akunModal":"","totalModal":0,"totalPenjualan":0}</t>
      </text>
    </comment>
    <comment authorId="0" ref="L128">
      <text>
        <t xml:space="preserve">{"version":1,"syncedAt":"2026-07-19T06:20:20.536Z","produkKode":"RJA-BANK-0004","produkNama":"BANK MAS - 1000.1K - 2000K","produkTipe":"Digital","qty":1,"hargaModal":2000000,"hargaJual":2015000,"akunPembayaran":"","akunModal":"BANK MAS","totalModal":2000000,"totalPenjualan":0}</t>
      </text>
    </comment>
    <comment authorId="0" ref="L95">
      <text>
        <t xml:space="preserve">{"version":1,"syncedAt":"2026-07-19T03:26:54.274Z","produkKode":"RJA-BANK-0003","produkNama":"BANK MAS - 500.1K - 1000K","produkTipe":"Digital","qty":1,"hargaModal":510000,"hargaJual":520000,"akunPembayaran":"","akunModal":"BANK MAS","totalModal":510000,"totalPenjualan":0}</t>
      </text>
    </comment>
    <comment authorId="0" ref="L120">
      <text>
        <t xml:space="preserve">{"version":1,"syncedAt":"2026-07-19T04:05:24.444Z","produkKode":"RJA-INDOSAT-0051","produkNama":"INDOSAT MINI NASIONAL - FREEDOM MINI 9 GB 5 HARI","produkTipe":"Digital","qty":1,"hargaModal":17215,"hargaJual":20000,"akunPembayaran":"QRIS","akunModal":"MULTI","totalModal":17215,"totalPenjualan":20000}</t>
      </text>
    </comment>
    <comment authorId="0" ref="L87">
      <text>
        <t xml:space="preserve">{"version":1,"syncedAt":"2026-07-19T03:26:54.274Z","produkKode":"RJA-DANA-0001","produkNama":"DANA TOP UP - 10K - 99K","produkTipe":"Digital","qty":1,"hargaModal":30000,"hargaJual":33000,"akunPembayaran":"","akunModal":"DANA","totalModal":30000,"totalPenjualan":0}</t>
      </text>
    </comment>
    <comment authorId="0" ref="L54">
      <text>
        <t xml:space="preserve">{"version":1,"syncedAt":"2026-07-17T11:53:42.585Z","produkKode":"RJA-KBD-0064","produkNama":"ROBOT Data Cable RCOC100 3A colorful","produkTipe":"Fisik","qty":1,"hargaModal":17000,"hargaJual":30000,"akunPembayaran":"","akunModal":"","totalModal":0,"totalPenjualan":0}</t>
      </text>
    </comment>
    <comment authorId="0" ref="L145">
      <text>
        <t xml:space="preserve">{"version":1,"syncedAt":"2026-07-19T11:31:18.586Z","produkKode":"RJA-INDOSAT-0010","produkNama":"INDOSAT FREEDOM 28 HR - 16 GB 28 HARI","produkTipe":"Digital","qty":1,"hargaModal":44450,"hargaJual":48000,"akunPembayaran":"","akunModal":"MULTI","totalModal":44450,"totalPenjualan":0}</t>
      </text>
    </comment>
    <comment authorId="0" ref="L112">
      <text>
        <t xml:space="preserve">{"version":1,"syncedAt":"2026-07-19T03:26:54.274Z","produkKode":"XL-0001","produkNama":"XL FLEX MINI 4-5 GB 7 HARI","produkTipe":"Digital","qty":1,"hargaModal":14725,"hargaJual":16000,"akunPembayaran":"","akunModal":"MULTI","totalModal":14725,"totalPenjualan":0}</t>
      </text>
    </comment>
    <comment authorId="0" ref="L79">
      <text>
        <t xml:space="preserve">{"version":1,"syncedAt":"2026-07-19T03:26:54.274Z","produkKode":"RJA-GOPAY-0001","produkNama":"GOPAY TOP UP - 10K - 50K","produkTipe":"Digital","qty":1,"hargaModal":51000,"hargaJual":53000,"akunPembayaran":"","akunModal":"MULTI","totalModal":51000,"totalPenjualan":0}</t>
      </text>
    </comment>
    <comment authorId="0" ref="L46">
      <text>
        <t xml:space="preserve">{"version":1,"syncedAt":"2026-07-17T11:53:42.585Z","produkKode":"","produkNama":"DANA TOP UP - 10K - 99K","produkTipe":"Digital","qty":1,"hargaModal":25000,"hargaJual":28000,"akunPembayaran":"","akunModal":"DANA","totalModal":25000,"totalPenjualan":0}</t>
      </text>
    </comment>
    <comment authorId="0" ref="L137">
      <text>
        <t xml:space="preserve">{"version":1,"syncedAt":"2026-07-19T09:47:54.290Z","produkKode":"RJA-BANK-0001","produkNama":"BANK MAS - 10K - 200K","produkTipe":"Digital","qty":1,"hargaModal":200000,"hargaJual":205000,"akunPembayaran":"","akunModal":"BANK MAS","totalModal":200000,"totalPenjualan":0}</t>
      </text>
    </comment>
    <comment authorId="0" ref="L104">
      <text>
        <t xml:space="preserve">{"version":1,"syncedAt":"2026-07-19T03:26:54.274Z","produkKode":"RJA-KBD-0241","produkNama":"Kabel Data Toples 8A Support Fast Charging type c","produkTipe":"Fisik","qty":1,"hargaModal":4350,"hargaJual":20000,"akunPembayaran":"","akunModal":"","totalModal":0,"totalPenjualan":0}</t>
      </text>
    </comment>
    <comment authorId="0" ref="L129">
      <text>
        <t xml:space="preserve">{"version":1,"syncedAt":"2026-07-19T06:20:20.536Z","produkKode":"RJA-THREE-0022","produkNama":"THREE HAPPY 3 HARI - 5 GB ALL + 2 GB BONUS 3 HARI","produkTipe":"Digital","qty":1,"hargaModal":12690,"hargaJual":15000,"akunPembayaran":"","akunModal":"MULTI","totalModal":12690,"totalPenjualan":0}</t>
      </text>
    </comment>
    <comment authorId="0" ref="L96">
      <text>
        <t xml:space="preserve">{"version":1,"syncedAt":"2026-07-19T03:26:54.274Z","produkKode":"RJA-KBD-0078","produkNama":"KABEL DATA OLIKE D309BC TYPE C","produkTipe":"Fisik","qty":1,"hargaModal":8250,"hargaJual":25000,"akunPembayaran":"","akunModal":"","totalModal":0,"totalPenjualan":0}</t>
      </text>
    </comment>
    <comment authorId="0" ref="L63">
      <text>
        <t xml:space="preserve">{"version":1,"syncedAt":"2026-07-17T11:53:42.585Z","produkKode":"","produkNama":"THREE HAPPY 3 HARI - 5 GB ALL + 2 GB BONUS 3 HARI","produkTipe":"Digital","qty":1,"hargaModal":12690,"hargaJual":15000,"akunPembayaran":"","akunModal":"MULTI","totalModal":12690,"totalPenjualan":0}</t>
      </text>
    </comment>
    <comment authorId="0" ref="L121">
      <text>
        <t xml:space="preserve">{"version":1,"syncedAt":"2026-07-19T06:20:20.536Z","produkKode":"RJA-XL-0009","produkNama":"XL COMBO FLEX MAX - 50 GB 28 HARI","produkTipe":"Digital","qty":1,"hargaModal":78925,"hargaJual":85000,"akunPembayaran":"","akunModal":"MULTI","totalModal":78925,"totalPenjualan":0}</t>
      </text>
    </comment>
    <comment authorId="0" ref="L88">
      <text>
        <t xml:space="preserve">{"version":1,"syncedAt":"2026-07-19T03:26:54.274Z","produkKode":"RJA-HAN-0017","produkNama":"EARPHONE E11 OLIKE","produkTipe":"Fisik","qty":1,"hargaModal":16000,"hargaJual":35000,"akunPembayaran":"","akunModal":"","totalModal":0,"totalPenjualan":0}</t>
      </text>
    </comment>
    <comment authorId="0" ref="L55">
      <text>
        <t xml:space="preserve">{"version":1,"syncedAt":"2026-07-17T11:53:42.585Z","produkKode":"","produkNama":"BANK MAS - 200.1K - 500K","produkTipe":"Digital","qty":1,"hargaModal":500000,"hargaJual":510000,"akunPembayaran":"","akunModal":"BANK MAS","totalModal":500000,"totalPenjualan":0}</t>
      </text>
    </comment>
    <comment authorId="0" ref="L146">
      <text>
        <t xml:space="preserve">{"version":1,"syncedAt":"2026-07-19T11:31:18.586Z","produkKode":"RJA-WAHANA-0001","produkNama":"WAHANA - VOUCHER","produkTipe":"Digital","qty":1,"hargaModal":6750,"hargaJual":9000,"akunPembayaran":"","akunModal":"WAHANA","totalModal":6750,"totalPenjualan":0}</t>
      </text>
    </comment>
    <comment authorId="0" ref="L113">
      <text>
        <t xml:space="preserve">{"version":1,"syncedAt":"2026-07-19T03:26:54.274Z","produkKode":"RJA-BANK-0005","produkNama":"BANK MAS - 2000.1K - 3000K","produkTipe":"Digital","qty":1,"hargaModal":200000,"hargaJual":205000,"akunPembayaran":"","akunModal":"BANK MAS","totalModal":200000,"totalPenjualan":0}</t>
      </text>
    </comment>
    <comment authorId="0" ref="L80">
      <text>
        <t xml:space="preserve">{"version":1,"syncedAt":"2026-07-19T03:26:54.274Z","produkKode":"RJA-TEM-0015","produkNama":"VIVAN VSP03X BASIC2 Anti-glare Front Film For Phone","produkTipe":"Fisik","qty":1,"hargaModal":14500,"hargaJual":30000,"akunPembayaran":"QRIS","akunModal":"","totalModal":0,"totalPenjualan":30000}</t>
      </text>
    </comment>
    <comment authorId="0" ref="L47">
      <text>
        <t xml:space="preserve">{"version":1,"syncedAt":"2026-07-17T11:53:42.585Z","produkKode":"RJA-HAN-0040","produkNama":"HANDFREE DAP DH-F31(TypeC)","produkTipe":"Fisik","qty":1,"hargaModal":34000,"hargaJual":70000,"akunPembayaran":"QRIS","akunModal":"","totalModal":0,"totalPenjualan":70000}</t>
      </text>
    </comment>
    <comment authorId="0" ref="L138">
      <text>
        <t xml:space="preserve">{"version":1,"syncedAt":"2026-07-19T09:47:54.290Z","produkKode":"RJA-PUL-0027","produkNama":"VC XL S 4,5 GB 7 HR","produkTipe":"Fisik","qty":1,"hargaModal":17700,"hargaJual":20000,"akunPembayaran":"","akunModal":"","totalModal":0,"totalPenjualan":0}</t>
      </text>
    </comment>
    <comment authorId="0" ref="L105">
      <text>
        <t xml:space="preserve">{"version":1,"syncedAt":"2026-07-19T03:26:54.274Z","produkKode":"RJA-BANK-0003","produkNama":"BANK MAS - 500.1K - 1000K","produkTipe":"Digital","qty":1,"hargaModal":705000,"hargaJual":715000,"akunPembayaran":"","akunModal":"BANK MAS","totalModal":705000,"totalPenjualan":0}</t>
      </text>
    </comment>
    <comment authorId="0" ref="L72">
      <text>
        <t xml:space="preserve">{"version":1,"syncedAt":"2026-07-19T03:26:54.274Z","produkKode":"RJA-DANA-0001","produkNama":"DANA TOP UP - 10K - 99K","produkTipe":"Digital","qty":1,"hargaModal":60000,"hargaJual":63000,"akunPembayaran":"","akunModal":"DANA","totalModal":60000,"totalPenjualan":0}</t>
      </text>
    </comment>
    <comment authorId="0" ref="L39">
      <text>
        <t xml:space="preserve">{"version":1,"syncedAt":"2026-07-17T11:53:42.585Z","produkKode":"RJA-PUL-0002","produkNama":"VC Axis 4 GB 5 hari","produkTipe":"Fisik","qty":1,"hargaModal":12950,"hargaJual":15000,"akunPembayaran":"","akunModal":"","totalModal":0,"totalPenjualan":0}</t>
      </text>
    </comment>
    <comment authorId="0" ref="L130">
      <text>
        <t xml:space="preserve">{"version":1,"syncedAt":"2026-07-19T06:20:20.536Z","produkKode":"RJA-TARIK-0001","produkNama":"TARIK TUNAI - 10K - 200K","produkTipe":"Digital","qty":1,"hargaModal":200000,"hargaJual":200000,"akunPembayaran":"QRIS","akunModal":"","totalModal":0,"totalPenjualan":200000}</t>
      </text>
    </comment>
    <comment authorId="0" ref="L97">
      <text>
        <t xml:space="preserve">{"version":1,"syncedAt":"2026-07-19T03:26:54.274Z","produkKode":"RJA-DANA-0002","produkNama":"DANA TOP UP - 100K - 200K","produkTipe":"Digital","qty":1,"hargaModal":100000,"hargaJual":105000,"akunPembayaran":"","akunModal":"DANA","totalModal":100000,"totalPenjualan":0}</t>
      </text>
    </comment>
    <comment authorId="0" ref="L64">
      <text>
        <t xml:space="preserve">{"version":1,"syncedAt":"2026-07-19T03:26:54.273Z","produkKode":"RJA-TEM-0015","produkNama":"VIVAN VSP03X BASIC2 Anti-glare Front Film For Phone","produkTipe":"Fisik","qty":1,"hargaModal":14500,"hargaJual":30000,"akunPembayaran":"QRIS","akunModal":"","totalModal":0,"totalPenjualan":30000}</t>
      </text>
    </comment>
    <comment authorId="0" ref="L122">
      <text>
        <t xml:space="preserve">{"version":1,"syncedAt":"2026-07-19T06:20:20.536Z","produkKode":"RJA-DANA-0001","produkNama":"DANA TOP UP - 10K - 99K","produkTipe":"Digital","qty":1,"hargaModal":25000,"hargaJual":28000,"akunPembayaran":"","akunModal":"DANA","totalModal":25000,"totalPenjualan":0}</t>
      </text>
    </comment>
    <comment authorId="0" ref="L89">
      <text>
        <t xml:space="preserve">{"version":1,"syncedAt":"2026-07-19T03:26:54.274Z","produkKode":"RJA-DANA-0001","produkNama":"DANA TOP UP - 10K - 99K","produkTipe":"Digital","qty":1,"hargaModal":97000,"hargaJual":100000,"akunPembayaran":"","akunModal":"DANA","totalModal":97000,"totalPenjualan":0}</t>
      </text>
    </comment>
    <comment authorId="0" ref="L56">
      <text>
        <t xml:space="preserve">{"version":1,"syncedAt":"2026-07-17T11:53:42.585Z","produkKode":"","produkNama":"BANK MAS - 10K - 200K","produkTipe":"Digital","qty":1,"hargaModal":30000,"hargaJual":35000,"akunPembayaran":"","akunModal":"BANK MAS","totalModal":30000,"totalPenjualan":0}</t>
      </text>
    </comment>
    <comment authorId="0" ref="L147">
      <text>
        <t xml:space="preserve">{"version":1,"syncedAt":"2026-07-19T11:31:18.586Z","produkKode":"RJA-DANA-0001","produkNama":"DANA TOP UP - 10K - 99K","produkTipe":"Digital","qty":1,"hargaModal":25000,"hargaJual":28000,"akunPembayaran":"","akunModal":"DANA","totalModal":25000,"totalPenjualan":0}</t>
      </text>
    </comment>
    <comment authorId="0" ref="L81">
      <text>
        <t xml:space="preserve">{"version":1,"syncedAt":"2026-07-19T03:26:54.274Z","produkKode":"RJA-AUX-0001","produkNama":"Kabel Aux Iphone TO Female Jack Aux 3.5mm AK - 05","produkTipe":"Fisik","qty":1,"hargaModal":9500,"hargaJual":25000,"akunPembayaran":"QRIS","akunModal":"","totalModal":0,"totalPenjualan":25000}</t>
      </text>
    </comment>
    <comment authorId="0" ref="L48">
      <text>
        <t xml:space="preserve">{"version":1,"syncedAt":"2026-07-17T11:53:42.585Z","produkKode":"","produkNama":"WAHANA - VOUCHER","produkTipe":"Digital","qty":1,"hargaModal":3750,"hargaJual":5000,"akunPembayaran":"QRIS","akunModal":"WAHANA","totalModal":3750,"totalPenjualan":5000}</t>
      </text>
    </comment>
    <comment authorId="0" ref="L139">
      <text>
        <t xml:space="preserve">{"version":1,"syncedAt":"2026-07-19T09:47:54.290Z","produkKode":"RJA-AXIS-0031","produkNama":"AXIS PULSA - 10000","produkTipe":"Digital","qty":1,"hargaModal":10972,"hargaJual":13000,"akunPembayaran":"","akunModal":"MULTI","totalModal":10972,"totalPenjualan":0}</t>
      </text>
    </comment>
    <comment authorId="0" ref="L106">
      <text>
        <t xml:space="preserve">{"version":1,"syncedAt":"2026-07-19T03:26:54.274Z","produkKode":"RJA-PUL-0001","produkNama":"VC Axis 3 GB 3 hari","produkTipe":"Fisik","qty":1,"hargaModal":9750,"hargaJual":12000,"akunPembayaran":"","akunModal":"","totalModal":0,"totalPenjualan":0}</t>
      </text>
    </comment>
    <comment authorId="0" ref="L40">
      <text>
        <t xml:space="preserve">{"version":1,"syncedAt":"2026-07-17T11:53:42.585Z","produkKode":"RJA-PUL-0021","produkNama":"VC Three 3,5 GB 3 hari","produkTipe":"Fisik","qty":1,"hargaModal":11700,"hargaJual":14000,"akunPembayaran":"","akunModal":"","totalModal":0,"totalPenjualan":0}</t>
      </text>
    </comment>
    <comment authorId="0" ref="L131">
      <text>
        <t xml:space="preserve">{"version":1,"syncedAt":"2026-07-19T06:20:20.536Z","produkKode":"RJA-TARIK-0001","produkNama":"TARIK TUNAI - 10K - 200K","produkTipe":"Digital","qty":1,"hargaModal":0,"hargaJual":3000,"akunPembayaran":"","akunModal":"","totalModal":0,"totalPenjualan":0}</t>
      </text>
    </comment>
    <comment authorId="0" ref="L98">
      <text>
        <t xml:space="preserve">{"version":1,"syncedAt":"2026-07-19T03:26:54.274Z","produkKode":"RJA-DANA-0002","produkNama":"DANA TOP UP - 100K - 200K","produkTipe":"Digital","qty":1,"hargaModal":100000,"hargaJual":105000,"akunPembayaran":"","akunModal":"DANA","totalModal":100000,"totalPenjualan":0}</t>
      </text>
    </comment>
    <comment authorId="0" ref="L65">
      <text>
        <t xml:space="preserve">{"version":1,"syncedAt":"2026-07-19T03:26:54.273Z","produkKode":"RJA-AXIS-0026","produkNama":"AXIS BRONET - 40 GB + BONUS LOKAL 28 HARI","produkTipe":"Digital","qty":1,"hargaModal":72004,"hargaJual":75000,"akunPembayaran":"","akunModal":"MULTI","totalModal":72004,"totalPenjualan":0}</t>
      </text>
    </comment>
    <comment authorId="0" ref="L123">
      <text>
        <t xml:space="preserve">{"version":1,"syncedAt":"2026-07-19T06:20:20.536Z","produkKode":"RJA-INDOSAT-0051","produkNama":"INDOSAT MINI NASIONAL - FREEDOM MINI 9 GB 5 HARI","produkTipe":"Digital","qty":1,"hargaModal":17215,"hargaJual":20000,"akunPembayaran":"","akunModal":"MULTI","totalModal":17215,"totalPenjualan":0}</t>
      </text>
    </comment>
    <comment authorId="0" ref="L90">
      <text>
        <t xml:space="preserve">{"version":1,"syncedAt":"2026-07-19T03:26:54.274Z","produkKode":"RJA-BANK-0002","produkNama":"BANK MAS - 200.1K - 500K","produkTipe":"Digital","qty":1,"hargaModal":400000,"hargaJual":407500,"akunPembayaran":"","akunModal":"BANK MAS","totalModal":400000,"totalPenjualan":0}</t>
      </text>
    </comment>
    <comment authorId="0" ref="L57">
      <text>
        <t xml:space="preserve">{"version":1,"syncedAt":"2026-07-17T11:53:42.585Z","produkKode":"","produkNama":"BANK MAS - 10K - 200K","produkTipe":"Digital","qty":1,"hargaModal":154000,"hargaJual":159000,"akunPembayaran":"","akunModal":"BANK MAS","totalModal":154000,"totalPenjualan":0}</t>
      </text>
    </comment>
    <comment authorId="0" ref="L148">
      <text>
        <t xml:space="preserve">{"version":1,"syncedAt":"2026-07-19T11:31:18.586Z","produkKode":"RJA-BANK-0001","produkNama":"BANK MAS - 10K - 200K","produkTipe":"Digital","qty":1,"hargaModal":200000,"hargaJual":205000,"akunPembayaran":"","akunModal":"BANK MAS","totalModal":200000,"totalPenjualan":0}</t>
      </text>
    </comment>
    <comment authorId="0" ref="L115">
      <text>
        <t xml:space="preserve">{"version":1,"syncedAt":"2026-07-19T04:05:24.443Z","produkKode":"RJA-PLN-0003","produkNama":"PLN Token Pra-bayar - 50 RIBU","produkTipe":"Digital","qty":1,"hargaModal":51767,"hargaJual":54000,"akunPembayaran":"","akunModal":"MULTI","totalModal":51767,"totalPenjualan":0}</t>
      </text>
    </comment>
    <comment authorId="0" ref="L82">
      <text>
        <t xml:space="preserve">{"version":1,"syncedAt":"2026-07-19T03:26:54.274Z","produkKode":"RJA-SMART-0049","produkNama":"SMART PULSA - 20000","produkTipe":"Digital","qty":1,"hargaModal":20099,"hargaJual":22000,"akunPembayaran":"","akunModal":"MULTI","totalModal":20099,"totalPenjualan":0}</t>
      </text>
    </comment>
    <comment authorId="0" ref="L49">
      <text>
        <t xml:space="preserve">{"version":1,"syncedAt":"2026-07-17T11:53:42.585Z","produkKode":"","produkNama":"INDOSAT MINI NASIONAL - FREEDOM MINI 20 GB 3 HARI","produkTipe":"Digital","qty":1,"hargaModal":17700,"hargaJual":22000,"akunPembayaran":"","akunModal":"MULTI","totalModal":17700,"totalPenjualan":0}</t>
      </text>
    </comment>
    <comment authorId="0" ref="L140">
      <text>
        <t xml:space="preserve">{"version":1,"syncedAt":"2026-07-19T09:47:54.290Z","produkKode":"RJA-PUL-0022","produkNama":"VC Three 10 GB 7 hari","produkTipe":"Fisik","qty":1,"hargaModal":23060,"hargaJual":25000,"akunPembayaran":"","akunModal":"","totalModal":0,"totalPenjualan":0}</t>
      </text>
    </comment>
    <comment authorId="0" ref="L107">
      <text>
        <t xml:space="preserve">{"version":1,"syncedAt":"2026-07-19T03:26:54.274Z","produkKode":"RJA-TEM-0015","produkNama":"VIVAN VSP03X BASIC2 Anti-glare Front Film For Phone","produkTipe":"Fisik","qty":1,"hargaModal":14500,"hargaJual":30000,"akunPembayaran":"","akunModal":"","totalModal":0,"totalPenjualan":0}</t>
      </text>
    </comment>
    <comment authorId="0" ref="L74">
      <text>
        <t xml:space="preserve">{"version":1,"syncedAt":"2026-07-19T03:26:54.274Z","produkKode":"RJA-KBD-0111","produkNama":"KABEL DATA WELCOME NYLON 1  TYPE C 3A MIX","produkTipe":"Fisik","qty":1,"hargaModal":14000,"hargaJual":25000,"akunPembayaran":"","akunModal":"","totalModal":0,"totalPenjualan":0}</t>
      </text>
    </comment>
    <comment authorId="0" ref="L41">
      <text>
        <t xml:space="preserve">{"version":1,"syncedAt":"2026-07-17T11:53:42.585Z","produkKode":"","produkNama":"DANA TOP UP - 201K - 499K","produkTipe":"Digital","qty":1,"hargaModal":250000,"hargaJual":257500,"akunPembayaran":"","akunModal":"DANA","totalModal":250000,"totalPenjualan":0}</t>
      </text>
    </comment>
    <comment authorId="0" ref="L132">
      <text>
        <t xml:space="preserve">{"version":1,"syncedAt":"2026-07-19T06:20:20.536Z","produkKode":"RJA-DANA-0001","produkNama":"DANA TOP UP - 10K - 99K","produkTipe":"Digital","qty":1,"hargaModal":20000,"hargaJual":23000,"akunPembayaran":"","akunModal":"DANA","totalModal":20000,"totalPenjualan":0}</t>
      </text>
    </comment>
    <comment authorId="0" ref="L99">
      <text>
        <t xml:space="preserve">{"version":1,"syncedAt":"2026-07-19T03:26:54.274Z","produkKode":"RJA-GOPAY-0003","produkNama":"GOPAY TOP UP - 100K - 200K","produkTipe":"Digital","qty":1,"hargaModal":130998,"hargaJual":135000,"akunPembayaran":"","akunModal":"MULTI","totalModal":130998,"totalPenjualan":0}</t>
      </text>
    </comment>
    <comment authorId="0" ref="L66">
      <text>
        <t xml:space="preserve">{"version":1,"syncedAt":"2026-07-19T03:26:54.273Z","produkKode":"RJA-DANA-0001","produkNama":"DANA TOP UP - 10K - 99K","produkTipe":"Digital","qty":1,"hargaModal":30000,"hargaJual":33000,"akunPembayaran":"","akunModal":"DANA","totalModal":30000,"totalPenjualan":0}</t>
      </text>
    </comment>
    <comment authorId="0" ref="L124">
      <text>
        <t xml:space="preserve">{"version":1,"syncedAt":"2026-07-19T06:20:20.536Z","produkKode":"RJA-GOPAY-0001","produkNama":"GOPAY TOP UP - 10K - 50K","produkTipe":"Digital","qty":1,"hargaModal":21000,"hargaJual":23000,"akunPembayaran":"","akunModal":"MULTI","totalModal":21000,"totalPenjualan":0}</t>
      </text>
    </comment>
    <comment authorId="0" ref="L91">
      <text>
        <t xml:space="preserve">{"version":1,"syncedAt":"2026-07-19T03:26:54.274Z","produkKode":"RJA-PUL-0016","produkNama":"VC T-sel 4 GB 5 hari","produkTipe":"Fisik","qty":1,"hargaModal":12800,"hargaJual":15000,"akunPembayaran":"","akunModal":"","totalModal":0,"totalPenjualan":0}</t>
      </text>
    </comment>
    <comment authorId="0" ref="L58">
      <text>
        <t xml:space="preserve">{"version":1,"syncedAt":"2026-07-17T11:53:42.585Z","produkKode":"","produkNama":"INDOSAT MINI NASIONAL - FREEDOM MINI 4 GB 5 HARI","produkTipe":"Digital","qty":1,"hargaModal":13084,"hargaJual":15000,"akunPembayaran":"","akunModal":"MULTI","totalModal":13084,"totalPenjualan":0}</t>
      </text>
    </comment>
    <comment authorId="0" ref="L149">
      <text>
        <t xml:space="preserve">{"version":1,"syncedAt":"2026-07-19T12:17:27.406Z","produkKode":"RJA-PUL-0016","produkNama":"VC T-sel 4 GB 5 hari","produkTipe":"Fisik","qty":1,"hargaModal":12800,"hargaJual":15000,"akunPembayaran":"","akunModal":"","totalModal":0,"totalPenjualan":0}</t>
      </text>
    </comment>
    <comment authorId="0" ref="L116">
      <text>
        <t xml:space="preserve">{"version":1,"syncedAt":"2026-07-19T04:05:24.443Z","produkKode":"RJA-DANA-0001","produkNama":"DANA TOP UP - 10K - 99K","produkTipe":"Digital","qty":1,"hargaModal":50000,"hargaJual":53000,"akunPembayaran":"","akunModal":"DANA","totalModal":50000,"totalPenjualan":0}</t>
      </text>
    </comment>
    <comment authorId="0" ref="L83">
      <text>
        <t xml:space="preserve">{"version":1,"syncedAt":"2026-07-19T03:26:54.274Z","produkKode":"RJA-TARIK-0001","produkNama":"TARIK TUNAI - 10K - 200K","produkTipe":"Digital","qty":1,"hargaModal":100000,"hargaJual":100000,"akunPembayaran":"QRIS","akunModal":"","totalModal":0,"totalPenjualan":100000}</t>
      </text>
    </comment>
    <comment authorId="0" ref="L50">
      <text>
        <t xml:space="preserve">{"version":1,"syncedAt":"2026-07-17T11:53:42.585Z","produkKode":"RJA-HAN-0046","produkNama":"HANDFREE PROMO M-38","produkTipe":"Fisik","qty":1,"hargaModal":4000,"hargaJual":10000,"akunPembayaran":"","akunModal":"","totalModal":0,"totalPenjualan":0}</t>
      </text>
    </comment>
    <comment authorId="0" ref="L141">
      <text>
        <t xml:space="preserve">{"version":1,"syncedAt":"2026-07-19T09:47:54.290Z","produkKode":"RJA-KBD-0015","produkNama":"ROBOT Data Cable RGM100S colorful","produkTipe":"Fisik","qty":1,"hargaModal":10300,"hargaJual":20000,"akunPembayaran":"","akunModal":"","totalModal":0,"totalPenjualan":0}</t>
      </text>
    </comment>
  </commentList>
</comments>
</file>

<file path=xl/sharedStrings.xml><?xml version="1.0" encoding="utf-8"?>
<sst xmlns="http://schemas.openxmlformats.org/spreadsheetml/2006/main" count="14948" uniqueCount="4408">
  <si>
    <t>Form Input Produk</t>
  </si>
  <si>
    <t>Form Input Saldo</t>
  </si>
  <si>
    <t>Kode Produk</t>
  </si>
  <si>
    <t>Kategori</t>
  </si>
  <si>
    <t>Nama Layanan</t>
  </si>
  <si>
    <t>Merk</t>
  </si>
  <si>
    <t>Jenis</t>
  </si>
  <si>
    <t>Jenis Stok</t>
  </si>
  <si>
    <t>Status</t>
  </si>
  <si>
    <t>Tanggal</t>
  </si>
  <si>
    <t>Harga Modal</t>
  </si>
  <si>
    <t>Harga Jual</t>
  </si>
  <si>
    <t>Margin</t>
  </si>
  <si>
    <t>Margin (%)</t>
  </si>
  <si>
    <t>Fisik</t>
  </si>
  <si>
    <t>RJA-XL-0001</t>
  </si>
  <si>
    <t>Nama Transaksi</t>
  </si>
  <si>
    <t>Pulsa</t>
  </si>
  <si>
    <t>XL COMBO FLEX MAX - 7 GB 28 HARI</t>
  </si>
  <si>
    <t>Xl</t>
  </si>
  <si>
    <t>Nama Barang/Layanan</t>
  </si>
  <si>
    <t>Akun Tujuan</t>
  </si>
  <si>
    <t>MULTI</t>
  </si>
  <si>
    <t>Aktif</t>
  </si>
  <si>
    <t>Akun Asal</t>
  </si>
  <si>
    <t>RJA-AKS-0001</t>
  </si>
  <si>
    <t>Stok</t>
  </si>
  <si>
    <t>Tipe Transaksi</t>
  </si>
  <si>
    <t>Nama Barang</t>
  </si>
  <si>
    <t>Nominal Saldo</t>
  </si>
  <si>
    <t>RJA-3-0001</t>
  </si>
  <si>
    <t>AKSESORIS</t>
  </si>
  <si>
    <t>vivan VSPT04T PRO</t>
  </si>
  <si>
    <t>VIVAN</t>
  </si>
  <si>
    <t>TEMPERED GLASS</t>
  </si>
  <si>
    <t>RJA-XL-0002</t>
  </si>
  <si>
    <t>XL COMBO FLEX MAX - 10 GB 28 HARI</t>
  </si>
  <si>
    <t>RJA-XL-0003</t>
  </si>
  <si>
    <t>XL COMBO FLEX MAX - 16 GB 28 HARI</t>
  </si>
  <si>
    <t>RJA-XL-0004</t>
  </si>
  <si>
    <t>XL COMBO FLEX MAX - 23 GB 28 HARI</t>
  </si>
  <si>
    <t>RJA-XL-0005</t>
  </si>
  <si>
    <t>XL COMBO FLEX MAX - 33 GB 14 HARI</t>
  </si>
  <si>
    <t>RJA-XL-0006</t>
  </si>
  <si>
    <t>XL COMBO FLEX MAX - 31 GB 28 HARI</t>
  </si>
  <si>
    <t>RJA-XL-0007</t>
  </si>
  <si>
    <t>XL COMBO FLEX MAX - 75 GB 15 HARI</t>
  </si>
  <si>
    <t>RJA-XL-0008</t>
  </si>
  <si>
    <t>XL COMBO FLEX MAX - 40 GB 28 HARI</t>
  </si>
  <si>
    <t>RJA-XL-0009</t>
  </si>
  <si>
    <t>XL COMBO FLEX MAX - 50 GB 28 HARI</t>
  </si>
  <si>
    <t>RJA-XL-0010</t>
  </si>
  <si>
    <t>XL COMBO FLEX MAX - 65 GB 28 HARI</t>
  </si>
  <si>
    <t>RJA-XL-0011</t>
  </si>
  <si>
    <t>XL COMBO FLEX MAX - 100 GB 28 HARI</t>
  </si>
  <si>
    <t>RJA-XL-0012</t>
  </si>
  <si>
    <t>XL HARIAN - HARIAN S (2 GB - 3 GB) 3 HARI</t>
  </si>
  <si>
    <t>RJA-XL-0013</t>
  </si>
  <si>
    <t>XL HARIAN - HARIAN S (2 GB - 3.5 GB) 5 HARI</t>
  </si>
  <si>
    <t>RJA-ACOM-0001</t>
  </si>
  <si>
    <t>RJA-XL-0014</t>
  </si>
  <si>
    <t>XL HARIAN - HARIAN M (3 GB - 4.5 GB) 3 HARI</t>
  </si>
  <si>
    <t>ACOME Microphone AWA-V7B Black</t>
  </si>
  <si>
    <t>RJA-XL-0015</t>
  </si>
  <si>
    <t>ACOME</t>
  </si>
  <si>
    <t>XL HARIAN - HARIAN M (3 GB - 5 GB) 5 HARI</t>
  </si>
  <si>
    <t>BROADCAST</t>
  </si>
  <si>
    <t>RJA-XL-0016</t>
  </si>
  <si>
    <t>XL HARIAN - HARIAN L (5 GB - 7 GB) 3 HARI</t>
  </si>
  <si>
    <t>RJA-XL-0017</t>
  </si>
  <si>
    <t>XL HARIAN - HARIAN S (3 GB - 4.5 GB) 7 HARI</t>
  </si>
  <si>
    <t>RJA-XL-0018</t>
  </si>
  <si>
    <t>XL HARIAN - HARIAN L (6 GB - 9 GB) 5 HARI</t>
  </si>
  <si>
    <t>RJA-XL-0019</t>
  </si>
  <si>
    <t>XL HARIAN - HARIAN M (5 GB - 8 GB) 7 HARI</t>
  </si>
  <si>
    <t>RJA-XL-0020</t>
  </si>
  <si>
    <t>XL HARIAN - HARIAN M (3.5 GB - 9 GB) 10 HARI</t>
  </si>
  <si>
    <t>RJA-XL-0021</t>
  </si>
  <si>
    <t>XL HARIAN - HARIAN L (7 GB - 12 GB) 7 HARI</t>
  </si>
  <si>
    <t>RJA-XL-0022</t>
  </si>
  <si>
    <t>XL HARIAN - HARIAN XL (12 GB - 20 GB) 7 HARI</t>
  </si>
  <si>
    <t>RJA-XL-0023</t>
  </si>
  <si>
    <t>XL XTRA COMBO - 5 GB ALL JARINGAN + 10 GB YOU TUBE 28 HARI</t>
  </si>
  <si>
    <t>RJA-XL-0024</t>
  </si>
  <si>
    <t>XL XTRA COMBO - 10 GB ALL JARINGAN + 20 GB YOUTUBE 28 HARI</t>
  </si>
  <si>
    <t>RJA-ACOM-0002</t>
  </si>
  <si>
    <t>RJA-XL-0025</t>
  </si>
  <si>
    <t>XL XTRA COMBO - 15 GB ALL JARINGAN + 30 GB YOU TUBE 28 HARI</t>
  </si>
  <si>
    <t>ACOME ACC Mini Fan AF002 Dark Blue</t>
  </si>
  <si>
    <t>RJA-XL-0026</t>
  </si>
  <si>
    <t>XL COMBO FLEX - FLEX S 3.5 - 5 GB 21 HARI</t>
  </si>
  <si>
    <t>KIPAS</t>
  </si>
  <si>
    <t>RJA-XL-0027</t>
  </si>
  <si>
    <t>XL COMBO FLEX - FLEX S (7 GB - 8.5 GB) 28 HARI</t>
  </si>
  <si>
    <t>RJA-XL-0028</t>
  </si>
  <si>
    <t>XL XTRA COMBO FLEX S + 7 GB + BONUS 28 HR</t>
  </si>
  <si>
    <t>RJA-XL-0029</t>
  </si>
  <si>
    <t>XL COMBO FLEX - FLEX MAX 16 GB 28 HARI</t>
  </si>
  <si>
    <t>RJA-XL-0030</t>
  </si>
  <si>
    <t>XL COMBO FLEX - FLEX M + (14 GB - 20 GB) 28 HARI</t>
  </si>
  <si>
    <t>RJA-XL-0031</t>
  </si>
  <si>
    <t>XL COMBO FLEX - FLEX L 18 GB + LOKAL 28 HARI</t>
  </si>
  <si>
    <t>RJA-XL-0032</t>
  </si>
  <si>
    <t>XL COMBO FLEX - FLEX L + (26 GB + 32 GB) 28 HARI</t>
  </si>
  <si>
    <t>RJA-XL-0033</t>
  </si>
  <si>
    <t>XL COMBO FLEX - FLEX MAX (34 - 40 GB) 28 HARI</t>
  </si>
  <si>
    <t>RJA-XL-0034</t>
  </si>
  <si>
    <t>XL COMBO FLEX - FLEX XL (32 - 50 GB) 28 HARI</t>
  </si>
  <si>
    <t>RJA-XL-0035</t>
  </si>
  <si>
    <t>XL COMBO FLEX - FLEX XXL (65 GB - 75 GB) 28 HARI</t>
  </si>
  <si>
    <t>RJA-XL-0036</t>
  </si>
  <si>
    <t>RJA-ACOM-0003</t>
  </si>
  <si>
    <t>XL FLEX MINI - 3 GB - 4 GB 1 HARI</t>
  </si>
  <si>
    <t>ACOME TF CARD 32G TF WITH Package colourful</t>
  </si>
  <si>
    <t>RJA-XL-0037</t>
  </si>
  <si>
    <t>XL FLEX MINI - 10 GB 1 HARI</t>
  </si>
  <si>
    <t>MMC</t>
  </si>
  <si>
    <t>RJA-XL-0038</t>
  </si>
  <si>
    <t>XL FLEX MINI - 3.5 GB - 4.5 GB 3 HARI</t>
  </si>
  <si>
    <t>RJA-XL-0039</t>
  </si>
  <si>
    <t>XL FLEX MINI - 6 GB - 8 GB 7 HARI</t>
  </si>
  <si>
    <t>RJA-XL-0040</t>
  </si>
  <si>
    <t>XL FLEX MINI - 20 GB 3 HARI</t>
  </si>
  <si>
    <t>RJA-XL-0041</t>
  </si>
  <si>
    <t>XL FLEX MINI - 10 GB - 14 GB 7 HARI</t>
  </si>
  <si>
    <t>RJA-XL-0042</t>
  </si>
  <si>
    <t>XL FLEX MINI - 8 GB - 10 GB 14 HARI</t>
  </si>
  <si>
    <t>RJA-XL-0043</t>
  </si>
  <si>
    <t>XL FLEX MINI - 15 GB - 20 GB 7 HARI</t>
  </si>
  <si>
    <t>RJA-XL-0044</t>
  </si>
  <si>
    <t>XL FLEX MINI - 40 GB 7 HARI</t>
  </si>
  <si>
    <t>RJA-XL-0045</t>
  </si>
  <si>
    <t>XL FLEX MINI - 30 GB 14 HARI</t>
  </si>
  <si>
    <t>RJA-ACOM-0004</t>
  </si>
  <si>
    <t>RJA-XL-0046</t>
  </si>
  <si>
    <t>XL FLEX MINI - 75 GB 14 HARI</t>
  </si>
  <si>
    <t>ACOME selfie stick SS07A black (SKU RJA-ACOM-0890)</t>
  </si>
  <si>
    <t>TRIPOD</t>
  </si>
  <si>
    <t>RJA-THRE-0001</t>
  </si>
  <si>
    <t>THREE DATA PURE BULANAN - 3 GB 28 HARI</t>
  </si>
  <si>
    <t>Three</t>
  </si>
  <si>
    <t>RJA-THRE-0002</t>
  </si>
  <si>
    <t>THREE DATA PURE BULANAN - 4 GB 28 HARI</t>
  </si>
  <si>
    <t>RJA-THRE-0003</t>
  </si>
  <si>
    <t>THREE DATA PURE BULANAN - 5 GB 28 HARI</t>
  </si>
  <si>
    <t>RJA-THRE-0004</t>
  </si>
  <si>
    <t>THREE DATA PURE BULANAN - 6 GB 28 HARI</t>
  </si>
  <si>
    <t>RJA-THRE-0005</t>
  </si>
  <si>
    <t>THREE DATA PURE BULANAN - 7 GB 28 HARI</t>
  </si>
  <si>
    <t>RJA-THRE-0006</t>
  </si>
  <si>
    <t>THREE DATA PURE BULANAN - 8 GB 28 HARI</t>
  </si>
  <si>
    <t>RJA-THRE-0007</t>
  </si>
  <si>
    <t>THREE DATA PURE BULANAN - 10 GB 28 HARI</t>
  </si>
  <si>
    <t>RJA-THRE-0008</t>
  </si>
  <si>
    <t>THREE DATA PURE BULANAN - 15 GB 28 HARI</t>
  </si>
  <si>
    <t>RJA-ACOM-0005</t>
  </si>
  <si>
    <t>RJA-THRE-0009</t>
  </si>
  <si>
    <t>THREE DATA PURE BULANAN - 20 GB 28 HARI</t>
  </si>
  <si>
    <t>ACOME selfie stick SS07A black (SKU RJA-ACOM-0903)</t>
  </si>
  <si>
    <t>RJA-THRE-0010</t>
  </si>
  <si>
    <t>THREE DATA PURE BULANAN - 30 GB 28 HARI</t>
  </si>
  <si>
    <t>RJA-THRE-0011</t>
  </si>
  <si>
    <t>THREE DATA PURE BULANAN - 50 GB 28 HARI</t>
  </si>
  <si>
    <t>RJA-THRE-0012</t>
  </si>
  <si>
    <t>THREE DATA PURE BULANAN - 100 GB 28 HARI</t>
  </si>
  <si>
    <t>RJA-THRE-0013</t>
  </si>
  <si>
    <t>THREE PURE HARIAN&amp;MINGGUAN - 1 GB ALL + 1.5 GB MALAM 1 HARI</t>
  </si>
  <si>
    <t>RJA-THRE-0014</t>
  </si>
  <si>
    <t>THREE PURE HARIAN&amp;MINGGUAN - 1 GB 14 HARI</t>
  </si>
  <si>
    <t>RJA-THRE-0015</t>
  </si>
  <si>
    <t>THREE PURE HARIAN&amp;MINGGUAN - 1 GB 5 HARI</t>
  </si>
  <si>
    <t>RJA-THRE-0016</t>
  </si>
  <si>
    <t>THREE PURE HARIAN&amp;MINGGUAN - 1.5 GB 14 HARI</t>
  </si>
  <si>
    <t>RJA-ACOM-0006</t>
  </si>
  <si>
    <t>RJA-THRE-0017</t>
  </si>
  <si>
    <t>ACOME ACC Ows Earphone A21 Black (SKU RJA-ACOM-0927)</t>
  </si>
  <si>
    <t>THREE PURE HARIAN&amp;MINGGUAN - 2 GB 7 HARI</t>
  </si>
  <si>
    <t>TWS</t>
  </si>
  <si>
    <t>RJA-THRE-0018</t>
  </si>
  <si>
    <t>THREE PURE HARIAN&amp;MINGGUAN - 2.5 GB 14 HARI</t>
  </si>
  <si>
    <t>RJA-THRE-0019</t>
  </si>
  <si>
    <t>THREE PURE HARIAN&amp;MINGGUAN - 4 GB 14 HARI</t>
  </si>
  <si>
    <t>RJA-THRE-0020</t>
  </si>
  <si>
    <t>THREE HAPPY 2 HARI - HAPPY MINI 7 GB 2 HARI</t>
  </si>
  <si>
    <t>RJA-THRE-0021</t>
  </si>
  <si>
    <t>THREE HAPPY 3 HARI - 3.5 GB ALL + 2 GB BONUS 3 HARI</t>
  </si>
  <si>
    <t>RJA-THRE-0022</t>
  </si>
  <si>
    <t>THREE HAPPY 3 HARI - 5 GB ALL + 2 GB BONUS 3 HARI</t>
  </si>
  <si>
    <t>RJA-THRE-0023</t>
  </si>
  <si>
    <t>THREE HAPPY 3 HARI - HAPPY MINI 6 GB 3 HARI</t>
  </si>
  <si>
    <t>RJA-THRE-0024</t>
  </si>
  <si>
    <t>THREE HAPPY 3 HARI - 8 GB ALL + 2 GB BONUS 3 HARI</t>
  </si>
  <si>
    <t>RJA-THRE-0025</t>
  </si>
  <si>
    <t>THREE HAPPY 5 HARI - HAPPY 3.5 GB ALL + 1 GB JABO 5 HARI</t>
  </si>
  <si>
    <t>RJA-ACOM-0007</t>
  </si>
  <si>
    <t>RJA-THRE-0026</t>
  </si>
  <si>
    <t>ACOME Tws Earphone Inpods AT03 Black (SKU RJA-ACOM-0928)</t>
  </si>
  <si>
    <t>THREE HAPPY 5 HARI - HAPPY MINI 10 GB 5 HARI</t>
  </si>
  <si>
    <t>RJA-THRE-0027</t>
  </si>
  <si>
    <t>THREE HAPPY 7 HARI - 3 GB ALL + 1 GB BONUS 7 HARI</t>
  </si>
  <si>
    <t>RJA-THRE-0028</t>
  </si>
  <si>
    <t>THREE HAPPY 7 HARI - HAPPY MINI 10 GB 7 HARI</t>
  </si>
  <si>
    <t>RJA-THRE-0029</t>
  </si>
  <si>
    <t>THREE HAPPY 7 HARI - HAPPY MINI 17 GB 7 HARI</t>
  </si>
  <si>
    <t>RJA-THRE-0030</t>
  </si>
  <si>
    <t>THREE HAPPY 14 HARI - HAPPY MINI 3 GB 14 HARI</t>
  </si>
  <si>
    <t>RJA-THRE-0031</t>
  </si>
  <si>
    <t>THREE HAPPY 14 HARI - HAPPY MINI 7 GB 14 HARI</t>
  </si>
  <si>
    <t>RJA-THRE-0032</t>
  </si>
  <si>
    <t>THREE HAPPY 14 HARI - HAPPY MINI 10 GB 14 HARI</t>
  </si>
  <si>
    <t>RJA-THRE-0033</t>
  </si>
  <si>
    <t>THREE HAPPY BULANAN - 1 GB 14 HARI</t>
  </si>
  <si>
    <t>RJA-THRE-0034</t>
  </si>
  <si>
    <t>THREE HAPPY BULANAN - 3 GB 14 HARI</t>
  </si>
  <si>
    <t>RJA-ACOM-0008</t>
  </si>
  <si>
    <t>ACOME TWS Inpods AT09 Black (SKU RJA-ACOM-0931)</t>
  </si>
  <si>
    <t>RJA-THRE-0035</t>
  </si>
  <si>
    <t>THREE HAPPY BULANAN - 7 GB 14 HARI</t>
  </si>
  <si>
    <t>RJA-THRE-0036</t>
  </si>
  <si>
    <t>THREE HAPPY BULANAN - 5 GB 28 HARI</t>
  </si>
  <si>
    <t>RJA-THRE-0037</t>
  </si>
  <si>
    <t>THREE HAPPY BULANAN - 10 GB 14 HARI</t>
  </si>
  <si>
    <t>RJA-THRE-0038</t>
  </si>
  <si>
    <t>THREE HAPPY BULANAN - 7 GB 28 HARI</t>
  </si>
  <si>
    <t>RJA-THRE-0039</t>
  </si>
  <si>
    <t>THREE HAPPY BULANAN - 11 GB 28 HARI</t>
  </si>
  <si>
    <t>RJA-THRE-0040</t>
  </si>
  <si>
    <t>THREE HAPPY BULANAN - 10 GB 28 HARI</t>
  </si>
  <si>
    <t>RJA-THRE-0041</t>
  </si>
  <si>
    <t>THREE HAPPY BULANAN - 15 GB 28 HARI</t>
  </si>
  <si>
    <t>RJA-THRE-0042</t>
  </si>
  <si>
    <t>THREE HAPPY BULANAN - 18 GB 28 HARI</t>
  </si>
  <si>
    <t>RJA-THRE-0043</t>
  </si>
  <si>
    <t>RJA-ACOM-0009</t>
  </si>
  <si>
    <t>THREE HAPPY BULANAN - 20 GB 28 HARI</t>
  </si>
  <si>
    <t>ACOME Tws Earphone Inpods AT03 Black (SKU RJA-ACOM-0932)</t>
  </si>
  <si>
    <t>RJA-THRE-0044</t>
  </si>
  <si>
    <t>THREE HAPPY BULANAN - 30 GB 28 HARI</t>
  </si>
  <si>
    <t>RJA-THRE-0045</t>
  </si>
  <si>
    <t>THREE HAPPY BULANAN - 30 GB + 12 GB JABO 28 HARI</t>
  </si>
  <si>
    <t>RJA-THRE-0046</t>
  </si>
  <si>
    <t>THREE HAPPY BULANAN - 32 GB 28 HARI</t>
  </si>
  <si>
    <t>RJA-THRE-0047</t>
  </si>
  <si>
    <t>THREE HAPPY BULANAN - 42 GB 28 HARI</t>
  </si>
  <si>
    <t>RJA-THRE-0048</t>
  </si>
  <si>
    <t>THREE HAPPY BULANAN - 52 GB 28 HARI</t>
  </si>
  <si>
    <t>RJA-THRE-0049</t>
  </si>
  <si>
    <t>THREE HAPPY BULANAN - 65 GB 28 HARI</t>
  </si>
  <si>
    <t>RJA-THRE-0050</t>
  </si>
  <si>
    <t>THREE HAPPY BULANAN - 100 GB 28 HARI</t>
  </si>
  <si>
    <t>RJA-THRE-0051</t>
  </si>
  <si>
    <t>THREE - MASA AKTIF 4 BULAN</t>
  </si>
  <si>
    <t>RJA-AXIS-0001</t>
  </si>
  <si>
    <t>AXIS AIGO MINI - 3 GB + BONUS 7 HARI</t>
  </si>
  <si>
    <t>Axis</t>
  </si>
  <si>
    <t>RJA-AXIS-0002</t>
  </si>
  <si>
    <t>AXIS AIGO MINI - 10 GB + BONUS 7 HARI</t>
  </si>
  <si>
    <t>RJA-AXIS-0003</t>
  </si>
  <si>
    <t>AXIS AIGO MINI - 5 GB + BONUS 14 HARI</t>
  </si>
  <si>
    <t>RJA-ACOM-0010</t>
  </si>
  <si>
    <t>RJA-AXIS-0004</t>
  </si>
  <si>
    <t>AXIS AIGO MINI - 8 GB + BONUS 14 HARI</t>
  </si>
  <si>
    <t>ACOME TWS Inpods AT09 Black (SKU RJA-ACOM-0941)</t>
  </si>
  <si>
    <t>RJA-AXIS-0005</t>
  </si>
  <si>
    <t>AXIS AIGO MINI - 17 GB + BONUS 7 HARI</t>
  </si>
  <si>
    <t>RJA-AXIS-0006</t>
  </si>
  <si>
    <t>AXIS AIGO MINI - 23 GB + BONUS 7 HARI</t>
  </si>
  <si>
    <t>RJA-AXIS-0007</t>
  </si>
  <si>
    <t>AXIS AIGO MINI - 25 GB + BONUS 14 HARI</t>
  </si>
  <si>
    <t>RJA-AXIS-0008</t>
  </si>
  <si>
    <t>AXIS AIGO MINI - 36 GB + BONUS 14 HARI</t>
  </si>
  <si>
    <t>RJA-AXIS-0009</t>
  </si>
  <si>
    <t>AXIS AIGO SUPERMINI - 5 GB + BONUS 1 HARI</t>
  </si>
  <si>
    <t>RJA-AXIS-0010</t>
  </si>
  <si>
    <t>AXIS AIGO SUPERMINI - 5 GB + BONUS 2 HARI</t>
  </si>
  <si>
    <t>RJA-AXIS-0011</t>
  </si>
  <si>
    <t>AXIS AIGO SUPERMINI - 3 GB + BONUS 3 HARI</t>
  </si>
  <si>
    <t>RJA-AXIS-0012</t>
  </si>
  <si>
    <t>RJA-ACOM-0011</t>
  </si>
  <si>
    <t>AXIS AIGO SUPERMINI - 5 GB + BONUS 3 HARI</t>
  </si>
  <si>
    <t>ACOME Tws Earphone Inpods AT03 Green</t>
  </si>
  <si>
    <t>RJA-AXIS-0013</t>
  </si>
  <si>
    <t>AXIS AIGO SUPERMINI - 2.5 GB + BONUS LOKAL 3 HARI</t>
  </si>
  <si>
    <t>RJA-AXIS-0014</t>
  </si>
  <si>
    <t>AXIS AIGO SUPERMINI - 2 GB + BONUS 5 HARI</t>
  </si>
  <si>
    <t>RJA-AXIS-0015</t>
  </si>
  <si>
    <t>AXIS AIGO SUPERMINI - 5.5 GB + BONUS 5 HARI</t>
  </si>
  <si>
    <t>RJA-AXIS-0016</t>
  </si>
  <si>
    <t>AXIS AIGO SUPERMINI - 12 GB + BONUS 3 HARI</t>
  </si>
  <si>
    <t>RJA-AXIS-0017</t>
  </si>
  <si>
    <t>AXIS AIGO SUPERMINI - 30 GB + BONUS 3 HARI</t>
  </si>
  <si>
    <t>RJA-AXIS-0018</t>
  </si>
  <si>
    <t>AXIS AIGO SUPERMINI - 50 GB 5 HARI</t>
  </si>
  <si>
    <t>RJA-AXIS-0019</t>
  </si>
  <si>
    <t>AXIS BRONET - 1 GB ALL 30 HARI</t>
  </si>
  <si>
    <t>RJA-AXIS-0020</t>
  </si>
  <si>
    <t>AXIS BRONET - 2 GB + BONUS LOKAL 28 HARI</t>
  </si>
  <si>
    <t>RJA-ACOM-0012</t>
  </si>
  <si>
    <t>ACOME OWS bluetooth earphone OpenSoft AE02</t>
  </si>
  <si>
    <t>RJA-AXIS-0021</t>
  </si>
  <si>
    <t>AXIS BRONET - 3 GB + BONUS LOKAL 28 HARI</t>
  </si>
  <si>
    <t>RJA-AXIS-0022</t>
  </si>
  <si>
    <t>AXIS BRONET - 7 GB + BONUS LOKAL 28 HARI</t>
  </si>
  <si>
    <t>RJA-AXIS-0023</t>
  </si>
  <si>
    <t>AXIS BRONET - 10 GB + BONUS LOKAL 28 HARI</t>
  </si>
  <si>
    <t>RJA-AXIS-0024</t>
  </si>
  <si>
    <t>AXIS BRONET - 14 GB + BONUS LOKAL 28 HARI</t>
  </si>
  <si>
    <t>RJA-AXIS-0025</t>
  </si>
  <si>
    <t>AXIS BRONET - 26 GB + BONUS LOKAL 28 HARI</t>
  </si>
  <si>
    <t>RJA-AXIS-0026</t>
  </si>
  <si>
    <t>AXIS BRONET - 40 GB + BONUS LOKAL 28 HARI</t>
  </si>
  <si>
    <t>RJA-AXIS-0027</t>
  </si>
  <si>
    <t>AXIS BRONET - 65 GB + BONUS LOKAL 28 HARI</t>
  </si>
  <si>
    <t>RJA-AXIS-0028</t>
  </si>
  <si>
    <t>AXIS - MASA AKTIF 30 HARI</t>
  </si>
  <si>
    <t>RJA-ACOM-0013</t>
  </si>
  <si>
    <t>ACOME ACC Ows Earphone A21 Black (SKU RJA-ACOM-0944)</t>
  </si>
  <si>
    <t>RJA-AXIS-0029</t>
  </si>
  <si>
    <t>AXIS - MASA AKTIF 120 HARI</t>
  </si>
  <si>
    <t>RJA-INDO-0001</t>
  </si>
  <si>
    <t>INDOSAT FREEDOM 28 HR - 3 GB 28 HARI</t>
  </si>
  <si>
    <t>Indosat</t>
  </si>
  <si>
    <t>RJA-INDO-0002</t>
  </si>
  <si>
    <t>INDOSAT FREEDOM 28 HR - 4 GB 28 HARI</t>
  </si>
  <si>
    <t>RJA-INDO-0003</t>
  </si>
  <si>
    <t>INDOSAT FREEDOM 28 HR - 7 GB 14 HARI</t>
  </si>
  <si>
    <t>RJA-INDO-0004</t>
  </si>
  <si>
    <t>INDOSAT FREEDOM 28 HR - 6 GB 28 HARI</t>
  </si>
  <si>
    <t>RJA-INDO-0005</t>
  </si>
  <si>
    <t>INDOSAT FREEDOM 28 HR - 7 GB 28 HARI</t>
  </si>
  <si>
    <t>RJA-INDO-0006</t>
  </si>
  <si>
    <t>INDOSAT FREEDOM 28 HR - 6.5 GB 28 HARI</t>
  </si>
  <si>
    <t>RJA-INDO-0007</t>
  </si>
  <si>
    <t>INDOSAT FREEDOM 28 HR - 8 GB 28 HARI</t>
  </si>
  <si>
    <t>RJA-INDO-0008</t>
  </si>
  <si>
    <t>INDOSAT FREEDOM 28 HR - 10 GB 28 HARI</t>
  </si>
  <si>
    <t>RJA-ADAP-0001</t>
  </si>
  <si>
    <t>RJA-INDO-0009</t>
  </si>
  <si>
    <t>ADAPTER 7IN1 TYPE C+ USB A GREY</t>
  </si>
  <si>
    <t>INDOSAT FREEDOM 28 HR - 13 GB 28 HARI</t>
  </si>
  <si>
    <t>RJA-INDO-0010</t>
  </si>
  <si>
    <t>WELCOME</t>
  </si>
  <si>
    <t>INDOSAT FREEDOM 28 HR - 16 GB 28 HARI</t>
  </si>
  <si>
    <t>ADAPTER</t>
  </si>
  <si>
    <t>RJA-INDO-0011</t>
  </si>
  <si>
    <t>INDOSAT FREEDOM 28 HR - 9 GB 28 HARI</t>
  </si>
  <si>
    <t>RJA-INDO-0012</t>
  </si>
  <si>
    <t>INDOSAT FREEDOM 28 HR - 12 GB 28 HARI</t>
  </si>
  <si>
    <t>RJA-INDO-0013</t>
  </si>
  <si>
    <t>INDOSAT FREEDOM 28 HR - 14 GB 28 HARI</t>
  </si>
  <si>
    <t>RJA-INDO-0014</t>
  </si>
  <si>
    <t>INDOSAT FREEDOM 28 HR - 15 GB 28 HARI</t>
  </si>
  <si>
    <t>RJA-INDO-0015</t>
  </si>
  <si>
    <t>INDOSAT FREEDOM 28 HR - 18 GB 28 HARI</t>
  </si>
  <si>
    <t>RJA-INDO-0016</t>
  </si>
  <si>
    <t>INDOSAT FREEDOM 28 HR - 20 GB 28 HARI</t>
  </si>
  <si>
    <t>RJA-INDO-0017</t>
  </si>
  <si>
    <t>INDOSAT FREEDOM 28 HR - 24 GB 28 HARI</t>
  </si>
  <si>
    <t>RJA-INDO-0018</t>
  </si>
  <si>
    <t>INDOSAT FREEDOM 28 HR - 25 GB 28 HARI</t>
  </si>
  <si>
    <t>RJA-INDO-0019</t>
  </si>
  <si>
    <t>MOUSEPAD GAMER</t>
  </si>
  <si>
    <t>INDOSAT FREEDOM 28 HR - 28 GB 28 HARI</t>
  </si>
  <si>
    <t>NO BRAND</t>
  </si>
  <si>
    <t>MOUSEPAD</t>
  </si>
  <si>
    <t>RJA-INDO-0020</t>
  </si>
  <si>
    <t>INDOSAT FREEDOM 28 HR - 30 GB 28 HARI</t>
  </si>
  <si>
    <t>RJA-INDO-0021</t>
  </si>
  <si>
    <t>INDOSAT FREEDOM 28 HR - 40 GB 28 HARI</t>
  </si>
  <si>
    <t>RJA-INDO-0022</t>
  </si>
  <si>
    <t>INDOSAT FREEDOM 28 HR - 45 GB 28 HARI</t>
  </si>
  <si>
    <t>RJA-INDO-0023</t>
  </si>
  <si>
    <t>INDOSAT FREEDOM 28 HR - 50 GB 28 HARI</t>
  </si>
  <si>
    <t>RJA-INDO-0024</t>
  </si>
  <si>
    <t>INDOSAT FREEDOM 28 HR - 42 GB 28 HARI</t>
  </si>
  <si>
    <t>RJA-INDO-0025</t>
  </si>
  <si>
    <t>INDOSAT FREEDOM 28 HR - 55 GB 28 HARI</t>
  </si>
  <si>
    <t>RJA-INDO-0026</t>
  </si>
  <si>
    <t>INDOSAT FREEDOM 28 HR - 65 GB 28 HARI</t>
  </si>
  <si>
    <t>RJA-INDO-0027</t>
  </si>
  <si>
    <t>INDOSAT FREEDOM 28 HR - 70 GB 28 HARI</t>
  </si>
  <si>
    <t>RJA-INDO-0028</t>
  </si>
  <si>
    <t>INDOSAT FREEDOM 28 HR - 100 GB 28 HARI</t>
  </si>
  <si>
    <t>RJA-ANTE-0001</t>
  </si>
  <si>
    <t>ANTENA AUX</t>
  </si>
  <si>
    <t>RJA-INDO-0029</t>
  </si>
  <si>
    <t>INDOSAT FREEDOM 28 HR - 80 GB 28 HARI</t>
  </si>
  <si>
    <t>AUX</t>
  </si>
  <si>
    <t>RJA-INDO-0030</t>
  </si>
  <si>
    <t>INDOSAT FREEDOM 28 HR - 125 GB 28 HARI</t>
  </si>
  <si>
    <t>RJA-INDO-0031</t>
  </si>
  <si>
    <t>INDOSAT FREEDOM 28 HR - 150 GB 28 HARI</t>
  </si>
  <si>
    <t>RJA-INDO-0032</t>
  </si>
  <si>
    <t>INDOSAT MINI PURE - 1 GB 24 JAM 14 HARI</t>
  </si>
  <si>
    <t>RJA-INDO-0033</t>
  </si>
  <si>
    <t>INDOSAT MINI PURE - 2 GB 24 JAM 7 HARI</t>
  </si>
  <si>
    <t>RJA-INDO-0034</t>
  </si>
  <si>
    <t>INDOSAT MINI PURE - 3 GB 24 JAM 30 HARI</t>
  </si>
  <si>
    <t>RJA-INDO-0035</t>
  </si>
  <si>
    <t>INDOSAT MINI PURE - 4 GB 24 JAM 30 HARI</t>
  </si>
  <si>
    <t>RJA-INDO-0036</t>
  </si>
  <si>
    <t>INDOSAT MINI PURE - 5 GB 24 JAM 30 HARI</t>
  </si>
  <si>
    <t>RJA-INDO-0037</t>
  </si>
  <si>
    <t>INDOSAT MINI PURE - 6 GB 24 JAM 30 HARI</t>
  </si>
  <si>
    <t>RJA-INDO-0038</t>
  </si>
  <si>
    <t>INDOSAT MINI PURE - 7 GB 24 JAM 30 HARI</t>
  </si>
  <si>
    <t>RJA-ARCB-0001</t>
  </si>
  <si>
    <t>RJA-INDO-0039</t>
  </si>
  <si>
    <t>INDOSAT MINI PURE - 8 GB 24 JAM 30 HARI</t>
  </si>
  <si>
    <t>ARC BBQ LIGHTER</t>
  </si>
  <si>
    <t>Aksesoris Lainnya</t>
  </si>
  <si>
    <t>RJA-INDO-0040</t>
  </si>
  <si>
    <t>INDOSAT MINI PURE - 10 GB 24 JAM 30 HARI</t>
  </si>
  <si>
    <t>RJA-INDO-0041</t>
  </si>
  <si>
    <t>INDOSAT MINI PURE - 12 GB 24 JAM 30 HARI</t>
  </si>
  <si>
    <t>RJA-INDO-0042</t>
  </si>
  <si>
    <t>INDOSAT MINI NASIONAL - FREEDOM MINI 1 GB 2 HARI</t>
  </si>
  <si>
    <t>RJA-INDO-0043</t>
  </si>
  <si>
    <t>INDOSAT MINI NASIONAL - FREEDOM MINI 5 GB 2 HARI</t>
  </si>
  <si>
    <t>RJA-INDO-0044</t>
  </si>
  <si>
    <t>INDOSAT MINI NASIONAL - FREEDOM MINI 6 GB 2 HARI</t>
  </si>
  <si>
    <t>RJA-INDO-0045</t>
  </si>
  <si>
    <t>INDOSAT MINI NASIONAL - FREEDOM MINI 3.5 GB 3 HARI</t>
  </si>
  <si>
    <t>RJA-INDO-0046</t>
  </si>
  <si>
    <t>INDOSAT MINI NASIONAL - FREEDOM MINI 5 GB 3 HARI</t>
  </si>
  <si>
    <t>RJA-INDO-0047</t>
  </si>
  <si>
    <t>INDOSAT MINI NASIONAL - FREEDOM MINI 4 GB 5 HARI</t>
  </si>
  <si>
    <t>RJA-AUX2-0001</t>
  </si>
  <si>
    <t>RJA-INDO-0048</t>
  </si>
  <si>
    <t>INDOSAT MINI NASIONAL - FREEDOM MINI 6 GB 3 HARI</t>
  </si>
  <si>
    <t>AUX 2 IN 1 1,5 M</t>
  </si>
  <si>
    <t>RJA-INDO-0049</t>
  </si>
  <si>
    <t>INDOSAT MINI NASIONAL - FREEDOM MINI 5 GB 5 HARI</t>
  </si>
  <si>
    <t>RJA-INDO-0050</t>
  </si>
  <si>
    <t>INDOSAT MINI NASIONAL - FREEDOM MINI 6 GB 5 HARI</t>
  </si>
  <si>
    <t>RJA-INDO-0051</t>
  </si>
  <si>
    <t>INDOSAT MINI NASIONAL - FREEDOM MINI 9 GB 5 HARI</t>
  </si>
  <si>
    <t>RJA-INDO-0052</t>
  </si>
  <si>
    <t>INDOSAT MINI NASIONAL - FREEDOM MINI 20 GB 3 HARI</t>
  </si>
  <si>
    <t>RJA-INDO-0053</t>
  </si>
  <si>
    <t>INDOSAT MINI NASIONAL - FREEDOM MINI 7 GB 5 HARI</t>
  </si>
  <si>
    <t>RJA-INDO-0054</t>
  </si>
  <si>
    <t>RJA-AUX2-0002</t>
  </si>
  <si>
    <t>INDOSAT MINI NASIONAL - FREEDOM MINI 7 GB 14 HARI</t>
  </si>
  <si>
    <t>AUX 2 IN 1 1 M</t>
  </si>
  <si>
    <t>RJA-INDO-0055</t>
  </si>
  <si>
    <t>INDOSAT MINI NASIONAL - FREEDOM MINI 9 GB 7 HARI</t>
  </si>
  <si>
    <t>RJA-INDO-0056</t>
  </si>
  <si>
    <t>INDOSAT MINI NASIONAL - FREEDOM MINI 10 GB 14 HARI</t>
  </si>
  <si>
    <t>RJA-INDO-0057</t>
  </si>
  <si>
    <t>INDOSAT MINI NASIONAL - FREEDOM MINI 30 GB 5 HARI</t>
  </si>
  <si>
    <t>RJA-INDO-0058</t>
  </si>
  <si>
    <t>INDOSAT MINI NASIONAL - FREEDOM MINI 17 GB 7 HARI</t>
  </si>
  <si>
    <t>RJA-INDO-0059</t>
  </si>
  <si>
    <t>INDOSAT DATA - 1 GB/HARI 7 HARI</t>
  </si>
  <si>
    <t>RJA-INDO-0060</t>
  </si>
  <si>
    <t>INDOSAT DATA - 1 GB/HARI 14 HARI</t>
  </si>
  <si>
    <t>RJA-INDO-0061</t>
  </si>
  <si>
    <t>INDOSAT DATA - 1 GB/HARI 30 HARI</t>
  </si>
  <si>
    <t>RJA-INDO-0062</t>
  </si>
  <si>
    <t>INDOSAT FREEDOM COMBO - 4 GB + 2GB MLM 30 HARI</t>
  </si>
  <si>
    <t>RJA-INDO-0063</t>
  </si>
  <si>
    <t>INDOSAT FREEDOM COMBO - 7 GB + 3GB MLM 30 HARI</t>
  </si>
  <si>
    <t>RJA-AUXA-0001</t>
  </si>
  <si>
    <t>RJA-INDO-0064</t>
  </si>
  <si>
    <t>INDOSAT FREEDOM COMBO - 16 GB + 5GB MLM 30 HARI</t>
  </si>
  <si>
    <t>AUX ACCESORIES</t>
  </si>
  <si>
    <t>RJA-INDO-0065</t>
  </si>
  <si>
    <t>INDOSAT FREEDOM COMBO - 23 GB + 7GB MLM 30 HARI</t>
  </si>
  <si>
    <t>RJA-SMAR-0002</t>
  </si>
  <si>
    <t>SMART DATA MINI - 1 GB 3 HARI</t>
  </si>
  <si>
    <t>Smart</t>
  </si>
  <si>
    <t>RJA-SMAR-0003</t>
  </si>
  <si>
    <t>SMART DATA MINI - 2 GB 3 HARI</t>
  </si>
  <si>
    <t>RJA-SMAR-0004</t>
  </si>
  <si>
    <t>SMART DATA MINI - 1 GB ALL 24 JAM 7 HARI</t>
  </si>
  <si>
    <t>RJA-SMAR-0005</t>
  </si>
  <si>
    <t>SMART DATA MINI - 1.5 GB ALL 24 JAM 7 HARI</t>
  </si>
  <si>
    <t>RJA-SMAR-0006</t>
  </si>
  <si>
    <t>SMART DATA MINI - 3 GB 5 HARI</t>
  </si>
  <si>
    <t>RJA-SMAR-0007</t>
  </si>
  <si>
    <t>SMART DATA MINI - 6 GB 7 HARI</t>
  </si>
  <si>
    <t>RJA-SMAR-0008</t>
  </si>
  <si>
    <t>SMART DATA MINI - 4 GB + UNLIMITED APP 14 HARI</t>
  </si>
  <si>
    <t>RJA-AUXA-0002</t>
  </si>
  <si>
    <t>AUX AV-005 1,5</t>
  </si>
  <si>
    <t>RJA-SMAR-0009</t>
  </si>
  <si>
    <t>SMART DATA MINI - 10 GB 6 HARI</t>
  </si>
  <si>
    <t>RJA-SMAR-0010</t>
  </si>
  <si>
    <t>SMART DATA MINI - 5 GB 14 HARI</t>
  </si>
  <si>
    <t>RJA-SMAR-0011</t>
  </si>
  <si>
    <t>SMART DATA MINI - 15 GB 10 HARI</t>
  </si>
  <si>
    <t>RJA-SMAR-0012</t>
  </si>
  <si>
    <t>SMART DATA MINI - 7 GB 30 HARI</t>
  </si>
  <si>
    <t>RJA-SMAR-0013</t>
  </si>
  <si>
    <t>SMART DATA MINI - 17 GB 14 HARI</t>
  </si>
  <si>
    <t>RJA-SMAR-0014</t>
  </si>
  <si>
    <t>SMART DATA MINI - 40 GB 14 HARI</t>
  </si>
  <si>
    <t>RJA-SMAR-0015</t>
  </si>
  <si>
    <t>SMART DATA MINI - 66 GB 28 HARI</t>
  </si>
  <si>
    <t>RJA-SMAR-0016</t>
  </si>
  <si>
    <t>SMART VOLUME BASED - 10 GB ALL 6 HARI</t>
  </si>
  <si>
    <t>RJA-SMAR-0017</t>
  </si>
  <si>
    <t>SMART VOLUME BASED - 15 GB ALL 10 HARI</t>
  </si>
  <si>
    <t>RJA-SMAR-0018</t>
  </si>
  <si>
    <t>SMART VOLUME BASED - 7 GB 30 HARI</t>
  </si>
  <si>
    <t>RJA-AUXA-0003</t>
  </si>
  <si>
    <t>RJA-SMAR-0019</t>
  </si>
  <si>
    <t>AUX ALIEN</t>
  </si>
  <si>
    <t>SMART VOLUME BASED - 17 GB 14 HARI</t>
  </si>
  <si>
    <t>ALIENS</t>
  </si>
  <si>
    <t>RJA-SMAR-0020</t>
  </si>
  <si>
    <t>SMART VOLUME BASED - 40 GB ALL 14 HARI</t>
  </si>
  <si>
    <t>RJA-SMAR-0021</t>
  </si>
  <si>
    <t>SMART VOLUME BASED - 50 GB ALL 30 HARI</t>
  </si>
  <si>
    <t>RJA-SMAR-0022</t>
  </si>
  <si>
    <t>SMART VOLUME BASED - 66 GB 28 HARI</t>
  </si>
  <si>
    <t>RJA-SMAR-0023</t>
  </si>
  <si>
    <t>SMART UNLIMITED FUP - UNLIMITED FUP 1 GB 3 HARI</t>
  </si>
  <si>
    <t>RJA-SMAR-0024</t>
  </si>
  <si>
    <t>RJA-AUXA-0004</t>
  </si>
  <si>
    <t>AUX AV-003 (SKU RJA-AUXA-0066)</t>
  </si>
  <si>
    <t>AUX AV-003 1,5 M</t>
  </si>
  <si>
    <t>SMART UNLIMITED FUP - UNLIMITED FUP 3 GB 3 HARI</t>
  </si>
  <si>
    <t>RJA-SMAR-0025</t>
  </si>
  <si>
    <t>RJA-AUXA-0005</t>
  </si>
  <si>
    <t>SMART UNLIMITED FUP - UNLIMITED FUP 1 GB 7 HARI</t>
  </si>
  <si>
    <t>AUX AV-003 (SKU RJA-AUXA-0067)</t>
  </si>
  <si>
    <t>RJA-SMAR-0026</t>
  </si>
  <si>
    <t>SMART UNLIMITED FUP - UNLIMITED FUP 2 GB 7 HARI</t>
  </si>
  <si>
    <t>RJA-SMAR-0027</t>
  </si>
  <si>
    <t>SMART UNLIMITED FUP - UNLIMITED FUP 3 GB 7 HARI</t>
  </si>
  <si>
    <t>RJA-SMAR-0028</t>
  </si>
  <si>
    <t>SMART UNLIMITED FUP - UNLIMITED FUP 1 GB 14 HARI</t>
  </si>
  <si>
    <t>RJA-SMAR-0029</t>
  </si>
  <si>
    <t>SMART UNLIMITED FUP - UNLIMITED FUP 1 GB 28 HARI</t>
  </si>
  <si>
    <t>RJA-SMAR-0030</t>
  </si>
  <si>
    <t>SMART UNLIMITED FUP - UNLIMITED FUP 2 GB 28 HARI</t>
  </si>
  <si>
    <t>RJA-SMAR-0031</t>
  </si>
  <si>
    <t>SMART UNLIMITED FUP - UNLIMITED FUP 3 GB 28 HARI</t>
  </si>
  <si>
    <t>RJA-AUXD-0001</t>
  </si>
  <si>
    <t>AUX DAP D-AU07</t>
  </si>
  <si>
    <t>DAP</t>
  </si>
  <si>
    <t>RJA-SMAR-0032</t>
  </si>
  <si>
    <t>SMART NONSTOP - 10 GB NONSTOP 30 HARI</t>
  </si>
  <si>
    <t>RJA-SMAR-0033</t>
  </si>
  <si>
    <t>SMART NONSTOP - 20 GB NONSTOP 30 HARI</t>
  </si>
  <si>
    <t>RJA-SMAR-0034</t>
  </si>
  <si>
    <t>SMART NONSTOP - 30 GB NONSTOP 30 HARI</t>
  </si>
  <si>
    <t>RJA-SMAR-0035</t>
  </si>
  <si>
    <t>SMART NONSTOP - 35 GB NONSTOP 30 HARI</t>
  </si>
  <si>
    <t>RJA-SMAR-0036</t>
  </si>
  <si>
    <t>SMART NONSTOP APPS - 3 GB + UNLIMITED APP 14 HARI</t>
  </si>
  <si>
    <t>RJA-SMAR-0037</t>
  </si>
  <si>
    <t>SMART NONSTOP APPS - 4 GB + UNLIMITED APP 14 HARI</t>
  </si>
  <si>
    <t>RJA-AUXD-0002</t>
  </si>
  <si>
    <t>RJA-SMAR-0038</t>
  </si>
  <si>
    <t>SMART NONSTOP APPS - 10 GB + UNLIMITED APP 14 HARI</t>
  </si>
  <si>
    <t>AUX DAP D-AU08</t>
  </si>
  <si>
    <t>RJA-SMAR-0039</t>
  </si>
  <si>
    <t>SMART NONSTOP APPS - 7 GB + UNLIMITED APP 28 HARI</t>
  </si>
  <si>
    <t>RJA-SMAR-0040</t>
  </si>
  <si>
    <t>SMART NONSTOP APPS - 10 GB + UNLIMITED APP 30 HARI</t>
  </si>
  <si>
    <t>RJA-SMAR-0041</t>
  </si>
  <si>
    <t>SMART NONSTOP APPS - 16 GB + UNLIMITED APP 28 HARI</t>
  </si>
  <si>
    <t>RJA-SMAR-0042</t>
  </si>
  <si>
    <t>SMART NONSTOP APPS - 24 GB + UNLIMITED APP 28 HARI</t>
  </si>
  <si>
    <t>RJA-SMAR-0043</t>
  </si>
  <si>
    <t>SMART NONSTOP APPS - 30 GB + UNLIMITED APP 28 HARI</t>
  </si>
  <si>
    <t>RJA-SMAR-0044</t>
  </si>
  <si>
    <t>SMART NONSTOP APPS - 35 GB + UNLIMITED APP 30 HARI</t>
  </si>
  <si>
    <t>RJA-SMAR-0045</t>
  </si>
  <si>
    <t>SMART NONSTOP APPS - 75 GB + UNLIMITED APP 30 HARI</t>
  </si>
  <si>
    <t>RJA-TELK-0001</t>
  </si>
  <si>
    <t>TELKOMSEL FLASH - 500 MB 7 HARI</t>
  </si>
  <si>
    <t>Telkomsel</t>
  </si>
  <si>
    <t>RJA-AUXD-0003</t>
  </si>
  <si>
    <t>AUX DAP D-AU09</t>
  </si>
  <si>
    <t>RJA-TELK-0002</t>
  </si>
  <si>
    <t>TELKOMSEL FLASH - 1 GB NASIONAL 30 HARI</t>
  </si>
  <si>
    <t>RJA-TELK-0003</t>
  </si>
  <si>
    <t>TELKOMSEL FLASH - 2 GB NASIONAL 30 HARI</t>
  </si>
  <si>
    <t>RJA-TELK-0004</t>
  </si>
  <si>
    <t>TELKOMSEL FLASH - 3 GB NASIONAL 30 HARI</t>
  </si>
  <si>
    <t>RJA-TELK-0005</t>
  </si>
  <si>
    <t>TELKOMSEL FLASH - 4 GB NASIONAL 30 HARI</t>
  </si>
  <si>
    <t>RJA-TELK-0006</t>
  </si>
  <si>
    <t>TELKOMSEL FLASH - 5 GB NASIONAL 30 HARI</t>
  </si>
  <si>
    <t>RJA-TELK-0007</t>
  </si>
  <si>
    <t>TELKOMSEL FLASH - 6 GB NASIONAL 30 HARI</t>
  </si>
  <si>
    <t>RJA-TELK-0008</t>
  </si>
  <si>
    <t>TELKOMSEL FLASH - 7 GB NASIONAL 30 HARI</t>
  </si>
  <si>
    <t>RJA-TELK-0009</t>
  </si>
  <si>
    <t>TELKOMSEL FLASH - 8 GB NASIONAL 30 HARI</t>
  </si>
  <si>
    <t>RJA-AUXD-0004</t>
  </si>
  <si>
    <t>RJA-TELK-0010</t>
  </si>
  <si>
    <t>AUX DAP D-AU13</t>
  </si>
  <si>
    <t>TELKOMSEL FLASH - 9 GB NASIONAL 30 HARI</t>
  </si>
  <si>
    <t>RJA-TELK-0011</t>
  </si>
  <si>
    <t>TELKOMSEL FLASH - 10 GB NASIONAL 30 HARI</t>
  </si>
  <si>
    <t>RJA-TELK-0012</t>
  </si>
  <si>
    <t>TELKOMSEL FLASH - 11 GB NASIONAL 30 HARI</t>
  </si>
  <si>
    <t>RJA-TELK-0013</t>
  </si>
  <si>
    <t>TELKOMSEL FLASH - 12 GB NASIONAL 30 HARI</t>
  </si>
  <si>
    <t>RJA-TELK-0014</t>
  </si>
  <si>
    <t>TELKOMSEL FLASH - 14 GB NASIONAL 30 HARI</t>
  </si>
  <si>
    <t>RJA-TELK-0015</t>
  </si>
  <si>
    <t>TELKOMSEL FLASH - 15 GB NASIONAL 30 HARI</t>
  </si>
  <si>
    <t>RJA-TELK-0016</t>
  </si>
  <si>
    <t>TELKOMSEL FLASH - 17 GB NASIONAL 30 HARI</t>
  </si>
  <si>
    <t>RJA-AUXD-0005</t>
  </si>
  <si>
    <t>RJA-TELK-0017</t>
  </si>
  <si>
    <t>AUX DAP D-AU12</t>
  </si>
  <si>
    <t>TELKOMSEL FLASH - 18 GB NASIONAL 30 HARI</t>
  </si>
  <si>
    <t>RJA-TELK-0018</t>
  </si>
  <si>
    <t>TELKOMSEL FLASH - 20 GB NASIONAL 30 HARI</t>
  </si>
  <si>
    <t>RJA-TELK-0019</t>
  </si>
  <si>
    <t>TELKOMSEL FLASH - 25 GB NASIONAL 30 HARI</t>
  </si>
  <si>
    <t>RJA-TELK-0020</t>
  </si>
  <si>
    <t>TELKOMSEL FLASH - 30 GB NASIONAL 30 HARI</t>
  </si>
  <si>
    <t>RJA-TELK-0021</t>
  </si>
  <si>
    <t>TELKOMSEL MINI LOKAL JABAR/JABO - 6 GB 2 HARI</t>
  </si>
  <si>
    <t>RJA-TELK-0022</t>
  </si>
  <si>
    <t>TELKOMSEL MINI LOKAL JABAR/JABO - 4 GB 5 HARI</t>
  </si>
  <si>
    <t>RJA-AUXD-0006</t>
  </si>
  <si>
    <t>AUX DAP D-AU19</t>
  </si>
  <si>
    <t>RJA-TELK-0023</t>
  </si>
  <si>
    <t>TELKOMSEL MINI LOKAL JABAR/JABO - 6 GB 5 HARI</t>
  </si>
  <si>
    <t>RJA-TELK-0024</t>
  </si>
  <si>
    <t>TELKOMSEL MINI LOKAL JABAR/JABO - 7 GB 3 HARI</t>
  </si>
  <si>
    <t>RJA-TELK-0025</t>
  </si>
  <si>
    <t>TELKOMSEL MINI LOKAL JABAR/JABO - 5 GB 7 HARI</t>
  </si>
  <si>
    <t>RJA-TELK-0026</t>
  </si>
  <si>
    <t>TELKOMSEL MINI LOKAL JABAR/JABO - 7 GB 5 HARI</t>
  </si>
  <si>
    <t>RJA-TELK-0027</t>
  </si>
  <si>
    <t>TELKOMSEL MINI LOKAL JABAR/JABO - 9 GB 5 HARI</t>
  </si>
  <si>
    <t>RJA-TELK-0028</t>
  </si>
  <si>
    <t>TELKOMSEL MINI LOKAL JABAR/JABO - 7 GB 7 HARI</t>
  </si>
  <si>
    <t>RJA-TELK-0029</t>
  </si>
  <si>
    <t>TELKOMSEL MINI LOKAL JABAR/JABO - 9 GB 7 HARI</t>
  </si>
  <si>
    <t>RJA-TELK-0030</t>
  </si>
  <si>
    <t>TELKOMSEL MINI LOKAL JABAR/JABO - 7 GB 28 HARI</t>
  </si>
  <si>
    <t>RJA-AUXD-0007</t>
  </si>
  <si>
    <t>RJA-TELK-0031</t>
  </si>
  <si>
    <t>TELKOMSEL MINI LOKAL JABAR/JABO - 12 GB 7 HARI</t>
  </si>
  <si>
    <t>AUX DAP 3 CABANG D-AU06</t>
  </si>
  <si>
    <t>RJA-TELK-0032</t>
  </si>
  <si>
    <t>TELKOMSEL MINI LOKAL JABAR/JABO - 10 GB 28 HARI</t>
  </si>
  <si>
    <t>RJA-TELK-0033</t>
  </si>
  <si>
    <t>TELKOMSEL MINI LOKAL JABAR/JABO - 18 GB 28 HARI</t>
  </si>
  <si>
    <t>RJA-TELK-0034</t>
  </si>
  <si>
    <t>TELKOMSEL MINI LOKAL JABAR/JABO - 25 GB 28 HARI</t>
  </si>
  <si>
    <t>RJA-TELK-0035</t>
  </si>
  <si>
    <t>TELKOMSEL MINI LOKAL JABAR/JABO - 42 GB 28 HARI</t>
  </si>
  <si>
    <t>RJA-TELK-0036</t>
  </si>
  <si>
    <t>TELKOMSEL 1 HARI - 2 GB ALL 1 HARI</t>
  </si>
  <si>
    <t>RJA-TELK-0037</t>
  </si>
  <si>
    <t>TELKOMSEL 1 HARI - 3 GB ALL 1 HARI</t>
  </si>
  <si>
    <t>RJA-TELK-0038</t>
  </si>
  <si>
    <t>TELKOMSEL 1 HARI - 5 GB ALL 1 HARI</t>
  </si>
  <si>
    <t>RJA-TELK-0039</t>
  </si>
  <si>
    <t>TELKOMSEL 1 HARI - 6 GB ALL 1 HARI</t>
  </si>
  <si>
    <t>RJA-AUXG-0001</t>
  </si>
  <si>
    <t>RJA-TELK-0040</t>
  </si>
  <si>
    <t>AUX GOLD SIKU</t>
  </si>
  <si>
    <t>TELKOMSEL 1 HARI - 7 GB ALL 1 HARI</t>
  </si>
  <si>
    <t>RJA-TELK-0041</t>
  </si>
  <si>
    <t>TELKOMSEL 3 HARI - 1 GB 3 HARI</t>
  </si>
  <si>
    <t>RJA-TELK-0042</t>
  </si>
  <si>
    <t>TELKOMSEL 3 HARI - 1.5 GB 3 HARI</t>
  </si>
  <si>
    <t>RJA-TELK-0043</t>
  </si>
  <si>
    <t>TELKOMSEL 3 HARI - 2 GB 3 HARI</t>
  </si>
  <si>
    <t>RJA-TELK-0044</t>
  </si>
  <si>
    <t>TELKOMSEL 3 HARI - 3 GB 3 HARI</t>
  </si>
  <si>
    <t>RJA-TELK-0045</t>
  </si>
  <si>
    <t>TELKOMSEL 3 HARI - 7 GB 3 HARI</t>
  </si>
  <si>
    <t>RJA-TELK-0046</t>
  </si>
  <si>
    <t>TELKOMSEL 3 HARI - 10 GB 3 HARI</t>
  </si>
  <si>
    <t>RJA-TELK-0047</t>
  </si>
  <si>
    <t>TELKOMSEL 5 HARI - 2.5 GB 5 HARI</t>
  </si>
  <si>
    <t>RJA-TELK-0048</t>
  </si>
  <si>
    <t>TELKOMSEL 5 HARI - 3 GB 5 HARI</t>
  </si>
  <si>
    <t>RJA-TELK-0049</t>
  </si>
  <si>
    <t>TELKOMSEL 5 HARI - 5 GB 5 HARI</t>
  </si>
  <si>
    <t>RJA-AUXT-0001</t>
  </si>
  <si>
    <t>AUX TO FEMALE DAN MALE</t>
  </si>
  <si>
    <t>RJA-TELK-0050</t>
  </si>
  <si>
    <t>TELKOMSEL 5 HARI - 7 GB 5 HARI</t>
  </si>
  <si>
    <t>RJA-TELK-0051</t>
  </si>
  <si>
    <t>TELKOMSEL 5 HARI - 10 GB 5 HARI</t>
  </si>
  <si>
    <t>RJA-TELK-0052</t>
  </si>
  <si>
    <t>TELKOMSEL 7 HARI - 1 GB ALL 7 HARI</t>
  </si>
  <si>
    <t>RJA-TELK-0053</t>
  </si>
  <si>
    <t>TELKOMSEL 7 HARI - 2 GB ALL 7 HARI</t>
  </si>
  <si>
    <t>RJA-TELK-0054</t>
  </si>
  <si>
    <t>TELKOMSEL 7 HARI - 3 GB ALL 7 HARI</t>
  </si>
  <si>
    <t>RJA-TELK-0055</t>
  </si>
  <si>
    <t>RJA-AUXT-0002</t>
  </si>
  <si>
    <t>TELKOMSEL 7 HARI - 7 GB ALL 7 HARI</t>
  </si>
  <si>
    <t>AUX TO USB</t>
  </si>
  <si>
    <t>RJA-TELK-0056</t>
  </si>
  <si>
    <t>TELKOMSEL 7 HARI - 10 GB ALL 7 HARI</t>
  </si>
  <si>
    <t>RJA-TELK-0057</t>
  </si>
  <si>
    <t>TELKOMSEL 7 HARI - 15 GB ALL 7 HARI</t>
  </si>
  <si>
    <t>RJA-TELK-0058</t>
  </si>
  <si>
    <t>TELKOMSEL 14 HARI - 2 GB ALL 14 HARI</t>
  </si>
  <si>
    <t>RJA-TELK-0059</t>
  </si>
  <si>
    <t>TELKOMSEL 14 HARI - 3 GB ALL 14 HARI</t>
  </si>
  <si>
    <t>RJA-TELK-0060</t>
  </si>
  <si>
    <t>TELKOMSEL - MASA AKTIF 5 HARI</t>
  </si>
  <si>
    <t>RJA-TELK-0061</t>
  </si>
  <si>
    <t>TELKOMSEL - MASA AKTIF 10 HARI</t>
  </si>
  <si>
    <t>RJA-TELK-0062</t>
  </si>
  <si>
    <t>TELKOMSEL - MASA AKTIF 15 HARI</t>
  </si>
  <si>
    <t>RJA-TELK-0063</t>
  </si>
  <si>
    <t>TELKOMSEL - MASA AKTIF 30 HARI</t>
  </si>
  <si>
    <t>RJA-TELK-0064</t>
  </si>
  <si>
    <t>TELKOMSEL - MASA AKTIF 90 HARI</t>
  </si>
  <si>
    <t>RJA-TELK-0065</t>
  </si>
  <si>
    <t>TELKOMSEL - MASA AKTIF 180 HARI</t>
  </si>
  <si>
    <t>RJA-BACK-0001</t>
  </si>
  <si>
    <t>BACK COVER ANTIGORES</t>
  </si>
  <si>
    <t>RJA-TELK-0066</t>
  </si>
  <si>
    <t>TELKOMSEL - MASA AKTIF 360 HARI</t>
  </si>
  <si>
    <t>MONITORING SALDO AKTUAL</t>
  </si>
  <si>
    <t>RJA-TELK-0067</t>
  </si>
  <si>
    <t>TELKOMSEL PULSA - 5000</t>
  </si>
  <si>
    <t>RJA-TELK-0068</t>
  </si>
  <si>
    <t>TELKOMSEL PULSA - 6000</t>
  </si>
  <si>
    <t>RJA-TELK-0069</t>
  </si>
  <si>
    <t>Akun Saldo</t>
  </si>
  <si>
    <t>TELKOMSEL PULSA - 10000</t>
  </si>
  <si>
    <t>Saldo Masuk</t>
  </si>
  <si>
    <t>RJA-TELK-0070</t>
  </si>
  <si>
    <t>Saldo Keluar</t>
  </si>
  <si>
    <t>TELKOMSEL PULSA - 15000</t>
  </si>
  <si>
    <t>Saldo Aktual</t>
  </si>
  <si>
    <t>RJA-TELK-0071</t>
  </si>
  <si>
    <t>TELKOMSEL PULSA - 20000</t>
  </si>
  <si>
    <t>QTY</t>
  </si>
  <si>
    <t>Modal Via</t>
  </si>
  <si>
    <t>RJA-TELK-0072</t>
  </si>
  <si>
    <t>TELKOMSEL PULSA - 25000</t>
  </si>
  <si>
    <t>Metode Pembayaran</t>
  </si>
  <si>
    <t>Status Transaksi</t>
  </si>
  <si>
    <t>RJA-TELK-0073</t>
  </si>
  <si>
    <t>TELKOMSEL PULSA - 30000</t>
  </si>
  <si>
    <t>RJA-TELK-0074</t>
  </si>
  <si>
    <t>TELKOMSEL PULSA - 35000</t>
  </si>
  <si>
    <t>RJA-BATE-0001</t>
  </si>
  <si>
    <t>RJA-TELK-0075</t>
  </si>
  <si>
    <t>TELKOMSEL PULSA - 40000</t>
  </si>
  <si>
    <t>BATERAI SAMSUNG</t>
  </si>
  <si>
    <t>BANDO</t>
  </si>
  <si>
    <t>RJA-TELK-0076</t>
  </si>
  <si>
    <t>TELKOMSEL PULSA - 45000</t>
  </si>
  <si>
    <t>RJA-TELK-0077</t>
  </si>
  <si>
    <t>TELKOMSEL PULSA - 50000</t>
  </si>
  <si>
    <t>RJA-TELK-0078</t>
  </si>
  <si>
    <t>TELKOMSEL PULSA - 55000</t>
  </si>
  <si>
    <t>RJA-TELK-0079</t>
  </si>
  <si>
    <t>TELKOMSEL PULSA - 60000</t>
  </si>
  <si>
    <t>RJA-TELK-0080</t>
  </si>
  <si>
    <t>TELKOMSEL PULSA - 65000</t>
  </si>
  <si>
    <t>RJA-TELK-0081</t>
  </si>
  <si>
    <t>TELKOMSEL PULSA - 70000</t>
  </si>
  <si>
    <t>RJA-BATE-0002</t>
  </si>
  <si>
    <t>BATERAI ADVAN</t>
  </si>
  <si>
    <t>RJA-TELK-0082</t>
  </si>
  <si>
    <t>TELKOMSEL PULSA - 75000</t>
  </si>
  <si>
    <t>RJA-TELK-0083</t>
  </si>
  <si>
    <t>TELKOMSEL PULSA - 80000</t>
  </si>
  <si>
    <t/>
  </si>
  <si>
    <t>BATERAI</t>
  </si>
  <si>
    <t>RJA-TELK-0084</t>
  </si>
  <si>
    <t>TELKOMSEL PULSA - 85000</t>
  </si>
  <si>
    <t>DANA</t>
  </si>
  <si>
    <t>RJA-TELK-0085</t>
  </si>
  <si>
    <t>TELKOMSEL PULSA - 90000</t>
  </si>
  <si>
    <t>RJA-TELK-0086</t>
  </si>
  <si>
    <t>TELKOMSEL PULSA - 95000</t>
  </si>
  <si>
    <t>RJA-TELK-0087</t>
  </si>
  <si>
    <t>TELKOMSEL PULSA - 100000</t>
  </si>
  <si>
    <t>RJA-INDO-0066</t>
  </si>
  <si>
    <t>INDOSAT PULSA - 5000</t>
  </si>
  <si>
    <t>RJA-INDO-0067</t>
  </si>
  <si>
    <t>INDOSAT PULSA - 10000</t>
  </si>
  <si>
    <t>RJA-INDO-0068</t>
  </si>
  <si>
    <t>INDOSAT PULSA - 12000</t>
  </si>
  <si>
    <t>RJA-INDO-0069</t>
  </si>
  <si>
    <t>INDOSAT PULSA - 15000</t>
  </si>
  <si>
    <t>RJA-INDO-0070</t>
  </si>
  <si>
    <t>INDOSAT PULSA - 20000</t>
  </si>
  <si>
    <t>RJA-INDO-0071</t>
  </si>
  <si>
    <t>INDOSAT PULSA - 25000</t>
  </si>
  <si>
    <t>RJA-INDO-0072</t>
  </si>
  <si>
    <t>INDOSAT PULSA - 30000</t>
  </si>
  <si>
    <t>RJA-INDO-0073</t>
  </si>
  <si>
    <t>INDOSAT PULSA - 40000</t>
  </si>
  <si>
    <t>RJA-INDO-0074</t>
  </si>
  <si>
    <t>INDOSAT PULSA - 50000</t>
  </si>
  <si>
    <t>RJA-INDO-0075</t>
  </si>
  <si>
    <t>INDOSAT PULSA - 60000</t>
  </si>
  <si>
    <t>BANK MAS</t>
  </si>
  <si>
    <t>RJA-INDO-0076</t>
  </si>
  <si>
    <t>INDOSAT PULSA - 70000</t>
  </si>
  <si>
    <t>RJA-INDO-0077</t>
  </si>
  <si>
    <t>RJA-BATE-0003</t>
  </si>
  <si>
    <t>INDOSAT PULSA - 80000</t>
  </si>
  <si>
    <t>RJA-INDO-0078</t>
  </si>
  <si>
    <t>BATEREAI ANDROMAX</t>
  </si>
  <si>
    <t>INDOSAT PULSA - 90000</t>
  </si>
  <si>
    <t>RJA-INDO-0079</t>
  </si>
  <si>
    <t>INDOSAT PULSA - 100000</t>
  </si>
  <si>
    <t>RJA-INDO-0080</t>
  </si>
  <si>
    <t>INDOSAT PULSA - 115000</t>
  </si>
  <si>
    <t>RJA-INDO-0081</t>
  </si>
  <si>
    <t>INDOSAT PULSA - 125000</t>
  </si>
  <si>
    <t>RJA-INDO-0082</t>
  </si>
  <si>
    <t>INDOSAT PULSA - 150000</t>
  </si>
  <si>
    <t>RJA-XL-0047</t>
  </si>
  <si>
    <t>XL PULSA - 5000</t>
  </si>
  <si>
    <t>RJA-XL-0048</t>
  </si>
  <si>
    <t>XL PULSA - 10000</t>
  </si>
  <si>
    <t>RJA-XL-0049</t>
  </si>
  <si>
    <t>XL PULSA - 15000</t>
  </si>
  <si>
    <t>RJA-XL-0050</t>
  </si>
  <si>
    <t>XL PULSA - 25000</t>
  </si>
  <si>
    <t>RJA-XL-0051</t>
  </si>
  <si>
    <t>XL PULSA - 30000</t>
  </si>
  <si>
    <t>RJA-XL-0052</t>
  </si>
  <si>
    <t>XL PULSA - 40000</t>
  </si>
  <si>
    <t>RJA-XL-0053</t>
  </si>
  <si>
    <t>XL PULSA - 50000</t>
  </si>
  <si>
    <t>WAHANA</t>
  </si>
  <si>
    <t>RJA-XL-0054</t>
  </si>
  <si>
    <t>XL PULSA - 60000</t>
  </si>
  <si>
    <t>RJA-XL-0055</t>
  </si>
  <si>
    <t>XL PULSA - 70000</t>
  </si>
  <si>
    <t>RJA-XL-0056</t>
  </si>
  <si>
    <t>RJA-BATO-0001</t>
  </si>
  <si>
    <t>XL PULSA - 80000</t>
  </si>
  <si>
    <t>RJA-XL-0057</t>
  </si>
  <si>
    <t>Batok Ori 100% Iphone USB-C 25W Power Adapter</t>
  </si>
  <si>
    <t>XL PULSA - 90000</t>
  </si>
  <si>
    <t>IPHONE</t>
  </si>
  <si>
    <t>BATOK CHARGER</t>
  </si>
  <si>
    <t>RJA-XL-0058</t>
  </si>
  <si>
    <t>XL PULSA - 100000</t>
  </si>
  <si>
    <t>RJA-XL-0059</t>
  </si>
  <si>
    <t>XL PULSA - 150000</t>
  </si>
  <si>
    <t>RJA-AXIS-0030</t>
  </si>
  <si>
    <t>AXIS PULSA - 5000</t>
  </si>
  <si>
    <t>RJA-AXIS-0031</t>
  </si>
  <si>
    <t>AXIS PULSA - 10000</t>
  </si>
  <si>
    <t>RJA-AXIS-0032</t>
  </si>
  <si>
    <t>AXIS PULSA - 15000</t>
  </si>
  <si>
    <t>RJA-AXIS-0033</t>
  </si>
  <si>
    <t>AXIS PULSA - 25000</t>
  </si>
  <si>
    <t>RJA-AXIS-0034</t>
  </si>
  <si>
    <t>AXIS PULSA - 30000</t>
  </si>
  <si>
    <t>RJA-AXIS-0035</t>
  </si>
  <si>
    <t>AXIS PULSA - 40000</t>
  </si>
  <si>
    <t>RJA-AXIS-0036</t>
  </si>
  <si>
    <t>QRIS</t>
  </si>
  <si>
    <t>AXIS PULSA - 50000</t>
  </si>
  <si>
    <t>RJA-AXIS-0037</t>
  </si>
  <si>
    <t>AXIS PULSA - 60000</t>
  </si>
  <si>
    <t>RJA-AXIS-0038</t>
  </si>
  <si>
    <t>AXIS PULSA - 70000</t>
  </si>
  <si>
    <t>RJA-AXIS-0039</t>
  </si>
  <si>
    <t>AXIS PULSA - 80000</t>
  </si>
  <si>
    <t>RJA-BATO-0002</t>
  </si>
  <si>
    <t>RJA-AXIS-0040</t>
  </si>
  <si>
    <t>AXIS PULSA - 90000</t>
  </si>
  <si>
    <t>Batok Ori 99% Iphone14 , 35W</t>
  </si>
  <si>
    <t>RJA-AXIS-0041</t>
  </si>
  <si>
    <t>AXIS PULSA - 100000</t>
  </si>
  <si>
    <t>RJA-AXIS-0042</t>
  </si>
  <si>
    <t>AXIS PULSA - 150000</t>
  </si>
  <si>
    <t>RJA-PLN-0001</t>
  </si>
  <si>
    <t>Tagihan</t>
  </si>
  <si>
    <t>PLN Token Pra-bayar - 20 RIBU</t>
  </si>
  <si>
    <t>Pln</t>
  </si>
  <si>
    <t>RJA-PLN-0002</t>
  </si>
  <si>
    <t>PLN Token Pra-bayar - 25 RIBU</t>
  </si>
  <si>
    <t>RJA-PLN-0003</t>
  </si>
  <si>
    <t>PLN Token Pra-bayar - 50 RIBU</t>
  </si>
  <si>
    <t>RJA-PLN-0004</t>
  </si>
  <si>
    <t>PLN Token Pra-bayar - 100 RIBU</t>
  </si>
  <si>
    <t>BANK BCA</t>
  </si>
  <si>
    <t>RJA-PLN-0005</t>
  </si>
  <si>
    <t>PLN Token Pra-bayar - 200 RIBU</t>
  </si>
  <si>
    <t>RJA-PLN-0006</t>
  </si>
  <si>
    <t>PLN Token Pra-bayar - 500 RIBU</t>
  </si>
  <si>
    <t>RJA-PLN-0007</t>
  </si>
  <si>
    <t>PLN Tagihan Pasca-bayar - 10 - 200K</t>
  </si>
  <si>
    <t>RJA-PLN-0008</t>
  </si>
  <si>
    <t>PLN Tagihan Pasca-bayar - 201 - 500K</t>
  </si>
  <si>
    <t>RJA-PLN-0009</t>
  </si>
  <si>
    <t>PLN Tagihan Pasca-bayar - 500 - 1000K</t>
  </si>
  <si>
    <t>RJA-BPJS-0001</t>
  </si>
  <si>
    <t>BPJS TAGIHAN BPJS KESEHATAN - 10 - 200K</t>
  </si>
  <si>
    <t>Bpjs</t>
  </si>
  <si>
    <t>RJA-BPJS-0002</t>
  </si>
  <si>
    <t>BPJS TAGIHAN BPJS KESEHATAN - 201 - 500K</t>
  </si>
  <si>
    <t>RJA-BPJS-0003</t>
  </si>
  <si>
    <t>BPJS TAGIHAN BPJS KESEHATAN - 500 - 1000K</t>
  </si>
  <si>
    <t>RJA-BATO-0003</t>
  </si>
  <si>
    <t>RJA-INDI-0001</t>
  </si>
  <si>
    <t>INDIHOME TAGIHAN TELKOM/INDIHOME - 10 - 200K</t>
  </si>
  <si>
    <t>Indihome</t>
  </si>
  <si>
    <t>Batok Ori 100% Iphone 14 Pro Max 50W</t>
  </si>
  <si>
    <t>RJA-INDI-0002</t>
  </si>
  <si>
    <t>INDIHOME TAGIHAN TELKOM/INDIHOME - 201 - 500K</t>
  </si>
  <si>
    <t>RJA-INDI-0003</t>
  </si>
  <si>
    <t>INDIHOME TAGIHAN TELKOM/INDIHOME - 500 - 1000K</t>
  </si>
  <si>
    <t>RJA-TVPA-0001</t>
  </si>
  <si>
    <t>Tv</t>
  </si>
  <si>
    <t>TV PASCABAYAR TAGIHAN - 10 - 200K</t>
  </si>
  <si>
    <t>Tv Pascabayar</t>
  </si>
  <si>
    <t>Pilih Tanggal</t>
  </si>
  <si>
    <t>RJA-TVPA-0002</t>
  </si>
  <si>
    <t>TV PASCABAYAR TAGIHAN - 201 - 500K</t>
  </si>
  <si>
    <t>RJA-TVPA-0003</t>
  </si>
  <si>
    <t>TV PASCABAYAR TAGIHAN - 500 - 1000K</t>
  </si>
  <si>
    <t>RJA-MULT-0001</t>
  </si>
  <si>
    <t>Multifinance</t>
  </si>
  <si>
    <t>MULTIFINANCE TAGIHAN - 10 - 200K</t>
  </si>
  <si>
    <t>RJA-MULT-0002</t>
  </si>
  <si>
    <t>MULTIFINANCE TAGIHAN - 201 - 500K</t>
  </si>
  <si>
    <t>RJA-MULT-0003</t>
  </si>
  <si>
    <t>MULTIFINANCE TAGIHAN - 500 - 1000K</t>
  </si>
  <si>
    <t>RJA-FREE-0001</t>
  </si>
  <si>
    <t>Voucher Game</t>
  </si>
  <si>
    <t>FREE FIRE DIAMOND - 120</t>
  </si>
  <si>
    <t>Free Fire</t>
  </si>
  <si>
    <t>RJA-FREE-0002</t>
  </si>
  <si>
    <t>FREE FIRE DIAMOND - 130</t>
  </si>
  <si>
    <t>RJA-FREE-0003</t>
  </si>
  <si>
    <t>FREE FIRE DIAMOND - 140</t>
  </si>
  <si>
    <t>RJA-BATO-0004</t>
  </si>
  <si>
    <t>RJA-FREE-0004</t>
  </si>
  <si>
    <t>Batok Ori 99% Samsung 65watt PD Port-C</t>
  </si>
  <si>
    <t>FREE FIRE DIAMOND - 160</t>
  </si>
  <si>
    <t>SAMSUNG</t>
  </si>
  <si>
    <t>RJA-FREE-0005</t>
  </si>
  <si>
    <t>FREE FIRE DIAMOND - LEVEL UP PASS</t>
  </si>
  <si>
    <t>RJA-FREE-0006</t>
  </si>
  <si>
    <t>FREE FIRE DIAMOND - 190</t>
  </si>
  <si>
    <t>RJA-FREE-0007</t>
  </si>
  <si>
    <t>FREE FIRE DIAMOND - 200</t>
  </si>
  <si>
    <t>RJA-FREE-0008</t>
  </si>
  <si>
    <t>FREE FIRE DIAMOND - MEMBERSHIP MINGGUAN</t>
  </si>
  <si>
    <t>RJA-FREE-0009</t>
  </si>
  <si>
    <t>FREE FIRE DIAMOND - 260</t>
  </si>
  <si>
    <t>RJA-FREE-0010</t>
  </si>
  <si>
    <t>FREE FIRE DIAMOND - 280</t>
  </si>
  <si>
    <t>RJA-FREE-0011</t>
  </si>
  <si>
    <t>FREE FIRE DIAMOND - 300</t>
  </si>
  <si>
    <t>RJA-FREE-0012</t>
  </si>
  <si>
    <t>FREE FIRE DIAMOND - BOOYAH PASS(BPCARD)</t>
  </si>
  <si>
    <t>RJA-FREE-0013</t>
  </si>
  <si>
    <t>FREE FIRE DIAMOND - 360</t>
  </si>
  <si>
    <t>RJA-FREE-0014</t>
  </si>
  <si>
    <t>FREE FIRE DIAMOND - 400</t>
  </si>
  <si>
    <t>RJA-FREE-0015</t>
  </si>
  <si>
    <t>FREE FIRE DIAMOND - 475</t>
  </si>
  <si>
    <t>RJA-BATO-0005</t>
  </si>
  <si>
    <t>RJA-FREE-0016</t>
  </si>
  <si>
    <t>FREE FIRE DIAMOND - 500</t>
  </si>
  <si>
    <t>Batok Ori 99% iphone15 pro max , 35W</t>
  </si>
  <si>
    <t>RJA-FREE-0017</t>
  </si>
  <si>
    <t>FREE FIRE DIAMOND - 565</t>
  </si>
  <si>
    <t>RJA-FREE-0018</t>
  </si>
  <si>
    <t>FREE FIRE DIAMOND - 600</t>
  </si>
  <si>
    <t>RJA-FREE-0019</t>
  </si>
  <si>
    <t>FREE FIRE DIAMOND - MEMBERSHIP BULANAN</t>
  </si>
  <si>
    <t>RJA-FREE-0020</t>
  </si>
  <si>
    <t>FREE FIRE DIAMOND - 800</t>
  </si>
  <si>
    <t>RJA-MOBI-0001</t>
  </si>
  <si>
    <t>MOBILE LEGENDS DIAMOND - VOUCHER</t>
  </si>
  <si>
    <t>Mobile Legends</t>
  </si>
  <si>
    <t>RJA-PUBG-0001</t>
  </si>
  <si>
    <t>PUBG - VOUCHER</t>
  </si>
  <si>
    <t>Pubg</t>
  </si>
  <si>
    <t>RJA-GENS-0001</t>
  </si>
  <si>
    <t>GENSHIN - VOUCHER</t>
  </si>
  <si>
    <t>Genshin</t>
  </si>
  <si>
    <t>RJA-HONO-0001</t>
  </si>
  <si>
    <t>HONOR OF KING - VOUCHER</t>
  </si>
  <si>
    <t>Honor Of King</t>
  </si>
  <si>
    <t>RJA-GARE-0001</t>
  </si>
  <si>
    <t>GARENA UNDAWN - VOUCHER</t>
  </si>
  <si>
    <t>Garena Undawn</t>
  </si>
  <si>
    <t>RJA-MAGI-0001</t>
  </si>
  <si>
    <t>MAGIC CHESS - GOGO</t>
  </si>
  <si>
    <t>Magic Chess</t>
  </si>
  <si>
    <t>RJA-CALL-0001</t>
  </si>
  <si>
    <t>CALL OF DUTY - VOUCHER</t>
  </si>
  <si>
    <t>Call Of Duty</t>
  </si>
  <si>
    <t>RJA-FCMO-0001</t>
  </si>
  <si>
    <t>FC MOBILE - VOUCHER</t>
  </si>
  <si>
    <t>Fc Mobile</t>
  </si>
  <si>
    <t>RJA-POIN-0001</t>
  </si>
  <si>
    <t>POINT BLANK - ZEPETTO</t>
  </si>
  <si>
    <t>Point Blank</t>
  </si>
  <si>
    <t>RJA-AUZM-0001</t>
  </si>
  <si>
    <t>AUZ MOBILE - VOUCHER</t>
  </si>
  <si>
    <t>Auz Mobile</t>
  </si>
  <si>
    <t>RJA-RAGN-0001</t>
  </si>
  <si>
    <t>RJA-BATO-0006</t>
  </si>
  <si>
    <t>RAGNAROK - BIG CST COIN</t>
  </si>
  <si>
    <t>Ragnarok</t>
  </si>
  <si>
    <t>Batok Ori 100% Samsung Murni 45W PD Port-C (warna hitam (SKU RJA-BATO-0079)</t>
  </si>
  <si>
    <t>RJA-HAGO-0001</t>
  </si>
  <si>
    <t>HAGO - VOUCHER</t>
  </si>
  <si>
    <t>Hago</t>
  </si>
  <si>
    <t>RJA-BYU-0001</t>
  </si>
  <si>
    <t>BY U BULANAN - 1 GB 30 HARI</t>
  </si>
  <si>
    <t>By U</t>
  </si>
  <si>
    <t>RJA-BYU-0002</t>
  </si>
  <si>
    <t>BY U BULANAN - 2 GB 30 HARI</t>
  </si>
  <si>
    <t>RJA-BYU-0003</t>
  </si>
  <si>
    <t>BY U BULANAN - 3 GB 30 HARI</t>
  </si>
  <si>
    <t>RJA-BYU-0004</t>
  </si>
  <si>
    <t>BY U BULANAN - 6 GB 30 HARI</t>
  </si>
  <si>
    <t>RJA-BYU-0005</t>
  </si>
  <si>
    <t>BY U BULANAN - 7 GB 30 HARI</t>
  </si>
  <si>
    <t>RJA-BYU-0006</t>
  </si>
  <si>
    <t>BY U BULANAN - 4 GB 30 HARI</t>
  </si>
  <si>
    <t>RJA-BYU-0007</t>
  </si>
  <si>
    <t>BY U BULANAN - 5 GB 30 HARI</t>
  </si>
  <si>
    <t>RJA-BYU-0008</t>
  </si>
  <si>
    <t>BY U BULANAN - 9 GB 30 HARI</t>
  </si>
  <si>
    <t>RJA-BYU-0009</t>
  </si>
  <si>
    <t>BY U BULANAN - 10 GB 30 HARI</t>
  </si>
  <si>
    <t>RJA-BYU-0010</t>
  </si>
  <si>
    <t>BY U BULANAN - 11 GB 30 HARI</t>
  </si>
  <si>
    <t>RJA-BYU-0011</t>
  </si>
  <si>
    <t>BY U BULANAN - 12 GB 30 HARI</t>
  </si>
  <si>
    <t>RJA-BATO-0007</t>
  </si>
  <si>
    <t>RJA-BYU-0012</t>
  </si>
  <si>
    <t>Batok Ori 100% Samsung PD 25W SA-100</t>
  </si>
  <si>
    <t>BY U BULANAN - 14 GB 30 HARI</t>
  </si>
  <si>
    <t>RJA-BYU-0013</t>
  </si>
  <si>
    <t>BY U BULANAN - 18 GB 30 HARI</t>
  </si>
  <si>
    <t>RJA-BYU-0014</t>
  </si>
  <si>
    <t>BY U BULANAN - 20 GB 30 HARI</t>
  </si>
  <si>
    <t>RJA-BYU-0015</t>
  </si>
  <si>
    <t>BY U BULANAN - 33 GB 30 HARI</t>
  </si>
  <si>
    <t>RJA-BYU-0016</t>
  </si>
  <si>
    <t>BY U BULANAN - 65 GB 30 HARI</t>
  </si>
  <si>
    <t>RJA-BYU-0017</t>
  </si>
  <si>
    <t>BY U BULANAN - 42 GB 30 HARI</t>
  </si>
  <si>
    <t>RJA-BYU-0018</t>
  </si>
  <si>
    <t>BY U BULANAN - 50 GB 30 HARI</t>
  </si>
  <si>
    <t>RJA-BYU-0019</t>
  </si>
  <si>
    <t>BY U BULANAN - 57 GB 30 HARI</t>
  </si>
  <si>
    <t>RJA-BYU-0020</t>
  </si>
  <si>
    <t>BY U DATA HARIAN - 3 GB 1 HARI</t>
  </si>
  <si>
    <t>RJA-BYU-0021</t>
  </si>
  <si>
    <t>BY U DATA HARIAN - 10 GB 1 HARI</t>
  </si>
  <si>
    <t>RJA-BYU-0022</t>
  </si>
  <si>
    <t>BY U DATA HARIAN - 6 GB 3 HARI</t>
  </si>
  <si>
    <t>RJA-BYU-0023</t>
  </si>
  <si>
    <t>BY U DATA HARIAN - 4 GB 7 HARI</t>
  </si>
  <si>
    <t>RJA-BATO-0008</t>
  </si>
  <si>
    <t>RJA-BYU-0024</t>
  </si>
  <si>
    <t>BY U DATA HARIAN - 6 GB 7 HARI</t>
  </si>
  <si>
    <t>Batok Ori 100% Samsung Murni 45W PD Port-C (warna hitam (SKU RJA-BATO-0081)</t>
  </si>
  <si>
    <t>RJA-BYU-0025</t>
  </si>
  <si>
    <t>BY U DATA HARIAN - 7.5 GB 5 HARI</t>
  </si>
  <si>
    <t>RJA-BYU-0026</t>
  </si>
  <si>
    <t>BY U DATA HARIAN - 8 GB 7 HARI</t>
  </si>
  <si>
    <t>RJA-BYU-0027</t>
  </si>
  <si>
    <t>BY U DATA HARIAN - 7 GB 20 HARI</t>
  </si>
  <si>
    <t>RJA-BYU-0028</t>
  </si>
  <si>
    <t>BY U DATA HARIAN - 11 GB 20 HARI</t>
  </si>
  <si>
    <t>RJA-BYU-0029</t>
  </si>
  <si>
    <t>BY U DATA 14 HARI - 3 GB 14 HARI</t>
  </si>
  <si>
    <t>RJA-BYU-0030</t>
  </si>
  <si>
    <t>BY U DATA 14 HARI - 8 GB 14 HARI</t>
  </si>
  <si>
    <t>RJA-BYU-0031</t>
  </si>
  <si>
    <t>BY U PULSA - 5000</t>
  </si>
  <si>
    <t>RJA-BYU-0032</t>
  </si>
  <si>
    <t>BY U PULSA - 10000</t>
  </si>
  <si>
    <t>RJA-BYU-0033</t>
  </si>
  <si>
    <t>BY U PULSA - 15000</t>
  </si>
  <si>
    <t>RJA-BATO-0009</t>
  </si>
  <si>
    <t>RJA-BYU-0034</t>
  </si>
  <si>
    <t>Batok Ori 100% GAN , P-70 200watt ( 3usb + 3PD )</t>
  </si>
  <si>
    <t>BY U PULSA - 25000</t>
  </si>
  <si>
    <t>GAN</t>
  </si>
  <si>
    <t>RJA-BYU-0035</t>
  </si>
  <si>
    <t>BY U PULSA - 30000</t>
  </si>
  <si>
    <t>RJA-BYU-0036</t>
  </si>
  <si>
    <t>BY U PULSA - 35000</t>
  </si>
  <si>
    <t>RJA-BYU-0037</t>
  </si>
  <si>
    <t>BY U PULSA - 40000</t>
  </si>
  <si>
    <t>RJA-BYU-0038</t>
  </si>
  <si>
    <t>BY U PULSA - 45000</t>
  </si>
  <si>
    <t>RJA-BYU-0039</t>
  </si>
  <si>
    <t>BY U PULSA - 50000</t>
  </si>
  <si>
    <t>RJA-BYU-0040</t>
  </si>
  <si>
    <t>BY U PULSA - 55000</t>
  </si>
  <si>
    <t>RJA-BYU-0041</t>
  </si>
  <si>
    <t>BY U PULSA - 60000</t>
  </si>
  <si>
    <t>RJA-BATO-0010</t>
  </si>
  <si>
    <t>RJA-BYU-0042</t>
  </si>
  <si>
    <t>BY U PULSA - 65000</t>
  </si>
  <si>
    <t>BATOK CHARGER RT-K10S</t>
  </si>
  <si>
    <t>ROBOT</t>
  </si>
  <si>
    <t>RJA-BYU-0043</t>
  </si>
  <si>
    <t>BY U PULSA - 70000</t>
  </si>
  <si>
    <t>RJA-BYU-0044</t>
  </si>
  <si>
    <t>BY U PULSA - 75000</t>
  </si>
  <si>
    <t>RJA-BYU-0045</t>
  </si>
  <si>
    <t>BY U PULSA - 80000</t>
  </si>
  <si>
    <t>RJA-BYU-0046</t>
  </si>
  <si>
    <t>BY U PULSA - 85000</t>
  </si>
  <si>
    <t>RJA-BYU-0047</t>
  </si>
  <si>
    <t>BY U PULSA - 90000</t>
  </si>
  <si>
    <t>RJA-BYU-0048</t>
  </si>
  <si>
    <t>BY U PULSA - 95000</t>
  </si>
  <si>
    <t>RJA-BYU-0049</t>
  </si>
  <si>
    <t>BY U PULSA - 100000</t>
  </si>
  <si>
    <t>RJA-BYU-0050</t>
  </si>
  <si>
    <t>BY U PULSA - 150000</t>
  </si>
  <si>
    <t>RJA-BYU-0051</t>
  </si>
  <si>
    <t>BY U PULSA - 200000</t>
  </si>
  <si>
    <t>RJA-THRE-0052</t>
  </si>
  <si>
    <t>THREE PULSA - 5000</t>
  </si>
  <si>
    <t>RJA-THRE-0053</t>
  </si>
  <si>
    <t>THREE PULSA - 10000</t>
  </si>
  <si>
    <t>RJA-THRE-0054</t>
  </si>
  <si>
    <t>THREE PULSA - 15000</t>
  </si>
  <si>
    <t>RJA-THRE-0055</t>
  </si>
  <si>
    <t>THREE PULSA - 20000</t>
  </si>
  <si>
    <t>RJA-THRE-0056</t>
  </si>
  <si>
    <t>THREE PULSA - 25000</t>
  </si>
  <si>
    <t>RJA-THRE-0057</t>
  </si>
  <si>
    <t>RJA-BLUE-0001</t>
  </si>
  <si>
    <t>THREE PULSA - 30000</t>
  </si>
  <si>
    <t>RJA-THRE-0058</t>
  </si>
  <si>
    <t>BLUETOOTH BANDO MAX PRO2</t>
  </si>
  <si>
    <t>THREE PULSA - 40000</t>
  </si>
  <si>
    <t>RJA-THRE-0059</t>
  </si>
  <si>
    <t>THREE PULSA - 50000</t>
  </si>
  <si>
    <t>RJA-THRE-0060</t>
  </si>
  <si>
    <t>THREE PULSA - 60000</t>
  </si>
  <si>
    <t>RJA-THRE-0061</t>
  </si>
  <si>
    <t>THREE PULSA - 70000</t>
  </si>
  <si>
    <t>RJA-THRE-0062</t>
  </si>
  <si>
    <t>THREE PULSA - 75000</t>
  </si>
  <si>
    <t>RJA-THRE-0063</t>
  </si>
  <si>
    <t>THREE PULSA - 80000</t>
  </si>
  <si>
    <t>RJA-THRE-0064</t>
  </si>
  <si>
    <t>THREE PULSA - 90000</t>
  </si>
  <si>
    <t>RJA-THRE-0065</t>
  </si>
  <si>
    <t>THREE PULSA - 100000</t>
  </si>
  <si>
    <t>RJA-THRE-0066</t>
  </si>
  <si>
    <t>THREE PULSA - 125000</t>
  </si>
  <si>
    <t>RJA-THRE-0067</t>
  </si>
  <si>
    <t>THREE PULSA - 150000</t>
  </si>
  <si>
    <t>RJA-THRE-0068</t>
  </si>
  <si>
    <t>THREE PULSA - 200000</t>
  </si>
  <si>
    <t>RJA-SMAR-0046</t>
  </si>
  <si>
    <t>SMART PULSA - 5000</t>
  </si>
  <si>
    <t>RJA-SMAR-0047</t>
  </si>
  <si>
    <t>SMART PULSA - 10000</t>
  </si>
  <si>
    <t>RJA-BLUE-0005</t>
  </si>
  <si>
    <t>Aksesoris</t>
  </si>
  <si>
    <t>RJA-SMAR-0048</t>
  </si>
  <si>
    <t>BLUETOOTH RECEIVER LENYES LR- 208 ( ADA MIC )</t>
  </si>
  <si>
    <t>SMART PULSA - 12000</t>
  </si>
  <si>
    <t>LENYES</t>
  </si>
  <si>
    <t>REECIEVER</t>
  </si>
  <si>
    <t>RJA-SMAR-0049</t>
  </si>
  <si>
    <t>SMART PULSA - 15000</t>
  </si>
  <si>
    <t>Menipis</t>
  </si>
  <si>
    <t>RJA-SMAR-0050</t>
  </si>
  <si>
    <t>SMART PULSA - 20000</t>
  </si>
  <si>
    <t>RJA-SMAR-0051</t>
  </si>
  <si>
    <t>SMART PULSA - 25000</t>
  </si>
  <si>
    <t>RJA-SMAR-0052</t>
  </si>
  <si>
    <t>SMART PULSA - 30000</t>
  </si>
  <si>
    <t>RJA-SMAR-0053</t>
  </si>
  <si>
    <t>SMART PULSA - 40000</t>
  </si>
  <si>
    <t>RJA-SMAR-0054</t>
  </si>
  <si>
    <t>SMART PULSA - 45000</t>
  </si>
  <si>
    <t>RJA-SMAR-0055</t>
  </si>
  <si>
    <t>SMART PULSA - 50000</t>
  </si>
  <si>
    <t>RJA-SMAR-0056</t>
  </si>
  <si>
    <t>SMART PULSA - 55000</t>
  </si>
  <si>
    <t>RJA-SMAR-0057</t>
  </si>
  <si>
    <t>SMART PULSA - 60000</t>
  </si>
  <si>
    <t>RJA-SMAR-0058</t>
  </si>
  <si>
    <t>SMART PULSA - 65000</t>
  </si>
  <si>
    <t>RJA-BREK-0001</t>
  </si>
  <si>
    <t>RJA-SMAR-0059</t>
  </si>
  <si>
    <t>SMART PULSA - 70000</t>
  </si>
  <si>
    <t>RJA-SMAR-0060</t>
  </si>
  <si>
    <t>BREKET MOTOR STANG</t>
  </si>
  <si>
    <t>SMART PULSA - 75000</t>
  </si>
  <si>
    <t>HOLDER</t>
  </si>
  <si>
    <t>RJA-SMAR-0061</t>
  </si>
  <si>
    <t>SMART PULSA - 80000</t>
  </si>
  <si>
    <t>RJA-SMAR-0062</t>
  </si>
  <si>
    <t>SMART PULSA - 85000</t>
  </si>
  <si>
    <t>RJA-SMAR-0063</t>
  </si>
  <si>
    <t>SMART PULSA - 90000</t>
  </si>
  <si>
    <t>RJA-SMAR-0064</t>
  </si>
  <si>
    <t>SMART PULSA - 95000</t>
  </si>
  <si>
    <t>RJA-SMAR-0065</t>
  </si>
  <si>
    <t>SMART PULSA - 100000</t>
  </si>
  <si>
    <t>RJA-ETOL-0001</t>
  </si>
  <si>
    <t>E-Wallet</t>
  </si>
  <si>
    <t>BNI TAPCASH - 20K</t>
  </si>
  <si>
    <t>E Toll</t>
  </si>
  <si>
    <t>RJA-ETOL-0002</t>
  </si>
  <si>
    <t>BNI TAPCASH - 50K</t>
  </si>
  <si>
    <t>RJA-ETOL-0003</t>
  </si>
  <si>
    <t>BNI TAPCASH - 1000K</t>
  </si>
  <si>
    <t>RJA-ETOL-0004</t>
  </si>
  <si>
    <t>BRI BRIZZI - 20RIBU</t>
  </si>
  <si>
    <t>RJA-CALC-0001</t>
  </si>
  <si>
    <t>RJA-ETOL-0005</t>
  </si>
  <si>
    <t>BRI BRIZZI - 50RIBU</t>
  </si>
  <si>
    <t>CALCULATOR AIMILO</t>
  </si>
  <si>
    <t>AIMILO</t>
  </si>
  <si>
    <t>RJA-ETOL-0006</t>
  </si>
  <si>
    <t>AKSESORIS LAIN</t>
  </si>
  <si>
    <t>BRI BRIZZI - 100RIBU</t>
  </si>
  <si>
    <t>RJA-ETOL-0007</t>
  </si>
  <si>
    <t>MANDIRI E-MONEY - 20K</t>
  </si>
  <si>
    <t>RJA-ETOL-0008</t>
  </si>
  <si>
    <t>MANDIRI E-MONEY - 50K</t>
  </si>
  <si>
    <t>RJA-ETOL-0009</t>
  </si>
  <si>
    <t>MANDIRI E-MONEY - 100K</t>
  </si>
  <si>
    <t>RJA-EWAL-0001</t>
  </si>
  <si>
    <t>DANA TOP UP - 10K - 99K (SKU RJA-DANA-0001)</t>
  </si>
  <si>
    <t>RJA-EWAL-0002</t>
  </si>
  <si>
    <t>DANA TOP UP - 100K - 200K (SKU RJA-DANA-0002)</t>
  </si>
  <si>
    <t>RJA-CANO-0001</t>
  </si>
  <si>
    <t>RJA-EWAL-0003</t>
  </si>
  <si>
    <t>DANA TOP UP - 201K - 499K</t>
  </si>
  <si>
    <t>CAN OPENER</t>
  </si>
  <si>
    <t>No Brand</t>
  </si>
  <si>
    <t>RJA-EWAL-0004</t>
  </si>
  <si>
    <t>DANA TOP UP - 500K - 1000K</t>
  </si>
  <si>
    <t>RJA-EWAL-0005</t>
  </si>
  <si>
    <t>DANA TOP UP - 1001K - 2000K</t>
  </si>
  <si>
    <t>RJA-EWAL-0006</t>
  </si>
  <si>
    <t>DANA TOP UP - 2001K - 3000K</t>
  </si>
  <si>
    <t>RJA-OVO-0001</t>
  </si>
  <si>
    <t>OVO TOP UP - 10K - 50K</t>
  </si>
  <si>
    <t>Ovo</t>
  </si>
  <si>
    <t>RJA-OVO-0002</t>
  </si>
  <si>
    <t>OVO TOP UP - 51K - 99K</t>
  </si>
  <si>
    <t>RJA-OVO-0003</t>
  </si>
  <si>
    <t>OVO TOP UP - 100K - 200K</t>
  </si>
  <si>
    <t>RJA-OVO-0004</t>
  </si>
  <si>
    <t>OVO TOP UP - 201K - 499K</t>
  </si>
  <si>
    <t>RJA-OVO-0005</t>
  </si>
  <si>
    <t>OVO TOP UP - 500K - 1000K</t>
  </si>
  <si>
    <t>RJA-OVO-0006</t>
  </si>
  <si>
    <t>OVO TOP UP - 1001K - 2000K</t>
  </si>
  <si>
    <t>RJA-CARC-0001</t>
  </si>
  <si>
    <t>Car Charger Iphone USB-C 20W</t>
  </si>
  <si>
    <t>RJA-OVO-0007</t>
  </si>
  <si>
    <t>OVO TOP UP - 2001K - 3000K</t>
  </si>
  <si>
    <t>CAR CHARGER</t>
  </si>
  <si>
    <t>RJA-GOPA-0001</t>
  </si>
  <si>
    <t>GOPAY TOP UP - 10K - 50K</t>
  </si>
  <si>
    <t>Gopay</t>
  </si>
  <si>
    <t>RJA-GOPA-0002</t>
  </si>
  <si>
    <t>GOPAY TOP UP - 51K - 99K</t>
  </si>
  <si>
    <t>RJA-GOPA-0003</t>
  </si>
  <si>
    <t>GOPAY TOP UP - 100K - 200K</t>
  </si>
  <si>
    <t>RJA-GOPA-0004</t>
  </si>
  <si>
    <t>GOPAY TOP UP - 201K - 499K</t>
  </si>
  <si>
    <t>RJA-GOPA-0005</t>
  </si>
  <si>
    <t>GOPAY TOP UP - 500K - 1000K</t>
  </si>
  <si>
    <t>RJA-GOPA-0006</t>
  </si>
  <si>
    <t>GOPAY TOP UP - 1001K - 2000K</t>
  </si>
  <si>
    <t>RJA-GOPA-0007</t>
  </si>
  <si>
    <t>GOPAY TOP UP - 2001K - 3000K</t>
  </si>
  <si>
    <t>RJA-SHOP-0002</t>
  </si>
  <si>
    <t>SHOPEE TOP UP - 10K - 50K</t>
  </si>
  <si>
    <t>Shopee</t>
  </si>
  <si>
    <t>RJA-SHOP-0003</t>
  </si>
  <si>
    <t>SHOPEE TOP UP - 51K - 99K</t>
  </si>
  <si>
    <t>RJA-SHOP-0004</t>
  </si>
  <si>
    <t>SHOPEE TOP UP - 100K - 200K</t>
  </si>
  <si>
    <t>RJA-SHOP-0005</t>
  </si>
  <si>
    <t>SHOPEE TOP UP - 201K - 499K</t>
  </si>
  <si>
    <t>RJA-CARC-0002</t>
  </si>
  <si>
    <t>RJA-SHOP-0006</t>
  </si>
  <si>
    <t>SHOPEE TOP UP - 500K - 1000K</t>
  </si>
  <si>
    <t>CAR CHARGER DAP D-CCP2</t>
  </si>
  <si>
    <t>RJA-SHOP-0007</t>
  </si>
  <si>
    <t>SHOPEE TOP UP - 1001K - 2000K</t>
  </si>
  <si>
    <t>RJA-SHOP-0008</t>
  </si>
  <si>
    <t>SHOPEE TOP UP - 2001K - 3000K</t>
  </si>
  <si>
    <t>RJA-LINK-0001</t>
  </si>
  <si>
    <t>LINK AJA TOP UP - 10K - 50K</t>
  </si>
  <si>
    <t>Link Aja</t>
  </si>
  <si>
    <t>RJA-LINK-0002</t>
  </si>
  <si>
    <t>LINK AJA TOP UP - 51K - 99K</t>
  </si>
  <si>
    <t>RJA-LINK-0003</t>
  </si>
  <si>
    <t>LINK AJA TOP UP - 100K - 200K</t>
  </si>
  <si>
    <t>RJA-LINK-0004</t>
  </si>
  <si>
    <t>LINK AJA TOP UP - 201K - 499K</t>
  </si>
  <si>
    <t>RJA-LINK-0005</t>
  </si>
  <si>
    <t>LINK AJA TOP UP - 500K - 1000K</t>
  </si>
  <si>
    <t>RJA-LINK-0006</t>
  </si>
  <si>
    <t>LINK AJA TOP UP - 1001K - 2000K</t>
  </si>
  <si>
    <t>RJA-LINK-0007</t>
  </si>
  <si>
    <t>RJA-CARC-0003</t>
  </si>
  <si>
    <t>LINK AJA TOP UP - 2001K - 3000K</t>
  </si>
  <si>
    <t>CAR CHARGER DAP D-CC10M</t>
  </si>
  <si>
    <t>RJA-TRAN-0001</t>
  </si>
  <si>
    <t>Transfer</t>
  </si>
  <si>
    <t>BANK MAS - 10K - 200K</t>
  </si>
  <si>
    <t>RJA-TRAN-0002</t>
  </si>
  <si>
    <t>BANK MAS - 200.1K - 500K</t>
  </si>
  <si>
    <t>RJA-TRAN-0003</t>
  </si>
  <si>
    <t>BANK MAS - 500.1K - 1000K</t>
  </si>
  <si>
    <t>RJA-TRAN-0004</t>
  </si>
  <si>
    <t>BANK MAS - 1000.1K - 2000K</t>
  </si>
  <si>
    <t>RJA-TRAN-0005</t>
  </si>
  <si>
    <t>BANK MAS - 2000.1K - 3000K</t>
  </si>
  <si>
    <t>RJA-TRAN-0006</t>
  </si>
  <si>
    <t>BANK MAS - 3000K - 4000K</t>
  </si>
  <si>
    <t>RJA-TRAN-0007</t>
  </si>
  <si>
    <t>BANK MAS - 4000K - 5000K</t>
  </si>
  <si>
    <t>RJA-TRAN-0008</t>
  </si>
  <si>
    <t>BANK MAS - 5000K - 6000K</t>
  </si>
  <si>
    <t>RJA-TRAN-0009</t>
  </si>
  <si>
    <t>TARIK TUNAI - 10K - 200K</t>
  </si>
  <si>
    <t>RJA-CARC-0004</t>
  </si>
  <si>
    <t>CAR CHARGER DAP D-CC45</t>
  </si>
  <si>
    <t>RJA-TRAN-0010</t>
  </si>
  <si>
    <t>TARIK TUNAI - 1000.1K - 2000K</t>
  </si>
  <si>
    <t>RJA-TRAN-0011</t>
  </si>
  <si>
    <t>TARIK TUNAI - 2000.1K - 3000K</t>
  </si>
  <si>
    <t>RJA-TRAN-0012</t>
  </si>
  <si>
    <t>TARIK TUNAI - 3000K - 4000K</t>
  </si>
  <si>
    <t>RJA-TRAN-0013</t>
  </si>
  <si>
    <t>TARIK TUNAI - 4000K - 5000K</t>
  </si>
  <si>
    <t>RJA-TRAN-0014</t>
  </si>
  <si>
    <t>TARIK TUNAI - 5000K - 6000K</t>
  </si>
  <si>
    <t>RJA-LAIN-0001</t>
  </si>
  <si>
    <t>LAIN LAIN</t>
  </si>
  <si>
    <t>WAHANA - VOUCHER</t>
  </si>
  <si>
    <t>RJA-EWAL-0007</t>
  </si>
  <si>
    <t>DANA TOP UP - 10K - 99K (SKU RJA-DANA-0007)</t>
  </si>
  <si>
    <t>RJA-EWAL-0008</t>
  </si>
  <si>
    <t>DANA TOP UP - 100K - 200K (SKU RJA-DANA-0008)</t>
  </si>
  <si>
    <t>RJA-XL-0060</t>
  </si>
  <si>
    <t>XL FLEX MINI 4-5 GB 7 HARI</t>
  </si>
  <si>
    <t>RJA-XL-0061</t>
  </si>
  <si>
    <t>PULSA</t>
  </si>
  <si>
    <t>XL PURE - 1 GB 30 HARI SEMUA JARINGAN</t>
  </si>
  <si>
    <t>RJA-XL-0062</t>
  </si>
  <si>
    <t>XL PURE - 2 GB 30 HARI SEMUA JARINGAN</t>
  </si>
  <si>
    <t>RJA-XL-0063</t>
  </si>
  <si>
    <t>XL PURE - 3 GB 30 HARI SEMUA JARINGAN</t>
  </si>
  <si>
    <t>RJA-XL-0064</t>
  </si>
  <si>
    <t>XL PURE - 4 GB 30 HARI SEMUA JARINGAN</t>
  </si>
  <si>
    <t>RJA-CARC-0005</t>
  </si>
  <si>
    <t>RJA-XL-0065</t>
  </si>
  <si>
    <t>CAR CHARGER R20 BLACK</t>
  </si>
  <si>
    <t>XL HARIAN - HARIAN M (3.5 GB -9 GB ) 10 HARI</t>
  </si>
  <si>
    <t>RJA-XL-0066</t>
  </si>
  <si>
    <t>XL HARIAN - HARIAN XL (12 GB- 20 GB ) 7 HARI</t>
  </si>
  <si>
    <t>RJA-XL-0067</t>
  </si>
  <si>
    <t>XL HARIAN - HARIAN XS (1.5 GB- 5GB) 10 HR</t>
  </si>
  <si>
    <t>RJA-XL-0068</t>
  </si>
  <si>
    <t>XL HARIAN - HARIAN S (2.5 GB-9 GB) 10 HR</t>
  </si>
  <si>
    <t>RJA-XL-0069</t>
  </si>
  <si>
    <t>XL XTRA COMBO - 15 GB ALL JARINGAN +30 GB YOU TUBE 28 HR</t>
  </si>
  <si>
    <t>RJA-XL-0070</t>
  </si>
  <si>
    <t>XL COMBO FLEX - FLEX MAX 7GB 28 HR</t>
  </si>
  <si>
    <t>RJA-XL-0071</t>
  </si>
  <si>
    <t>XL COMBO FLEX - FLEX M (10 GB -15 GB) 28 HR</t>
  </si>
  <si>
    <t>RJA-XL-0072</t>
  </si>
  <si>
    <t>XL COMBO FLEX - FLEX L + (26 GB +32 GB ) 28 HR</t>
  </si>
  <si>
    <t>RJA-CARC-0006</t>
  </si>
  <si>
    <t>RJA-XL-0073</t>
  </si>
  <si>
    <t>XL COMBO FLEX - FLEX MAX (34- 40 GB ) 28 HR</t>
  </si>
  <si>
    <t>CAR CHARGER SM-03</t>
  </si>
  <si>
    <t>RJA-XL-0074</t>
  </si>
  <si>
    <t>XL COMBO FLEX - FLEX XXL ( 65 GB -75 GB ) 28 HR</t>
  </si>
  <si>
    <t>RJA-XL-0075</t>
  </si>
  <si>
    <t>XL FLEX MINI - FLEX MINI 3 GB - 4 GB 1 HR</t>
  </si>
  <si>
    <t>RJA-XL-0076</t>
  </si>
  <si>
    <t>XL FLEX MINI - FLEX MINI 6 GB 2 HR</t>
  </si>
  <si>
    <t>RJA-XL-0077</t>
  </si>
  <si>
    <t>XL FLEX MINI - FLEX MNI 10 GB 1 HR</t>
  </si>
  <si>
    <t>RJA-XL-0078</t>
  </si>
  <si>
    <t>XL FLEX MINI - FLEX MINI 4 GB 3 HR</t>
  </si>
  <si>
    <t>RJA-XL-0079</t>
  </si>
  <si>
    <t>XL FLEX MINI - FLEX MINI 12 GB 2 HR</t>
  </si>
  <si>
    <t>RJA-XL-0080</t>
  </si>
  <si>
    <t>XL FLEX MINI - FLEX MINI 6-8 GB 3 HR</t>
  </si>
  <si>
    <t>RJA-XL-0081</t>
  </si>
  <si>
    <t>XL FLEX MINI - FLEX MINI 20 GB 3HR</t>
  </si>
  <si>
    <t>RJA-XL-0082</t>
  </si>
  <si>
    <t>XL FLEX MINI - FLEX MINI 5 GB 14HR</t>
  </si>
  <si>
    <t>RJA-XL-0083</t>
  </si>
  <si>
    <t>XL FLEX MINI - FLEX MINI 6-8 GB 7 HR</t>
  </si>
  <si>
    <t>RJA-XL-0084</t>
  </si>
  <si>
    <t>XL FLEX MINI - FLEX MINI 7 GB 14HR</t>
  </si>
  <si>
    <t>RJA-CARC-0007</t>
  </si>
  <si>
    <t>RJA-XL-0085</t>
  </si>
  <si>
    <t>XL FLEX MINI - FLEX MINI 10-14 GB 7HR</t>
  </si>
  <si>
    <t>CAR CHARGER 6A QUALCOMM 3.0</t>
  </si>
  <si>
    <t>RJA-XL-0086</t>
  </si>
  <si>
    <t>XL FLEX MINI - FLEX MINI 8-10 GB 14HR</t>
  </si>
  <si>
    <t>RJA-XL-0087</t>
  </si>
  <si>
    <t>XL FLEX MINI - FLEX MINI 15-20 GB 7HR</t>
  </si>
  <si>
    <t>RJA-XL-0088</t>
  </si>
  <si>
    <t>XL FLEX MINI - FLEX MINI 18 GB 14HR</t>
  </si>
  <si>
    <t>RJA-XL-0089</t>
  </si>
  <si>
    <t>XL FLEX MINI - FLEX MINI 40 GB 7HR</t>
  </si>
  <si>
    <t>RJA-XL-0090</t>
  </si>
  <si>
    <t>XL FLEX MINI - FLEX MINI 75 GB 7HR</t>
  </si>
  <si>
    <t>RJA-XL-0091</t>
  </si>
  <si>
    <t>XL FLEX MINI - FLEX MINI 30 GB 14HR</t>
  </si>
  <si>
    <t>RJA-XL-0092</t>
  </si>
  <si>
    <t>XL FLEX MINI - FLEX MINI 75 GB 14HR</t>
  </si>
  <si>
    <t>RJA-THRE-0069</t>
  </si>
  <si>
    <t>THREE HAPPY BULANAN - 9 GB 28 HARI</t>
  </si>
  <si>
    <t>RJA-THRE-0070</t>
  </si>
  <si>
    <t>THREE HAPPY BULANAN - 14 GB 28 HARI</t>
  </si>
  <si>
    <t>RJA-THRE-0071</t>
  </si>
  <si>
    <t>THREE HAPPY BULANAN - 45 GB 28 HARI</t>
  </si>
  <si>
    <t>RJA-THRE-0072</t>
  </si>
  <si>
    <t>THREE HAPPY BULANAN - 55 GB 28 HARI</t>
  </si>
  <si>
    <t>RJA-THRE-0073</t>
  </si>
  <si>
    <t>THREE HAPPY BULANAN - 150 GB 28 HARI</t>
  </si>
  <si>
    <t>RJA-THRE-0074</t>
  </si>
  <si>
    <t>THREE HAPPY BULANAN - 156 GB 28 HARI</t>
  </si>
  <si>
    <t>RJA-THRE-0075</t>
  </si>
  <si>
    <t>THREE THREE HAPPY 1 HARI - HAPPY MINI 1,5 GB+0.5 GB BONUS 1 HARI</t>
  </si>
  <si>
    <t>RJA-CARC-0008</t>
  </si>
  <si>
    <t>RJA-THRE-0076</t>
  </si>
  <si>
    <t>THREE THREE HAPPY 1 HARI - HAPPY MINI 2GB 1 HR</t>
  </si>
  <si>
    <t>CAR CHARGER DAP 2 USB D-CC1</t>
  </si>
  <si>
    <t>RJA-THRE-0077</t>
  </si>
  <si>
    <t>THREE THREE HAPPY 1 HARI - HAPPY MINI 3GB 1 HR</t>
  </si>
  <si>
    <t>RJA-THRE-0078</t>
  </si>
  <si>
    <t>THREE THREE HAPPY 1 HARI - HAPPY MINI 5GB 1 HR</t>
  </si>
  <si>
    <t>RJA-THRE-0079</t>
  </si>
  <si>
    <t>THREE THREE HAPPY 1 HARI - HAPPY MINI 6GB 1 HR</t>
  </si>
  <si>
    <t>RJA-THRE-0080</t>
  </si>
  <si>
    <t>THREE THREE HAPPY 1 HARI - HAPPY MINI 10GB 1 HR</t>
  </si>
  <si>
    <t>RJA-THRE-0081</t>
  </si>
  <si>
    <t>THREE THREE HAPPY 2 HARI - HAPPY MINI 3GB 2 HR</t>
  </si>
  <si>
    <t>RJA-THRE-0082</t>
  </si>
  <si>
    <t>THREE THREE HAPPY 2 HARI - HAPPY MINI 5GB 2 HR</t>
  </si>
  <si>
    <t>RJA-THRE-0083</t>
  </si>
  <si>
    <t>THREE THREE HAPPY 2 HARI - HAPPY MINI 6GB 2 HR</t>
  </si>
  <si>
    <t>RJA-THRE-0084</t>
  </si>
  <si>
    <t>THREE THREE HAPPY 2 HARI - HAPPY MINI 7GB 2 HR</t>
  </si>
  <si>
    <t>RJA-THRE-0085</t>
  </si>
  <si>
    <t>THREE THREE HAPPY 3 HARI - HAPPY 1 GB+0.5 GB BONUS 3 HARI</t>
  </si>
  <si>
    <t>RJA-THRE-0086</t>
  </si>
  <si>
    <t>THREE THREE HAPPY 3 HARI - HAPPY 3,5 GB+2 GB BONUS 3 HARI</t>
  </si>
  <si>
    <t>RJA-THRE-0087</t>
  </si>
  <si>
    <t>THREE THREE HAPPY 3 HARI - HAPPY 5 GB+2 GB BONUS 3 HARI</t>
  </si>
  <si>
    <t>RJA-THRE-0088</t>
  </si>
  <si>
    <t>THREE THREE HAPPY 3 HARI - HAPPY 8 GB+2 GB BONUS 3 HARI</t>
  </si>
  <si>
    <t>RJA-THRE-0089</t>
  </si>
  <si>
    <t>THREE THREE HAPPY 5 HARI - HAPPY 2 GB+0.5 GB BONUS 5 HARI</t>
  </si>
  <si>
    <t>RJA-THRE-0090</t>
  </si>
  <si>
    <t>RJA-CARC-0009</t>
  </si>
  <si>
    <t>THREE THREE HAPPY 5 HARI - HAPPY 3,5 GB+1 GB JABO 5 HARI</t>
  </si>
  <si>
    <t>RJA-THRE-0091</t>
  </si>
  <si>
    <t>THREE THREE HAPPY 5 HARI - HAPPY MINI 5 GB 5 HR</t>
  </si>
  <si>
    <t>RJA-THRE-0092</t>
  </si>
  <si>
    <t>CAR CHARGER OLIKE R13 BLACK</t>
  </si>
  <si>
    <t>THREE THREE HAPPY 5 HARI - HAPPY MINI 7 GB 5 HR</t>
  </si>
  <si>
    <t>OLIKE</t>
  </si>
  <si>
    <t>RJA-THRE-0093</t>
  </si>
  <si>
    <t>THREE THREE HAPPY 5 HARI - HAPPY MINI 8 GB 5 HR</t>
  </si>
  <si>
    <t>RJA-THRE-0094</t>
  </si>
  <si>
    <t>THREE THREE HAPPY 5 HARI - HAPPY MINI 11 GB 5 HR</t>
  </si>
  <si>
    <t>RJA-THRE-0095</t>
  </si>
  <si>
    <t>THREE THREE HAPPY 7 HARI - 1,5 GB ALL +0.5 GB BONUS 7 HARI</t>
  </si>
  <si>
    <t>RJA-THRE-0096</t>
  </si>
  <si>
    <t>THREE THREE HAPPY 7 HARI - 3 GB ALL +1 GB BONUS 7 HARI</t>
  </si>
  <si>
    <t>RJA-THRE-0097</t>
  </si>
  <si>
    <t>THREE THREE HAPPY 7 HARI - 5 GB ALL + 1.5 GB BONUS 7 HARI</t>
  </si>
  <si>
    <t>RJA-THRE-0098</t>
  </si>
  <si>
    <t>THREE THREE HAPPY 7 HARI - 8 GB ALL + 3 GB BONUS 7 HARI</t>
  </si>
  <si>
    <t>RJA-THRE-0099</t>
  </si>
  <si>
    <t>THREE THREE HAPPY 7 HARI - HAPPY 10 GB 7 HARI</t>
  </si>
  <si>
    <t>RJA-THRE-0100</t>
  </si>
  <si>
    <t>THREE THREE HAPPY 7 HARI - HAPPY 15 GB 7 HARI</t>
  </si>
  <si>
    <t>RJA-THRE-0101</t>
  </si>
  <si>
    <t>THREE THREE HAPPY 10 HARI - HAPPY 9 GB 10 HARI</t>
  </si>
  <si>
    <t>RJA-THRE-0102</t>
  </si>
  <si>
    <t>THREE THREE HAPPY 14 HARI - HAPPY 4 GB 14 HARI</t>
  </si>
  <si>
    <t>RJA-THRE-0103</t>
  </si>
  <si>
    <t>THREE THREE HAPPY 14 HARI - HAPPY 7 GB 14 HARI</t>
  </si>
  <si>
    <t>RJA-CARC-0010</t>
  </si>
  <si>
    <t>RJA-THRE-0104</t>
  </si>
  <si>
    <t>CAR CHARGER DAP D-CCP5</t>
  </si>
  <si>
    <t>THREE THREE HAPPY 14 HARI - HAPPY 10 GB 14 HARI</t>
  </si>
  <si>
    <t>RJA-THRE-0105</t>
  </si>
  <si>
    <t>THREE ALWAYS ON - 2,5GB ALL+0,5 GB BONUS AON 365 HR</t>
  </si>
  <si>
    <t>RJA-THRE-0106</t>
  </si>
  <si>
    <t>THREE ALWAYS ON - 3,5GB ALL+ BONUS AON 365 HR</t>
  </si>
  <si>
    <t>RJA-THRE-0107</t>
  </si>
  <si>
    <t>THREE ALWAYS ON - 6 GB ALL+ BONUS AON 365 HR</t>
  </si>
  <si>
    <t>RJA-THRE-0108</t>
  </si>
  <si>
    <t>THREE ALWAYS ON - 4 GB ALL +TELP 5000 MNT SESAMA 30 HR</t>
  </si>
  <si>
    <t>RJA-THRE-0109</t>
  </si>
  <si>
    <t>THREE ALWAYS ON - 5 GB ALL +TELP 5000 MNT SESAMA 30 HR</t>
  </si>
  <si>
    <t>RJA-THRE-0110</t>
  </si>
  <si>
    <t>THREE DATA PURE BULANAN - THREE DATA HAPPY 30 GB 28 HR</t>
  </si>
  <si>
    <t>RJA-THRE-0111</t>
  </si>
  <si>
    <t>THREE PURE HARIAN - 2GB 7 HR</t>
  </si>
  <si>
    <t>RJA-THRE-0112</t>
  </si>
  <si>
    <t>THREE PURE HARIAN - 1GB 14 HR</t>
  </si>
  <si>
    <t>RJA-THRE-0113</t>
  </si>
  <si>
    <t>THREE PURE HARIAN - 2GB 14 HR</t>
  </si>
  <si>
    <t>RJA-THRE-0114</t>
  </si>
  <si>
    <t>RJA-CARC-0011</t>
  </si>
  <si>
    <t>THREE PURE HARIAN - 4GB 14 HR</t>
  </si>
  <si>
    <t>CAR CHARGER COLOKAN CHARGER MOBIL PORT 3.1A AH044</t>
  </si>
  <si>
    <t>RJA-AXIS-0043</t>
  </si>
  <si>
    <t>AXIS BRONET - 3 GB +BONUS LOKAL 28 HR</t>
  </si>
  <si>
    <t>LAQUE</t>
  </si>
  <si>
    <t>RJA-AXIS-0044</t>
  </si>
  <si>
    <t>AXIS BRONET - AIGO BRONET 5 GB 28 HR</t>
  </si>
  <si>
    <t>RJA-AXIS-0045</t>
  </si>
  <si>
    <t>AXIS BRONET - 7 GB +BONUS LOKAL 28 HR</t>
  </si>
  <si>
    <t>RJA-AXIS-0046</t>
  </si>
  <si>
    <t>AXIS BRONET - AIGO BRONET 8 GB 28 HR</t>
  </si>
  <si>
    <t>RJA-AXIS-0047</t>
  </si>
  <si>
    <t>AXIS BRONET - AIGO BRONET 9 GB 28 HR</t>
  </si>
  <si>
    <t>RJA-AXIS-0048</t>
  </si>
  <si>
    <t>AXIS BRONET - AIGO BRONET 10 GB 28 HR</t>
  </si>
  <si>
    <t>RJA-AXIS-0049</t>
  </si>
  <si>
    <t>AXIS BRONET - AIGO BRONET 16 GB 28 HR</t>
  </si>
  <si>
    <t>RJA-AXIS-0050</t>
  </si>
  <si>
    <t>AXIS BRONET - AIGO BRONET 26 GB 28 HR</t>
  </si>
  <si>
    <t>RJA-AXIS-0051</t>
  </si>
  <si>
    <t>AXIS BRONET - 35 GB +BONUS LOKAL 28 HR</t>
  </si>
  <si>
    <t>RJA-CARC-0012</t>
  </si>
  <si>
    <t>RJA-AXIS-0052</t>
  </si>
  <si>
    <t>CAR CHARGER 100W USB OUTPUT 22W TYPE C</t>
  </si>
  <si>
    <t>AXIS BRONET - AIGO BRONET 40 GB 28 HR</t>
  </si>
  <si>
    <t>RJA-AXIS-0053</t>
  </si>
  <si>
    <t>AXIS BRONET - AIGO BRONET 65 GB 28 HR</t>
  </si>
  <si>
    <t>RJA-AXIS-0054</t>
  </si>
  <si>
    <t>AXIS BRONET - AIGO BRONET 100 GB 28 HR</t>
  </si>
  <si>
    <t>RJA-AXIS-0055</t>
  </si>
  <si>
    <t>AXIS AIGO SUPERMINI - 15 GB + BONUS 1 HR</t>
  </si>
  <si>
    <t>RJA-AXIS-0056</t>
  </si>
  <si>
    <t>AXIS AIGO SUPERMINI - 13 GB + BONUS AIGO 2 HR</t>
  </si>
  <si>
    <t>RJA-AXIS-0057</t>
  </si>
  <si>
    <t>AXIS AIGO SUPERMINI - 7 GB+LOKAL 3 HR</t>
  </si>
  <si>
    <t>RJA-AXIS-0058</t>
  </si>
  <si>
    <t>AXIS AIGO SUPERMINI - 8,5 GB + BONUS AIGO 3 HR</t>
  </si>
  <si>
    <t>RJA-AXIS-0059</t>
  </si>
  <si>
    <t>AXIS AIGO SUPERMINI - 12,5 GB + BONUS AIGO 3 HR</t>
  </si>
  <si>
    <t>RJA-AXIS-0060</t>
  </si>
  <si>
    <t>AXIS AIGO SUPERMINI - 17 GB + BONUS AIGO 3 HR</t>
  </si>
  <si>
    <t>RJA-AXIS-0061</t>
  </si>
  <si>
    <t>AXIS AIGO SUPERMINI - 2 GB ALL 4 HR</t>
  </si>
  <si>
    <t>RJA-AXIS-0062</t>
  </si>
  <si>
    <t>AXIS AIGO SUPERMINI - 2,5 GB +LOKAL 5 HR</t>
  </si>
  <si>
    <t>RJA-AXIS-0063</t>
  </si>
  <si>
    <t>AXIS AIGO SUPERMINI - 4 GB +BONUS 5 HR</t>
  </si>
  <si>
    <t>RJA-AXIS-0064</t>
  </si>
  <si>
    <t>AXIS AIGO SUPERMINI - 4,5 GB +LOKAL 5 HR</t>
  </si>
  <si>
    <t>RJA-AXIS-0065</t>
  </si>
  <si>
    <t>AXIS AIGO SUPERMINI - 5 GB +BONUS 5 HR</t>
  </si>
  <si>
    <t>RJA-AXIS-0066</t>
  </si>
  <si>
    <t>AXIS AIGO SUPERMINI - 5,5 GB +LOKAL 5 HR</t>
  </si>
  <si>
    <t>RJA-AXIS-0067</t>
  </si>
  <si>
    <t>AXIS AIGO SUPERMINI - 8 GB + BONUS AIGO 5 HR</t>
  </si>
  <si>
    <t>RJA-AXIS-0068</t>
  </si>
  <si>
    <t>AXIS AIGO SUPERMINI - 10 GB +BONUS 5 HR</t>
  </si>
  <si>
    <t>RJA-CARC-0013</t>
  </si>
  <si>
    <t>RJA-AXIS-0069</t>
  </si>
  <si>
    <t>AXIS AIGO SUPERMINI - 16 GB +BONUS 5 HR</t>
  </si>
  <si>
    <t>CAR CHARGER DAP D-CCIN</t>
  </si>
  <si>
    <t>RJA-AXIS-0070</t>
  </si>
  <si>
    <t>AXIS AIGO SUPERMINI - 17 GB +BONUS 5 HR</t>
  </si>
  <si>
    <t>RJA-AXIS-0071</t>
  </si>
  <si>
    <t>AXIS AIGO SUPERMINI - 24 GB +BONUS 5 HR</t>
  </si>
  <si>
    <t>Tersedia</t>
  </si>
  <si>
    <t>RJA-AXIS-0072</t>
  </si>
  <si>
    <t>AXIS AIGO SUPERMINI - 32 GB +BONUS 5 HR</t>
  </si>
  <si>
    <t>RJA-AXIS-0073</t>
  </si>
  <si>
    <t>AXIS AIGO SUPERMINI - 50 GB +BONUS 5 HR</t>
  </si>
  <si>
    <t>RJA-AXIS-0074</t>
  </si>
  <si>
    <t>AXIS AIGO MINI - 4 GB + BONUS 7 HR</t>
  </si>
  <si>
    <t>RJA-AXIS-0075</t>
  </si>
  <si>
    <t>AXIS AIGO MINI - 6 GB + BONUS 7 HR</t>
  </si>
  <si>
    <t>RJA-AXIS-0076</t>
  </si>
  <si>
    <t>AXIS AIGO MINI - 45 GB + BONUS 7 HR</t>
  </si>
  <si>
    <t>Nominal</t>
  </si>
  <si>
    <t>RJA-AXIS-0077</t>
  </si>
  <si>
    <t>AXIS AIGO MINI - 3 GB + BONUS AIGO 14 HR</t>
  </si>
  <si>
    <t>RJA-AXIS-0078</t>
  </si>
  <si>
    <t>AXIS AIGO MINI - 15 GB + BONUS AIGO 14 HR</t>
  </si>
  <si>
    <t>RJA-INDO-0083</t>
  </si>
  <si>
    <t>INDOSAT FREEDOM INTERNET - FREEDOM 12GB 28 HR</t>
  </si>
  <si>
    <t>RJA-INDO-0084</t>
  </si>
  <si>
    <t>INDOSAT FREEDOM INTERNET - FREEDOM 13GB 28 HR</t>
  </si>
  <si>
    <t>RJA-INDO-0085</t>
  </si>
  <si>
    <t>RJA-CARC-0014</t>
  </si>
  <si>
    <t>INDOSAT FREEDOM INTERNET - FREEDOM 14GB 28 HR</t>
  </si>
  <si>
    <t>CAR CHARGER JOYSEUS Q4 8A</t>
  </si>
  <si>
    <t>RJA-INDO-0086</t>
  </si>
  <si>
    <t>JOYSEUS</t>
  </si>
  <si>
    <t>INDOSAT FREEDOM INTERNET - FREEDOM 15GB 28 HR</t>
  </si>
  <si>
    <t>RJA-INDO-0087</t>
  </si>
  <si>
    <t>INDOSAT FREEDOM INTERNET - FREEDOM 16GB 28 HR</t>
  </si>
  <si>
    <t>RJA-INDO-0088</t>
  </si>
  <si>
    <t>INDOSAT FREEDOM INTERNET - FREEDOM 18GB 28 HR</t>
  </si>
  <si>
    <t>RJA-INDO-0089</t>
  </si>
  <si>
    <t>INDOSAT FREEDOM INTERNET - FREEDOM 20GB 28 HR</t>
  </si>
  <si>
    <t>RJA-INDO-0090</t>
  </si>
  <si>
    <t>INDOSAT FREEDOM INTERNET - FREEDOM 24GB 28 HR</t>
  </si>
  <si>
    <t>RJA-INDO-0091</t>
  </si>
  <si>
    <t>INDOSAT FREEDOM INTERNET - FREEDOM 25GB 28 HR</t>
  </si>
  <si>
    <t>RJA-INDO-0092</t>
  </si>
  <si>
    <t>INDOSAT FREEDOM INTERNET - FREEDOM 28GB 28 HR</t>
  </si>
  <si>
    <t>RJA-INDO-0093</t>
  </si>
  <si>
    <t>INDOSAT FREEDOM INTERNET - FREEDOM 30GB 28 HR</t>
  </si>
  <si>
    <t>RJA-INDO-0094</t>
  </si>
  <si>
    <t>INDOSAT FREEDOM INTERNET - FREEDOM 40GB 28 HR</t>
  </si>
  <si>
    <t>RJA-INDO-0095</t>
  </si>
  <si>
    <t>INDOSAT FREEDOM INTERNET - FREEDOM 45GB 28 HR</t>
  </si>
  <si>
    <t>RJA-INDO-0096</t>
  </si>
  <si>
    <t>INDOSAT FREEDOM INTERNET - FREEDOM 50GB 28 HR</t>
  </si>
  <si>
    <t>RJA-CARD-0001</t>
  </si>
  <si>
    <t>RJA-INDO-0097</t>
  </si>
  <si>
    <t>CARD READER FLECO CR22</t>
  </si>
  <si>
    <t>INDOSAT FREEDOM INTERNET - FREEDOM 55GB 28 HR</t>
  </si>
  <si>
    <t>FLECO</t>
  </si>
  <si>
    <t>CARD READER</t>
  </si>
  <si>
    <t>RJA-INDO-0098</t>
  </si>
  <si>
    <t>INDOSAT FREEDOM INTERNET - FREEDOM 65GB 28 HR</t>
  </si>
  <si>
    <t>RJA-INDO-0099</t>
  </si>
  <si>
    <t>INDOSAT FREEDOM INTERNET - FREEDOM 70GB 28 HR</t>
  </si>
  <si>
    <t>RJA-INDO-0100</t>
  </si>
  <si>
    <t>INDOSAT FREEDOM INTERNET - FREEDOM 100GB 28 HR</t>
  </si>
  <si>
    <t>RJA-INDO-0101</t>
  </si>
  <si>
    <t>INDOSAT FREEDOM INTERNET - FREEDOM 150GB 28 HR</t>
  </si>
  <si>
    <t>RJA-INDO-0102</t>
  </si>
  <si>
    <t>INDOSAT MINI NASIONAL - FREEDOM MINI 7 GB 1 HR</t>
  </si>
  <si>
    <t>RJA-INDO-0103</t>
  </si>
  <si>
    <t>INDOSAT MINI NASIONAL - FREEDOM MINI 3 GB 3 HR</t>
  </si>
  <si>
    <t>RJA-INDO-0104</t>
  </si>
  <si>
    <t>INDOSAT MINI NASIONAL - FREEDOM MINI 8 GB 3 HR</t>
  </si>
  <si>
    <t>RJA-INDO-0105</t>
  </si>
  <si>
    <t>INDOSAT MINI NASIONAL - FREEDOM MINI 15 GB 3 HR</t>
  </si>
  <si>
    <t>RJA-INDO-0106</t>
  </si>
  <si>
    <t>INDOSAT MINI NASIONAL - FREEDOM MINI 15 GB 7 HR</t>
  </si>
  <si>
    <t>RJA-INDO-0107</t>
  </si>
  <si>
    <t>INDOSAT MINI NASIONAL - FREEDOM MINI 18 GB 7 HR</t>
  </si>
  <si>
    <t>RJA-CARD-0002</t>
  </si>
  <si>
    <t>RJA-INDO-0108</t>
  </si>
  <si>
    <t>INDOSAT MINI NASIONAL - FREEDOM MINI 75 GB 7 HR</t>
  </si>
  <si>
    <t>CARD READER VIBOX</t>
  </si>
  <si>
    <t>RJA-INDO-0109</t>
  </si>
  <si>
    <t>VIBOX</t>
  </si>
  <si>
    <t>INDOSAT FREEEDOM HARIAN - 1 GB PER HARI 7 HR</t>
  </si>
  <si>
    <t>RJA-INDO-0110</t>
  </si>
  <si>
    <t>INDOSAT FREEEDOM HARIAN - 1 GB PER HARI 14 HR</t>
  </si>
  <si>
    <t>RJA-INDO-0111</t>
  </si>
  <si>
    <t>INDOSAT FREEEDOM HARIAN - 1 GB PER HARI 30 HR</t>
  </si>
  <si>
    <t>RJA-INDO-0112</t>
  </si>
  <si>
    <t>INDOSAT FREDOM COMBO - 15 GB + 5GB MLM 30 HR</t>
  </si>
  <si>
    <t>RJA-INDO-0113</t>
  </si>
  <si>
    <t>INDOSAT FREEDOM UNLIMITED - 1 GB ALL + 3GB APPS 6 HR</t>
  </si>
  <si>
    <t>RJA-INDO-0114</t>
  </si>
  <si>
    <t>INDOSAT FREEDOM UNLIMITED - 1 GB ALL + 4.5 GB APPS 28 HR</t>
  </si>
  <si>
    <t>RJA-INDO-0115</t>
  </si>
  <si>
    <t>INDOSAT FREEDOM UNLIMITED - 2 GB ALL + 7.5 GB APPS 28 HR</t>
  </si>
  <si>
    <t>RJA-INDO-0116</t>
  </si>
  <si>
    <t>INDOSAT FREEDOM UNLIMITED - 3 GB ALL + 15 GB APPS 28 HR</t>
  </si>
  <si>
    <t>RJA-INDO-0117</t>
  </si>
  <si>
    <t>INDOSAT FREEDOM UNLIMITED - 7 GB ALL + 28 GB APPS 28 HR</t>
  </si>
  <si>
    <t>RJA-SMAR-0066</t>
  </si>
  <si>
    <t>SMART SMART DATA MINI - SMART DATA 1 GB ALL 3 HARI</t>
  </si>
  <si>
    <t>RJA-CARD-0003</t>
  </si>
  <si>
    <t>RJA-SMAR-0067</t>
  </si>
  <si>
    <t>CARD RADER LO-CR06 4IN1</t>
  </si>
  <si>
    <t>SMART SMART DATA MINI - SMART DATA 2 GB ALL 3 HARI</t>
  </si>
  <si>
    <t>LOG ON</t>
  </si>
  <si>
    <t>RJA-SMAR-0068</t>
  </si>
  <si>
    <t>SMART SMART DATA MINI - SMART DATA 4 GB ALL 3 HARI</t>
  </si>
  <si>
    <t>RJA-SMAR-0069</t>
  </si>
  <si>
    <t>SMART SMART DATA MINI - SMART DATA 3 GB ALL 5 HARI</t>
  </si>
  <si>
    <t>RJA-SMAR-0070</t>
  </si>
  <si>
    <t>SMART SMART DATA MINI - SMART DATA 4 GB ALL 5 HARI</t>
  </si>
  <si>
    <t>RJA-SMAR-0071</t>
  </si>
  <si>
    <t>SMART SMART DATA MINI - SMART DATA 10 GB ALL 6 HARI</t>
  </si>
  <si>
    <t>RJA-SMAR-0072</t>
  </si>
  <si>
    <t>SMART SMART DATA MINI - SMART DATA 1 GB ALL 7 HARI</t>
  </si>
  <si>
    <t>RJA-SMAR-0073</t>
  </si>
  <si>
    <t>SMART SMART DATA MINI - SMART DATA 1.5 GB ALL 7 HARI</t>
  </si>
  <si>
    <t>RJA-SMAR-0074</t>
  </si>
  <si>
    <t>SMART SMART DATA MINI - SMART DATA 6 GB ALL 7 HARI</t>
  </si>
  <si>
    <t>RJA-SMAR-0075</t>
  </si>
  <si>
    <t>SMART SMART DATA MINI - SMART DATA 4 GB +UNLI APP 14 HR</t>
  </si>
  <si>
    <t>RJA-CASA-0001</t>
  </si>
  <si>
    <t>CAS AKI 2 IN 1 DC POWER 3 PORT USB</t>
  </si>
  <si>
    <t>RJA-SMAR-0076</t>
  </si>
  <si>
    <t>SMART SMART DATA MINI - SMART DATA 5 GB ALL 14 HR</t>
  </si>
  <si>
    <t>RJA-SMAR-0077</t>
  </si>
  <si>
    <t>SMART SMART DATA MINI - SMART DATA 17 GB ALL 14 HR</t>
  </si>
  <si>
    <t>RJA-SMAR-0078</t>
  </si>
  <si>
    <t>SMART SMART DATA MINI - SMART DATA 40 GB ALL 14 HR</t>
  </si>
  <si>
    <t>RJA-SMAR-0079</t>
  </si>
  <si>
    <t>SMART SMART DATA MINI - SMART DATA 7 GB ALL 30 HR</t>
  </si>
  <si>
    <t>RJA-SMAR-0080</t>
  </si>
  <si>
    <t>SMART SMART DATA MINI - SMART DATA 66 GB ALL 28 HR</t>
  </si>
  <si>
    <t>RJA-SMAR-0081</t>
  </si>
  <si>
    <t>SMART VOLUME BASED - 150 GB 28 HARI</t>
  </si>
  <si>
    <t>RJA-SMAR-0082</t>
  </si>
  <si>
    <t>SMART VOLUME BASED - 60 GB ALL +140 GB LOKAL 30 HR</t>
  </si>
  <si>
    <t>RJA-SMAR-0083</t>
  </si>
  <si>
    <t>SMART UNLIMITED FUP - UNLIMITED FUP 1 GB 1 HARI</t>
  </si>
  <si>
    <t>RJA-SMAR-0084</t>
  </si>
  <si>
    <t>SMART UNLIMITED FUP - UNLIMITED FUP 2 GB 1 HARI</t>
  </si>
  <si>
    <t>RJA-SMAR-0085</t>
  </si>
  <si>
    <t>SMART UNLIMITED FUP - UNLIMITED FUP 3 GB 1 HARI</t>
  </si>
  <si>
    <t>RJA-SMAR-0086</t>
  </si>
  <si>
    <t>SMART UNLIMITED FUP - UNLIMITED FUP 5 GB 1 HARI</t>
  </si>
  <si>
    <t>RJA-SMAR-0087</t>
  </si>
  <si>
    <t>SMART UNLIMITED FUP - UNLIMITED FUP 2 GB 3 HARI</t>
  </si>
  <si>
    <t>RJA-SMAR-0088</t>
  </si>
  <si>
    <t>SMART UNLIMITED FUP - UNLIMITED FUP 5 GB 3 HARI</t>
  </si>
  <si>
    <t>RJA-CASA-0002</t>
  </si>
  <si>
    <t>RJA-SMAR-0089</t>
  </si>
  <si>
    <t>CA S AKI 6 IN 1 DC CHARGER</t>
  </si>
  <si>
    <t>SMART UNLIMITED FUP - UNLIMITED FUP 5 GB 7 HARI</t>
  </si>
  <si>
    <t>RJA-SMAR-0090</t>
  </si>
  <si>
    <t>SMART UNLIMITED FUP - UNLIMITED FUP 4 GB 28 HARI</t>
  </si>
  <si>
    <t>RJA-SMAR-0091</t>
  </si>
  <si>
    <t>SMART UNLIMITED FUP - UNLIMITED FUP 5 GB 28 HARI</t>
  </si>
  <si>
    <t>RJA-SMAR-0092</t>
  </si>
  <si>
    <t>SMART NONSTOP APPS - 6 GB +UNLIMITED APP 3 HR</t>
  </si>
  <si>
    <t>RJA-SMAR-0093</t>
  </si>
  <si>
    <t>SMART NONSTOP APPS - 10 GB +UNLIMITED APP 3 HR</t>
  </si>
  <si>
    <t>RJA-SMAR-0094</t>
  </si>
  <si>
    <t>SMART NONSTOP APPS - 20 GB +UNLIMITED APP 3 HR</t>
  </si>
  <si>
    <t>RJA-SMAR-0095</t>
  </si>
  <si>
    <t>SMART NONSTOP APPS - 10 GB +UNLIMITED APP 7 HR</t>
  </si>
  <si>
    <t>RJA-SMAR-0096</t>
  </si>
  <si>
    <t>SMART NONSTOP APPS - 30 GB +UNLIMITED APP 7 HR</t>
  </si>
  <si>
    <t>RJA-SMAR-0097</t>
  </si>
  <si>
    <t>SMART NONSTOP APPS - 3 GB +UNLIMITED APP 14 HR</t>
  </si>
  <si>
    <t>RJA-SMAR-0098</t>
  </si>
  <si>
    <t>SMART NONSTOP APPS - 4 GB +UNLIMITED APP 14 HR</t>
  </si>
  <si>
    <t>RJA-CASA-0003</t>
  </si>
  <si>
    <t>RJA-SMAR-0099</t>
  </si>
  <si>
    <t>CAS AKI MOTOR /CHARGER MOTOR AKI</t>
  </si>
  <si>
    <t>SMART NONSTOP APPS - 10 GB +UNLIMITED APP 14 HR</t>
  </si>
  <si>
    <t>RJA-SMAR-0100</t>
  </si>
  <si>
    <t>SMART NONSTOP APPS - 20 GB +UNLIMITED APP 14 HR</t>
  </si>
  <si>
    <t>RJA-SMAR-0101</t>
  </si>
  <si>
    <t>SMART NONSTOP APPS - 7 GB +UNLIMITED APP 28 HR</t>
  </si>
  <si>
    <t>RJA-SMAR-0102</t>
  </si>
  <si>
    <t>SMART NONSTOP APPS - 10 GB +UNLIMITED APP 28 HR</t>
  </si>
  <si>
    <t>RJA-SMAR-0103</t>
  </si>
  <si>
    <t>SMART NONSTOP APPS - 16 GB +UNLIMITED APP 28 HR</t>
  </si>
  <si>
    <t>RJA-SMAR-0104</t>
  </si>
  <si>
    <t>SMART NONSTOP APPS - 24 GB +UNLIMITED APP 28 HR</t>
  </si>
  <si>
    <t>RJA-SMAR-0105</t>
  </si>
  <si>
    <t>SMART NONSTOP APPS - 30 GB +UNLIMITED APP 28 HR</t>
  </si>
  <si>
    <t>RJA-SMAR-0106</t>
  </si>
  <si>
    <t>SMART NONSTOP APPS - 35 GB +UNLIMITED APP 30 HR</t>
  </si>
  <si>
    <t>RJA-SMAR-0107</t>
  </si>
  <si>
    <t>RJA-COLO-0001</t>
  </si>
  <si>
    <t>SMART NONSTOP APPS - 75 GB +UNLIMITED APP 30 HR</t>
  </si>
  <si>
    <t>COLOKAN LISTRIK ON/OFF</t>
  </si>
  <si>
    <t>RJA-SMAR-0108</t>
  </si>
  <si>
    <t>SMART NONSTOP APPS - 100 GB +UNLIMITED APP 28 HR</t>
  </si>
  <si>
    <t>RJA-TELK-0088</t>
  </si>
  <si>
    <t>TELKOMSEL FLASH - 16 GB NASIONAL 30 HARI</t>
  </si>
  <si>
    <t>RJA-TELK-0089</t>
  </si>
  <si>
    <t>TELKOMSEL FLASH - 22 GB NASIONAL 30 HARI</t>
  </si>
  <si>
    <t>RJA-TELK-0090</t>
  </si>
  <si>
    <t>TELKOMSEL FLASH - 50 GB NASIONAL 30 HR</t>
  </si>
  <si>
    <t>RJA-TELK-0091</t>
  </si>
  <si>
    <t>TELKOMSEL MINI LOKAL JABAR/JABO - 1.5 GB 1 HR</t>
  </si>
  <si>
    <t>RJA-TELK-0092</t>
  </si>
  <si>
    <t>TELKOMSEL MINI LOKAL JABAR/JABO - 4 GB 1 HR</t>
  </si>
  <si>
    <t>RJA-TELK-0093</t>
  </si>
  <si>
    <t>TELKOMSEL MINI LOKAL JABAR/JABO - 5 GB 1 HR</t>
  </si>
  <si>
    <t>RJA-TELK-0094</t>
  </si>
  <si>
    <t>TELKOMSEL MINI LOKAL JABAR/JABO - 5 GB 2 HARI</t>
  </si>
  <si>
    <t>RJA-TELK-0095</t>
  </si>
  <si>
    <t>TELKOMSEL MINI LOKAL JABAR/JABO - 7 GB 2 HARI</t>
  </si>
  <si>
    <t>RJA-TELK-0096</t>
  </si>
  <si>
    <t>TELKOMSEL MINI LOKAL JABAR/JABO - 1,5 GB 3 HARI</t>
  </si>
  <si>
    <t>RJA-CONV-0001</t>
  </si>
  <si>
    <t>CONVERTER IPHONE TO AUX JACK 3.5</t>
  </si>
  <si>
    <t>RJA-TELK-0097</t>
  </si>
  <si>
    <t>TELKOMSEL MINI LOKAL JABAR/JABO - 2,5 GB 5 HARI</t>
  </si>
  <si>
    <t>RJA-TELK-0098</t>
  </si>
  <si>
    <t>TELKOMSEL MINI LOKAL JABAR/JABO - 3,5 GB 7 HARI</t>
  </si>
  <si>
    <t>RJA-TELK-0099</t>
  </si>
  <si>
    <t>TELKOMSEL MINI LOKAL JABAR/JABO - 10 GB 7 HARI</t>
  </si>
  <si>
    <t>RJA-TELK-0100</t>
  </si>
  <si>
    <t>TELKOMSEL 1 HARI - 1 GB ALL 1 HARI</t>
  </si>
  <si>
    <t>RJA-TELK-0101</t>
  </si>
  <si>
    <t>TELKOMSEL 1 HARI - 4 GB ALL 1 HARI</t>
  </si>
  <si>
    <t>RJA-CONV-0002</t>
  </si>
  <si>
    <t>CONVER TER AUDIO DUAL LIGHTING AUDIO DAN CHARGER ADAPTER J-008</t>
  </si>
  <si>
    <t>CONVERTER</t>
  </si>
  <si>
    <t>RJA-TELK-0102</t>
  </si>
  <si>
    <t>TELKOMSEL 2 HARI - 8 GB ALL 2 HARI</t>
  </si>
  <si>
    <t>RJA-TELK-0103</t>
  </si>
  <si>
    <t>TELKOMSEL 3 HARI - 8 GB 3 HARI</t>
  </si>
  <si>
    <t>RJA-TELK-0104</t>
  </si>
  <si>
    <t>TELKOMSEL 5 HARI - 2 GB 5 HARI</t>
  </si>
  <si>
    <t>RJA-TELK-0105</t>
  </si>
  <si>
    <t>TELKOMSEL 7 HARI - 1.5 GB ALL 7 HARI</t>
  </si>
  <si>
    <t>RJA-TELK-0106</t>
  </si>
  <si>
    <t>TELKOMSEL 14 HARI - 1 GB ALL 14 HARI</t>
  </si>
  <si>
    <t>RJA-TELK-0107</t>
  </si>
  <si>
    <t>RJA-COVE-0002</t>
  </si>
  <si>
    <t>TELKOMSEL 14 HARI - 5 GB ALL 14 HARI</t>
  </si>
  <si>
    <t>COVER CHARGER KARAKTER</t>
  </si>
  <si>
    <t>RJA-TELK-0108</t>
  </si>
  <si>
    <t>TELKOMSEL TELKOMSEL PULSA - 5000</t>
  </si>
  <si>
    <t>RJA-TELK-0109</t>
  </si>
  <si>
    <t>TELKOMSEL TELKOMSEL PULSA - 6000</t>
  </si>
  <si>
    <t>RJA-TELK-0110</t>
  </si>
  <si>
    <t>TELKOMSEL TELKOMSEL PULSA - 10000</t>
  </si>
  <si>
    <t>RJA-TELK-0111</t>
  </si>
  <si>
    <t>TELKOMSEL TELKOMSEL PULSA - 15000</t>
  </si>
  <si>
    <t>RJA-TELK-0112</t>
  </si>
  <si>
    <t>TELKOMSEL TELKOMSEL PULSA - 20000</t>
  </si>
  <si>
    <t>RJA-TELK-0113</t>
  </si>
  <si>
    <t>TELKOMSEL TELKOMSEL PULSA - 25000</t>
  </si>
  <si>
    <t>RJA-TELK-0114</t>
  </si>
  <si>
    <t>RJA-DAPM-0001</t>
  </si>
  <si>
    <t>TELKOMSEL TELKOMSEL PULSA - 30000</t>
  </si>
  <si>
    <t>DAP-M02 MICRO TO LIGHTNING</t>
  </si>
  <si>
    <t>RJA-TELK-0115</t>
  </si>
  <si>
    <t>OTG</t>
  </si>
  <si>
    <t>TELKOMSEL TELKOMSEL PULSA - 35000</t>
  </si>
  <si>
    <t>RJA-TELK-0116</t>
  </si>
  <si>
    <t>TELKOMSEL TELKOMSEL PULSA - 40000</t>
  </si>
  <si>
    <t>RJA-TELK-0117</t>
  </si>
  <si>
    <t>TELKOMSEL TELKOMSEL PULSA - 45000</t>
  </si>
  <si>
    <t>RJA-TELK-0118</t>
  </si>
  <si>
    <t>TELKOMSEL TELKOMSEL PULSA - 50000</t>
  </si>
  <si>
    <t>RJA-TELK-0119</t>
  </si>
  <si>
    <t>TELKOMSEL TELKOMSEL PULSA - 55000</t>
  </si>
  <si>
    <t>RJA-TELK-0120</t>
  </si>
  <si>
    <t>TELKOMSEL TELKOMSEL PULSA - 60000</t>
  </si>
  <si>
    <t>RJA-TELK-0121</t>
  </si>
  <si>
    <t>TELKOMSEL TELKOMSEL PULSA - 65000</t>
  </si>
  <si>
    <t>RJA-TELK-0122</t>
  </si>
  <si>
    <t>TELKOMSEL TELKOMSEL PULSA - 70000</t>
  </si>
  <si>
    <t>RJA-TELK-0123</t>
  </si>
  <si>
    <t>TELKOMSEL TELKOMSEL PULSA - 75000</t>
  </si>
  <si>
    <t>RJA-TELK-0124</t>
  </si>
  <si>
    <t>TELKOMSEL TELKOMSEL PULSA - 80000</t>
  </si>
  <si>
    <t>RJA-TELK-0125</t>
  </si>
  <si>
    <t>TELKOMSEL TELKOMSEL PULSA - 85000</t>
  </si>
  <si>
    <t>RJA-TELK-0126</t>
  </si>
  <si>
    <t>RJA-DAPO-0001</t>
  </si>
  <si>
    <t>TELKOMSEL TELKOMSEL PULSA - 90000</t>
  </si>
  <si>
    <t>DAP-OTG2N USB 2.0 TO MICRO</t>
  </si>
  <si>
    <t>RJA-TELK-0127</t>
  </si>
  <si>
    <t>TELKOMSEL TELKOMSEL PULSA - 95000</t>
  </si>
  <si>
    <t>RJA-TELK-0128</t>
  </si>
  <si>
    <t>TELKOMSEL TELKOMSEL PULSA - 100000</t>
  </si>
  <si>
    <t>RJA-INDO-0118</t>
  </si>
  <si>
    <t>INDOSAT INDOSAT PULSA - 5000</t>
  </si>
  <si>
    <t>RJA-INDO-0119</t>
  </si>
  <si>
    <t>INDOSAT INDOSAT PULSA - 10000</t>
  </si>
  <si>
    <t>RJA-INDO-0120</t>
  </si>
  <si>
    <t>INDOSAT INDOSAT PULSA - 12000</t>
  </si>
  <si>
    <t>RJA-INDO-0121</t>
  </si>
  <si>
    <t>INDOSAT INDOSAT PULSA - 15000</t>
  </si>
  <si>
    <t>RJA-INDO-0122</t>
  </si>
  <si>
    <t>INDOSAT INDOSAT PULSA - 20000</t>
  </si>
  <si>
    <t>RJA-INDO-0123</t>
  </si>
  <si>
    <t>INDOSAT INDOSAT PULSA - 25000</t>
  </si>
  <si>
    <t>RJA-DATA-0001</t>
  </si>
  <si>
    <t>RJA-INDO-0124</t>
  </si>
  <si>
    <t>Data Cable VIVAN VW01 2 IN 1 Type-C TO Type-C+Apple Watch 60W White 120CM (SKU RJA-DATA-0298)</t>
  </si>
  <si>
    <t>INDOSAT INDOSAT PULSA - 30000</t>
  </si>
  <si>
    <t>KABEL DATA</t>
  </si>
  <si>
    <t>RJA-INDO-0125</t>
  </si>
  <si>
    <t>INDOSAT INDOSAT PULSA - 40000</t>
  </si>
  <si>
    <t>RJA-INDO-0126</t>
  </si>
  <si>
    <t>INDOSAT INDOSAT PULSA - 50000</t>
  </si>
  <si>
    <t>RJA-INDO-0127</t>
  </si>
  <si>
    <t>INDOSAT INDOSAT PULSA - 60000</t>
  </si>
  <si>
    <t>RJA-INDO-0128</t>
  </si>
  <si>
    <t>INDOSAT INDOSAT PULSA - 70000</t>
  </si>
  <si>
    <t>RJA-INDO-0129</t>
  </si>
  <si>
    <t>INDOSAT INDOSAT PULSA - 80000</t>
  </si>
  <si>
    <t>RJA-INDO-0130</t>
  </si>
  <si>
    <t>INDOSAT INDOSAT PULSA - 90000</t>
  </si>
  <si>
    <t>RJA-DATA-0002</t>
  </si>
  <si>
    <t>RJA-INDO-0131</t>
  </si>
  <si>
    <t>Data Cable VIVAN VW01 2 IN 1 Type-C TO Type-C+Apple Watch 60W White 120CM (SKU RJA-DATA-0299)</t>
  </si>
  <si>
    <t>INDOSAT INDOSAT PULSA - 100000</t>
  </si>
  <si>
    <t>RJA-INDO-0132</t>
  </si>
  <si>
    <t>INDOSAT INDOSAT PULSA - 115000</t>
  </si>
  <si>
    <t>RJA-INDO-0133</t>
  </si>
  <si>
    <t>INDOSAT INDOSAT PULSA - 125000</t>
  </si>
  <si>
    <t>RJA-INDO-0134</t>
  </si>
  <si>
    <t>INDOSAT INDOSAT PULSA - 150000</t>
  </si>
  <si>
    <t>RJA-XL-0093</t>
  </si>
  <si>
    <t>XL XL PULSA - 5000</t>
  </si>
  <si>
    <t>RJA-DATA-0003</t>
  </si>
  <si>
    <t>RJA-XL-0094</t>
  </si>
  <si>
    <t>Data Cable ROBOT RCOCC100 Coffee Cup Type-C To Type-C 60W Colorful (SKU RJA-DATA-0319)</t>
  </si>
  <si>
    <t>XL XL PULSA - 10000</t>
  </si>
  <si>
    <t>RJA-XL-0095</t>
  </si>
  <si>
    <t>XL XL PULSA - 15000</t>
  </si>
  <si>
    <t>RJA-XL-0096</t>
  </si>
  <si>
    <t>XL XL PULSA - 25000</t>
  </si>
  <si>
    <t>RJA-XL-0097</t>
  </si>
  <si>
    <t>XL XL PULSA - 30000</t>
  </si>
  <si>
    <t>RJA-XL-0098</t>
  </si>
  <si>
    <t>XL XL PULSA - 40000</t>
  </si>
  <si>
    <t>RJA-XL-0099</t>
  </si>
  <si>
    <t>XL XL PULSA - 50000</t>
  </si>
  <si>
    <t>RJA-XL-0100</t>
  </si>
  <si>
    <t>XL XL PULSA - 60000</t>
  </si>
  <si>
    <t>RJA-XL-0101</t>
  </si>
  <si>
    <t>XL XL PULSA - 70000</t>
  </si>
  <si>
    <t>RJA-DATA-0004</t>
  </si>
  <si>
    <t>RJA-XL-0102</t>
  </si>
  <si>
    <t>XL XL PULSA - 80000</t>
  </si>
  <si>
    <t>Data Cable ROBOT RGCL100S Type-C To Lightning 3A 27W Colorful 100CM (SKU RJA-DATA-0324)</t>
  </si>
  <si>
    <t>DATA</t>
  </si>
  <si>
    <t>RJA-XL-0103</t>
  </si>
  <si>
    <t>XL XL PULSA - 90000</t>
  </si>
  <si>
    <t>RJA-XL-0104</t>
  </si>
  <si>
    <t>XL XL PULSA - 100000</t>
  </si>
  <si>
    <t>RJA-XL-0105</t>
  </si>
  <si>
    <t>XL XL PULSA - 150000</t>
  </si>
  <si>
    <t>RJA-AXIS-0079</t>
  </si>
  <si>
    <t>AXIS AXIS PULSA - 5000</t>
  </si>
  <si>
    <t>RJA-AXIS-0080</t>
  </si>
  <si>
    <t>AXIS AXIS PULSA - 10000</t>
  </si>
  <si>
    <t>RJA-AXIS-0081</t>
  </si>
  <si>
    <t>AXIS AXIS PULSA - 15000</t>
  </si>
  <si>
    <t>RJA-DATA-0005</t>
  </si>
  <si>
    <t>RJA-AXIS-0082</t>
  </si>
  <si>
    <t>AXIS AXIS PULSA - 20000</t>
  </si>
  <si>
    <t>Data Cable ROBOT RUC01 Audio Type-C TO Two Type-C F White 2.4A 0.12CM (SKU RJA-DATA-0340)</t>
  </si>
  <si>
    <t>RJA-AXIS-0083</t>
  </si>
  <si>
    <t>AXIS AXIS PULSA - 25000</t>
  </si>
  <si>
    <t>RJA-AXIS-0084</t>
  </si>
  <si>
    <t>AXIS AXIS PULSA - 30000</t>
  </si>
  <si>
    <t>RJA-AXIS-0085</t>
  </si>
  <si>
    <t>AXIS AXIS PULSA - 40000</t>
  </si>
  <si>
    <t>RJA-AXIS-0086</t>
  </si>
  <si>
    <t>AXIS AXIS PULSA - 50000</t>
  </si>
  <si>
    <t>RJA-AXIS-0087</t>
  </si>
  <si>
    <t>AXIS AXIS PULSA - 60000</t>
  </si>
  <si>
    <t>RJA-AXIS-0088</t>
  </si>
  <si>
    <t>AXIS AXIS PULSA - 70000</t>
  </si>
  <si>
    <t>RJA-AXIS-0089</t>
  </si>
  <si>
    <t>AXIS AXIS PULSA - 80000</t>
  </si>
  <si>
    <t>RJA-AXIS-0090</t>
  </si>
  <si>
    <t>AXIS AXIS PULSA - 90000</t>
  </si>
  <si>
    <t>RJA-DATA-0006</t>
  </si>
  <si>
    <t>RJA-AXIS-0091</t>
  </si>
  <si>
    <t>Data Cable ROBOT RZCC100 Type-C To Type-C 60W Golden 100CM (SKU RJA-DATA-0341)</t>
  </si>
  <si>
    <t>AXIS AXIS PULSA - 100000</t>
  </si>
  <si>
    <t>RJA-AXIS-0092</t>
  </si>
  <si>
    <t>AXIS AXIS PULSA - 150000</t>
  </si>
  <si>
    <t>RJA-TOKE-0001</t>
  </si>
  <si>
    <t>TOKEN TOKEN PLN - TOKEN PLN 20 RIBU</t>
  </si>
  <si>
    <t>Token</t>
  </si>
  <si>
    <t>RJA-TOKE-0002</t>
  </si>
  <si>
    <t>TOKEN TOKEN PLN - TOKEN PLN 25 RIBU</t>
  </si>
  <si>
    <t>RJA-TOKE-0003</t>
  </si>
  <si>
    <t>TOKEN TOKEN PLN - TOKEN PLN 50 RIBU</t>
  </si>
  <si>
    <t>RJA-TOKE-0004</t>
  </si>
  <si>
    <t>TOKEN TOKEN PLN - TOKEN PLN 100 RIBU</t>
  </si>
  <si>
    <t>RJA-TOKE-0005</t>
  </si>
  <si>
    <t>TOKEN TOKEN PLN - TOKEN PLN 200 RIBU</t>
  </si>
  <si>
    <t>RJA-TOKE-0006</t>
  </si>
  <si>
    <t>TOKEN TOKEN PLN - TOKEN PLN 500 RIBU</t>
  </si>
  <si>
    <t>RJA-TAGI-0001</t>
  </si>
  <si>
    <t>TAGIHAN PLN TAGIHAN PLN - TAGIHAN PLN 10-200K</t>
  </si>
  <si>
    <t xml:space="preserve">Tagihan Pln </t>
  </si>
  <si>
    <t>RJA-DATA-0007</t>
  </si>
  <si>
    <t>RJA-TAGI-0002</t>
  </si>
  <si>
    <t>Data Cable ROBOT RZC100 USB To Type-C 66W Golden 100CM (SKU RJA-DATA-0342)</t>
  </si>
  <si>
    <t>TAGIHAN PLN TAGIHAN PLN - TAGIHAN PLN 201-500K</t>
  </si>
  <si>
    <t>RJA-TAGI-0003</t>
  </si>
  <si>
    <t>TAGIHAN PLN TAGIHAN PLN - TAGIHAN PLN 500-1000K</t>
  </si>
  <si>
    <t>RJA-BPJS-0004</t>
  </si>
  <si>
    <t>BPJS TAGIHAN BPJS KESEHATAN - TAGIHAN BPJS KESEHATAN 10-200K</t>
  </si>
  <si>
    <t>RJA-BPJS-0005</t>
  </si>
  <si>
    <t>BPJS TAGIHAN BPJS KESEHATAN - TAGIHAN BPJS KESEHATAN 201-500K</t>
  </si>
  <si>
    <t>RJA-BPJS-0006</t>
  </si>
  <si>
    <t>BPJS TAGIHAN BPJS KESEHATAN - TAGIHAN BPJS KESEHATAN 500-1000K</t>
  </si>
  <si>
    <t>RJA-INDI-0004</t>
  </si>
  <si>
    <t>INDIHOME TAGIHAN TELKOM/INDIHOME - TAGIHAN TELKOM/INDIHOME 10-200K</t>
  </si>
  <si>
    <t>RJA-INDI-0005</t>
  </si>
  <si>
    <t>INDIHOME TAGIHAN TELKOM/INDIHOME - TAGIHAN TELKOM/INDIHOME 201-500K</t>
  </si>
  <si>
    <t>RJA-INDI-0006</t>
  </si>
  <si>
    <t>RJA-DATA-0008</t>
  </si>
  <si>
    <t>INDIHOME TAGIHAN TELKOM/INDIHOME - TAGIHAN TELKOM/INDIHOME 500-1000K</t>
  </si>
  <si>
    <t>Data Cable ROBOT RGCC100S Type-C To Type-C 3A 60W Colorful 100CM (SKU RJA-DATA-0343)</t>
  </si>
  <si>
    <t>RJA-TVPA-0004</t>
  </si>
  <si>
    <t>TV PASCABAYAR TAGIHAN TV PASCA BAYAR - TAGIHAN TV PASCA BAYAR 10-200K</t>
  </si>
  <si>
    <t>RJA-TVPA-0005</t>
  </si>
  <si>
    <t>TV PASCABAYAR TAGIHAN TV PASCA BAYAR - TAGIHAN TV PASCA BAYAR 201-500K</t>
  </si>
  <si>
    <t>RJA-TVPA-0006</t>
  </si>
  <si>
    <t>TV PASCABAYAR TAGIHAN TV PASCA BAYAR - TAGIHAN TV PASCA BAYAR 500-1000K</t>
  </si>
  <si>
    <t>RJA-PULS-0001</t>
  </si>
  <si>
    <t>MULTIFINANCE TAGIHAN MULTIFINANCE - TAGIHAN MULTIFINANCE 10-200K</t>
  </si>
  <si>
    <t>RJA-PULS-0002</t>
  </si>
  <si>
    <t>MULTIFINANCE TAGIHAN MULTIFINANCE - TAGIHAN MULTIFINANCE 201-500K</t>
  </si>
  <si>
    <t>RJA-PULS-0003</t>
  </si>
  <si>
    <t>MULTIFINANCE TAGIHAN MULTIFINANCE - TAGIHAN MULTIFINANCE 500-1000K</t>
  </si>
  <si>
    <t>RJA-GAME-0013</t>
  </si>
  <si>
    <t>GAME FRE FIRE DIAMOND FREE FIRE - 120 DIAMOND FREE FIRE</t>
  </si>
  <si>
    <t>Game Fre Fire</t>
  </si>
  <si>
    <t>RJA-GAME-0014</t>
  </si>
  <si>
    <t>GAME FRE FIRE DIAMOND FREE FIRE - 130 DIAMOND FREE FIRE</t>
  </si>
  <si>
    <t>RJA-GAME-0015</t>
  </si>
  <si>
    <t>GAME FRE FIRE DIAMOND FREE FIRE - 140 DIAMOND FREE FIRE</t>
  </si>
  <si>
    <t>RJA-DATA-0009</t>
  </si>
  <si>
    <t>RJA-GAME-0016</t>
  </si>
  <si>
    <t>Data Cable ROBOT RGC100S Type-C 2.4A Colorful 100C4 (SKU RJA-DATA-0344)</t>
  </si>
  <si>
    <t>GAME FRE FIRE DIAMOND FREE FIRE - 160 DIAMOND FREE FIRE</t>
  </si>
  <si>
    <t>RJA-GAME-0017</t>
  </si>
  <si>
    <t>GAME FRE FIRE DIAMOND FREE FIRE - FREE FIRE LEVEL UP PASS</t>
  </si>
  <si>
    <t>RJA-GAME-0018</t>
  </si>
  <si>
    <t>GAME FRE FIRE DIAMOND FREE FIRE - 190 DIAMOND FREE FIRE</t>
  </si>
  <si>
    <t>RJA-GAME-0019</t>
  </si>
  <si>
    <t>GAME FRE FIRE DIAMOND FREE FIRE - 200 DIAMOND FREE FIRE</t>
  </si>
  <si>
    <t>RJA-GAME-0020</t>
  </si>
  <si>
    <t>GAME FRE FIRE DIAMOND FREE FIRE - MEMBERSHIP MINGGUAN</t>
  </si>
  <si>
    <t>RJA-GAME-0021</t>
  </si>
  <si>
    <t>GAME FRE FIRE DIAMOND FREE FIRE - 260 DIAMOND FREE FIRE</t>
  </si>
  <si>
    <t>RJA-GAME-0022</t>
  </si>
  <si>
    <t>GAME FRE FIRE DIAMOND FREE FIRE - 280 DIAMOND FREE FIRE</t>
  </si>
  <si>
    <t>RJA-GAME-0023</t>
  </si>
  <si>
    <t>GAME FRE FIRE DIAMOND FREE FIRE - 300 DIAMOND FREE FIRE</t>
  </si>
  <si>
    <t>RJA-DATA-0010</t>
  </si>
  <si>
    <t>Data Cable ROBOT RGBC100 USB To Type-C 3A RGB Colorful Lamp Black 100CM (SKU RJA-DATA-0345)</t>
  </si>
  <si>
    <t>RJA-GAME-0024</t>
  </si>
  <si>
    <t>GAME FRE FIRE DIAMOND FREE FIRE - BOOYAH PASS(BPCARD)</t>
  </si>
  <si>
    <t>RJA-GAME-0025</t>
  </si>
  <si>
    <t>GAME FRE FIRE DIAMOND FREE FIRE - 360 DIAMOND FREE FIRE</t>
  </si>
  <si>
    <t>RJA-GAME-0026</t>
  </si>
  <si>
    <t>GAME FRE FIRE DIAMOND FREE FIRE - 400 DIAMOND FREE FIRE</t>
  </si>
  <si>
    <t>RJA-GAME-0027</t>
  </si>
  <si>
    <t>GAME FRE FIRE DIAMOND FREE FIRE - 475 DIAMOND FREE FIRE</t>
  </si>
  <si>
    <t>RJA-GAME-0028</t>
  </si>
  <si>
    <t>GAME FRE FIRE DIAMOND FREE FIRE - 500 DIAMOND FREE FIRE</t>
  </si>
  <si>
    <t>RJA-GAME-0029</t>
  </si>
  <si>
    <t>GAME FRE FIRE DIAMOND FREE FIRE - 565 DIAMOND FREE FIRE</t>
  </si>
  <si>
    <t>RJA-GAME-0030</t>
  </si>
  <si>
    <t>GAME FRE FIRE DIAMOND FREE FIRE - 600 DIAMOND FREE FIRE</t>
  </si>
  <si>
    <t>RJA-GAME-0031</t>
  </si>
  <si>
    <t>GAME FRE FIRE DIAMOND FREE FIRE - MEMBERSHIP BULANAN</t>
  </si>
  <si>
    <t>RJA-GAME-0032</t>
  </si>
  <si>
    <t>GAME FRE FIRE DIAMOND FREE FIRE - 800 DIAMOND FREE FIRE</t>
  </si>
  <si>
    <t>RJA-DATA-0011</t>
  </si>
  <si>
    <t>RJA-GAME-0033</t>
  </si>
  <si>
    <t>GAME DIAMOND MOBILE LEGEND - DIAMOND MOBILE LEGEND</t>
  </si>
  <si>
    <t>Game</t>
  </si>
  <si>
    <t>Data Cable ROBOT RBM100 II Micro 2.1A Mini Black&amp;White 100CM (SKU RJA-DATA-0346)</t>
  </si>
  <si>
    <t>RJA-GAME-0034</t>
  </si>
  <si>
    <t>GAME DIAMONG MOBIL LEGEN GLOBAL - DIAMONG MOBIL LEGEN GLOBAL</t>
  </si>
  <si>
    <t>RJA-GAME-0035</t>
  </si>
  <si>
    <t>GAME PUBG - PUBG</t>
  </si>
  <si>
    <t>RJA-GAME-0036</t>
  </si>
  <si>
    <t>GAME GENSHIN - GENSHIN</t>
  </si>
  <si>
    <t>RJA-GAME-0037</t>
  </si>
  <si>
    <t>GAME HONOR OF KING - HONOR OF KING</t>
  </si>
  <si>
    <t>RJA-GAME-0038</t>
  </si>
  <si>
    <t>GAME GARENA UNDAWN - GARENA UNDAWN</t>
  </si>
  <si>
    <t>RJA-GAME-0039</t>
  </si>
  <si>
    <t>GAME NAGIC CHESS GOGO - NAGIC CHESS GOGO</t>
  </si>
  <si>
    <t>RJA-GAME-0040</t>
  </si>
  <si>
    <t>GAME CALL OF DUTY - CALL OF DUTY</t>
  </si>
  <si>
    <t>RJA-GAME-0041</t>
  </si>
  <si>
    <t>GAME FC MOBILE - FC MOBILE</t>
  </si>
  <si>
    <t>RJA-GAME-0042</t>
  </si>
  <si>
    <t>GAME POINT BLANK ZEPETTO - POINT BLANK ZEPETTO</t>
  </si>
  <si>
    <t>RJA-GAME-0043</t>
  </si>
  <si>
    <t>GAME AUZ MOBILE - AUZ MOBILE</t>
  </si>
  <si>
    <t>RJA-DATA-0012</t>
  </si>
  <si>
    <t>RJA-GAME-0044</t>
  </si>
  <si>
    <t>GAME BIG CST COIN RAGNAROK - BIG CST COIN RAGNAROK</t>
  </si>
  <si>
    <t>Data Cable ROBOT RXC100 USB To Type-C 3A Black 100CM (SKU RJA-DATA-0350)</t>
  </si>
  <si>
    <t>RJA-GAME-0045</t>
  </si>
  <si>
    <t>GAME HAGO - HAGO</t>
  </si>
  <si>
    <t>RJA-BYU-0052</t>
  </si>
  <si>
    <t>BY U BULANAN BY U - BY U DATA 7 GB 30 HARI</t>
  </si>
  <si>
    <t>RJA-BYU-0053</t>
  </si>
  <si>
    <t>BY U BULANAN BY U - BY U DATA 9 GB 30 HARI</t>
  </si>
  <si>
    <t>RJA-BYU-0054</t>
  </si>
  <si>
    <t>BY U BULANAN BY U - BY U DATA 11 GB 30 HARI</t>
  </si>
  <si>
    <t>RJA-BYU-0055</t>
  </si>
  <si>
    <t>BY U BULANAN BY U - BY U DATA 14 GB 30 HARI</t>
  </si>
  <si>
    <t>RJA-DATA-0013</t>
  </si>
  <si>
    <t>RJA-BYU-0056</t>
  </si>
  <si>
    <t>Data Cable ROBOT RXC100 USB To Type-C 3A Black 100CM (SKU RJA-DATA-0357)</t>
  </si>
  <si>
    <t>BY U BULANAN BY U - BY U DATA 18 GB 30 HARI</t>
  </si>
  <si>
    <t>RJA-BYU-0057</t>
  </si>
  <si>
    <t>BY U BULANAN BY U - BY U DATA 20 GB 30 HARI</t>
  </si>
  <si>
    <t>RJA-BYU-0058</t>
  </si>
  <si>
    <t>BY U BULANAN BY U - BY U DATA 33 GB 30 HARI</t>
  </si>
  <si>
    <t>RJA-BYU-0059</t>
  </si>
  <si>
    <t>BY U BULANAN BY U - BY U DATA 42 GB 30 HARI</t>
  </si>
  <si>
    <t>RJA-BYU-0060</t>
  </si>
  <si>
    <t>BY U HARIAN - BY U DATA 3 GB 1HARI</t>
  </si>
  <si>
    <t>RJA-BYU-0061</t>
  </si>
  <si>
    <t>BY U HARIAN - BY U DATA 10 GB 1HARI</t>
  </si>
  <si>
    <t>RJA-BYU-0062</t>
  </si>
  <si>
    <t>BY U HARIAN - BY U DATA 6 GB 2HARI</t>
  </si>
  <si>
    <t>RJA-BYU-0063</t>
  </si>
  <si>
    <t>BY U HARIAN - BY U DATA 8 GB 2HARI</t>
  </si>
  <si>
    <t>RJA-BYU-0064</t>
  </si>
  <si>
    <t>BY U HARIAN - BY U DATA 6 GB 3HARI</t>
  </si>
  <si>
    <t>RJA-DATA-0014</t>
  </si>
  <si>
    <t>Data Cable ROBOT RC30 USB To Type-C 3A Colorful 30CM (SKU RJA-DATA-0358)</t>
  </si>
  <si>
    <t>RJA-BYU-0065</t>
  </si>
  <si>
    <t>BY U HARIAN - BY U DATA 8 GB 3HARI</t>
  </si>
  <si>
    <t>RJA-BYU-0066</t>
  </si>
  <si>
    <t>BY U HARIAN - BY U DATA 6 GB 7HARI</t>
  </si>
  <si>
    <t>RJA-BYU-0067</t>
  </si>
  <si>
    <t>BY U HARIAN - BY U DATA 7.5 GB 7HARI</t>
  </si>
  <si>
    <t>RJA-BYU-0068</t>
  </si>
  <si>
    <t>BY U HARIAN - BY U DATA 8 GB 7HARI</t>
  </si>
  <si>
    <t>RJA-BYU-0069</t>
  </si>
  <si>
    <t>BY U HARIAN - BY U DATA 10 GB 7HARI</t>
  </si>
  <si>
    <t>RJA-BYU-0070</t>
  </si>
  <si>
    <t>BY U HARIAN - BY U DATA 7 GB 20HARI</t>
  </si>
  <si>
    <t>RJA-BYU-0071</t>
  </si>
  <si>
    <t>BY U 14 HR - BY U DATA 1 GB 14HR</t>
  </si>
  <si>
    <t>RJA-BYU-0072</t>
  </si>
  <si>
    <t>BY U 14 HR - BY U DATA 2 GB 14HR</t>
  </si>
  <si>
    <t>RJA-BYU-0073</t>
  </si>
  <si>
    <t>RJA-DATA-0015</t>
  </si>
  <si>
    <t>BY U 14 HR - BY U DATA 3 GB 14HR</t>
  </si>
  <si>
    <t>Data Cable ROBOT RXL100 USB To Lightning 2.4A Black 100CM</t>
  </si>
  <si>
    <t>RJA-BYU-0074</t>
  </si>
  <si>
    <t>BY U 14 HR - BY U DATA 4 GB 14HR</t>
  </si>
  <si>
    <t>RJA-BYU-0075</t>
  </si>
  <si>
    <t>BY U 14 HR - BY U DATA 5 GB 14HR</t>
  </si>
  <si>
    <t>RJA-BYU-0076</t>
  </si>
  <si>
    <t>BY U 14 HR - BY U DATA 6 GB 14HR</t>
  </si>
  <si>
    <t>RJA-BYU-0077</t>
  </si>
  <si>
    <t>BY U 14 HR - BY U DATA 7 GB 14HR</t>
  </si>
  <si>
    <t>RJA-BYU-0078</t>
  </si>
  <si>
    <t>BY U 14 HR - BY U DATA 8 GB 14HR</t>
  </si>
  <si>
    <t>RJA-BYU-0079</t>
  </si>
  <si>
    <t>BY U PULSA BYU - 5000</t>
  </si>
  <si>
    <t>RJA-BYU-0080</t>
  </si>
  <si>
    <t>BY U PULSA BYU - 10000</t>
  </si>
  <si>
    <t>RJA-DATA-0016</t>
  </si>
  <si>
    <t>RJA-BYU-0081</t>
  </si>
  <si>
    <t>BY U PULSA BYU - 15000</t>
  </si>
  <si>
    <t>Data Cable ROBOT RXCL100 Type-C To Lightning 27W Black 100CM</t>
  </si>
  <si>
    <t>RJA-BYU-0082</t>
  </si>
  <si>
    <t>BY U PULSA BYU - 25000</t>
  </si>
  <si>
    <t>RJA-BYU-0083</t>
  </si>
  <si>
    <t>BY U PULSA BYU - 30000</t>
  </si>
  <si>
    <t>RJA-BYU-0084</t>
  </si>
  <si>
    <t>BY U PULSA BYU - 35000</t>
  </si>
  <si>
    <t>RJA-BYU-0085</t>
  </si>
  <si>
    <t>BY U PULSA BYU - 40000</t>
  </si>
  <si>
    <t>RJA-BYU-0086</t>
  </si>
  <si>
    <t>BY U PULSA BYU - 45000</t>
  </si>
  <si>
    <t>RJA-BYU-0087</t>
  </si>
  <si>
    <t>BY U PULSA BYU - 50000</t>
  </si>
  <si>
    <t>RJA-DATA-0017</t>
  </si>
  <si>
    <t>RJA-BYU-0088</t>
  </si>
  <si>
    <t>Data Cable ROBOT RUC01 Audio Type-C TO Two Type-C F White 2.4A 0.12CM (SKU RJA-DATA-0469)</t>
  </si>
  <si>
    <t>BY U PULSA BYU - 55000</t>
  </si>
  <si>
    <t>RJA-BYU-0089</t>
  </si>
  <si>
    <t>BY U PULSA BYU - 60000</t>
  </si>
  <si>
    <t>RJA-BYU-0090</t>
  </si>
  <si>
    <t>BY U PULSA BYU - 65000</t>
  </si>
  <si>
    <t>RJA-BYU-0091</t>
  </si>
  <si>
    <t>BY U PULSA BYU - 70000</t>
  </si>
  <si>
    <t>RJA-BYU-0092</t>
  </si>
  <si>
    <t>BY U PULSA BYU - 75000</t>
  </si>
  <si>
    <t>RJA-BYU-0093</t>
  </si>
  <si>
    <t>BY U PULSA BYU - 80000</t>
  </si>
  <si>
    <t>RJA-BYU-0094</t>
  </si>
  <si>
    <t>BY U PULSA BYU - 85000</t>
  </si>
  <si>
    <t>RJA-DATA-0018</t>
  </si>
  <si>
    <t>RJA-BYU-0095</t>
  </si>
  <si>
    <t>Data Cable ROBOT RZCC100 Type-C To Type-C 60W Golden 100CM (SKU RJA-DATA-0482)</t>
  </si>
  <si>
    <t>BY U PULSA BYU - 90000</t>
  </si>
  <si>
    <t>RJA-BYU-0096</t>
  </si>
  <si>
    <t>BY U PULSA BYU - 95000</t>
  </si>
  <si>
    <t>RJA-BYU-0097</t>
  </si>
  <si>
    <t>BY U PULSA BYU - 100000</t>
  </si>
  <si>
    <t>RJA-BYU-0098</t>
  </si>
  <si>
    <t>BY U PULSA BYU - 150000</t>
  </si>
  <si>
    <t>RJA-BYU-0099</t>
  </si>
  <si>
    <t>BY U PULSA BYU - 200000</t>
  </si>
  <si>
    <t>RJA-THRE-0115</t>
  </si>
  <si>
    <t>THREE PULSA THREE - 5000</t>
  </si>
  <si>
    <t>RJA-THRE-0116</t>
  </si>
  <si>
    <t>THREE PULSA THREE - 10000</t>
  </si>
  <si>
    <t>RJA-THRE-0117</t>
  </si>
  <si>
    <t>THREE PULSA THREE - 15000</t>
  </si>
  <si>
    <t>RJA-THRE-0118</t>
  </si>
  <si>
    <t>THREE PULSA THREE - 20000</t>
  </si>
  <si>
    <t>RJA-THRE-0119</t>
  </si>
  <si>
    <t>THREE PULSA THREE - 25000</t>
  </si>
  <si>
    <t>RJA-THRE-0120</t>
  </si>
  <si>
    <t>THREE PULSA THREE - 30000</t>
  </si>
  <si>
    <t>RJA-DATA-0019</t>
  </si>
  <si>
    <t>RJA-THRE-0121</t>
  </si>
  <si>
    <t>THREE PULSA THREE - 40000</t>
  </si>
  <si>
    <t>Data Cable ROBOT RZC100 USB To Type-C 66W Golden 100CM (SKU RJA-DATA-0496)</t>
  </si>
  <si>
    <t>RJA-THRE-0122</t>
  </si>
  <si>
    <t>THREE PULSA THREE - 50000</t>
  </si>
  <si>
    <t>RJA-THRE-0123</t>
  </si>
  <si>
    <t>THREE PULSA THREE - 60000</t>
  </si>
  <si>
    <t>RJA-THRE-0124</t>
  </si>
  <si>
    <t>THREE PULSA THREE - 70000</t>
  </si>
  <si>
    <t>RJA-THRE-0125</t>
  </si>
  <si>
    <t>THREE PULSA THREE - 75000</t>
  </si>
  <si>
    <t>RJA-THRE-0126</t>
  </si>
  <si>
    <t>THREE PULSA THREE - 80000</t>
  </si>
  <si>
    <t>RJA-THRE-0127</t>
  </si>
  <si>
    <t>THREE PULSA THREE - 90000</t>
  </si>
  <si>
    <t>RJA-THRE-0128</t>
  </si>
  <si>
    <t>THREE PULSA THREE - 100000</t>
  </si>
  <si>
    <t>RJA-THRE-0129</t>
  </si>
  <si>
    <t>THREE PULSA THREE - 125000</t>
  </si>
  <si>
    <t>RJA-DATA-0020</t>
  </si>
  <si>
    <t>RJA-THRE-0130</t>
  </si>
  <si>
    <t>Data Cable ROBOT RGCC100S Type-C To Type-C 3A 60W Colorful 100CM (SKU RJA-DATA-0497)</t>
  </si>
  <si>
    <t>THREE PULSA THREE - 150000</t>
  </si>
  <si>
    <t>RJA-THRE-0131</t>
  </si>
  <si>
    <t>THREE PULSA THREE - 200000</t>
  </si>
  <si>
    <t>RJA-SMAR-0109</t>
  </si>
  <si>
    <t>SMART PULSA SMART - 5000</t>
  </si>
  <si>
    <t>RJA-SMAR-0110</t>
  </si>
  <si>
    <t>SMART PULSA SMART - 10000</t>
  </si>
  <si>
    <t>RJA-SMAR-0111</t>
  </si>
  <si>
    <t>SMART PULSA SMART - 12000</t>
  </si>
  <si>
    <t>RJA-SMAR-0112</t>
  </si>
  <si>
    <t>SMART PULSA SMART - 15000</t>
  </si>
  <si>
    <t>RJA-SMAR-0113</t>
  </si>
  <si>
    <t>SMART PULSA SMART - 20000</t>
  </si>
  <si>
    <t>RJA-SMAR-0114</t>
  </si>
  <si>
    <t>SMART PULSA SMART - 25000</t>
  </si>
  <si>
    <t>RJA-SMAR-0115</t>
  </si>
  <si>
    <t>SMART PULSA SMART - 30000</t>
  </si>
  <si>
    <t>RJA-SMAR-0116</t>
  </si>
  <si>
    <t>RJA-DATA-0021</t>
  </si>
  <si>
    <t>SMART PULSA SMART - 35000</t>
  </si>
  <si>
    <t>RJA-SMAR-0117</t>
  </si>
  <si>
    <t>Data Cable ROBOT RGC100S Type-C 2.4A Colorful 100C4 (SKU RJA-DATA-0502)</t>
  </si>
  <si>
    <t>SMART PULSA SMART - 40000</t>
  </si>
  <si>
    <t>RJA-SMAR-0118</t>
  </si>
  <si>
    <t>SMART PULSA SMART - 45000</t>
  </si>
  <si>
    <t>RJA-SMAR-0119</t>
  </si>
  <si>
    <t>SMART PULSA SMART - 50000</t>
  </si>
  <si>
    <t>RJA-SMAR-0120</t>
  </si>
  <si>
    <t>SMART PULSA SMART - 55000</t>
  </si>
  <si>
    <t>RJA-SMAR-0121</t>
  </si>
  <si>
    <t>SMART PULSA SMART - 60000</t>
  </si>
  <si>
    <t>RJA-SMAR-0122</t>
  </si>
  <si>
    <t>SMART PULSA SMART - 65000</t>
  </si>
  <si>
    <t>RJA-SMAR-0123</t>
  </si>
  <si>
    <t>SMART PULSA SMART - 70000</t>
  </si>
  <si>
    <t>RJA-SMAR-0124</t>
  </si>
  <si>
    <t>SMART PULSA SMART - 75000</t>
  </si>
  <si>
    <t>RJA-SMAR-0125</t>
  </si>
  <si>
    <t>SMART PULSA SMART - 80000</t>
  </si>
  <si>
    <t>RJA-SMAR-0126</t>
  </si>
  <si>
    <t>SMART PULSA SMART - 85000</t>
  </si>
  <si>
    <t>RJA-SMAR-0127</t>
  </si>
  <si>
    <t>SMART PULSA SMART - 90000</t>
  </si>
  <si>
    <t>RJA-SMAR-0128</t>
  </si>
  <si>
    <t>SMART PULSA SMART - 95000</t>
  </si>
  <si>
    <t>RJA-DATA-0022</t>
  </si>
  <si>
    <t>Data Cable ROBOT RGBCL120 Type-C To Lightning 30W RGB Colorful Lamp Black 120CM</t>
  </si>
  <si>
    <t>RJA-SMAR-0129</t>
  </si>
  <si>
    <t>SMART PULSA SMART - 100000</t>
  </si>
  <si>
    <t>RJA-ETOL-0010</t>
  </si>
  <si>
    <t>E TOLL BNI - TAPCASH 20 K</t>
  </si>
  <si>
    <t>RJA-ETOL-0011</t>
  </si>
  <si>
    <t>E TOLL BNI - TAPCASH 50 K</t>
  </si>
  <si>
    <t>RJA-ETOL-0012</t>
  </si>
  <si>
    <t>E TOLL BNI - TAPCASH 1000 K</t>
  </si>
  <si>
    <t>RJA-ETOL-0013</t>
  </si>
  <si>
    <t>E TOLL BRI - BRIZZI 20 RIBU</t>
  </si>
  <si>
    <t>RJA-ETOL-0014</t>
  </si>
  <si>
    <t>E TOLL BRI - BRIZZI 50 RIBU</t>
  </si>
  <si>
    <t>RJA-ETOL-0015</t>
  </si>
  <si>
    <t>E TOLL BRI - BRIZZI 100 RIBU</t>
  </si>
  <si>
    <t>RJA-ETOL-0016</t>
  </si>
  <si>
    <t>E TOLL MANDIRI - E MONEY 20K</t>
  </si>
  <si>
    <t>RJA-ETOL-0017</t>
  </si>
  <si>
    <t>RJA-DATA-0023</t>
  </si>
  <si>
    <t>E TOLL MANDIRI - E MONEY 50K</t>
  </si>
  <si>
    <t>Data Cable ROBOT RGBC100 USB To Type-C 3A RGB Colorful Lamp Black 100CM (SKU RJA-DATA-0504)</t>
  </si>
  <si>
    <t>RJA-ETOL-0018</t>
  </si>
  <si>
    <t>E TOLL MANDIRI - E MONEY 100K</t>
  </si>
  <si>
    <t>RJA-DANA-0001</t>
  </si>
  <si>
    <t>DANA TOP UP DANA - DANA 2001K - 499K</t>
  </si>
  <si>
    <t>Dana</t>
  </si>
  <si>
    <t>RJA-DANA-0002</t>
  </si>
  <si>
    <t>DANA TOP UP DANA - DANA 20001K - 3000K</t>
  </si>
  <si>
    <t>RJA-OVO-0008</t>
  </si>
  <si>
    <t>OVO TOP UP OVO - OVO 2001K - 499K</t>
  </si>
  <si>
    <t>RJA-OVO-0009</t>
  </si>
  <si>
    <t>OVO TOP UP OVO - OVO 20001K - 3000K</t>
  </si>
  <si>
    <t>RJA-GOPA-0008</t>
  </si>
  <si>
    <t>GOPAY TOP UP GOPAY - GOPAY 2001K - 499K</t>
  </si>
  <si>
    <t>RJA-GOPA-0009</t>
  </si>
  <si>
    <t>GOPAY TOP UP GOPAY - `</t>
  </si>
  <si>
    <t>RJA-GOPA-0010</t>
  </si>
  <si>
    <t>RJA-DATA-0024</t>
  </si>
  <si>
    <t>GOPAY TOP UP GOPAY - GOPAY 20001K - 3000K</t>
  </si>
  <si>
    <t>Data Cable ROBOT RCOCC100 Coffee Cup Type-C To Type-C 60W Colorful (SKU RJA-DATA-0505)</t>
  </si>
  <si>
    <t>RJA-SHOP-0009</t>
  </si>
  <si>
    <t>SHOPEE TOP UP SHOPEE - SHOPEE 2001K - 499K</t>
  </si>
  <si>
    <t>RJA-SHOP-0010</t>
  </si>
  <si>
    <t>SHOPEE TOP UP SHOPEE - SHOPEE 20001K - 3000K</t>
  </si>
  <si>
    <t>RJA-LINK-0008</t>
  </si>
  <si>
    <t>LINK AJA TOP UP LINK AJA - LINK AJA 2001K - 499K</t>
  </si>
  <si>
    <t>RJA-LINK-0009</t>
  </si>
  <si>
    <t>LINK AJA TOP UP LINK AJA - LINK AJA 20001K - 3000K</t>
  </si>
  <si>
    <t>RJA-BANK-0001</t>
  </si>
  <si>
    <t>TRANSFER</t>
  </si>
  <si>
    <t>BANK MAS BANK MAS - TRANSFER BANK 10K-200K</t>
  </si>
  <si>
    <t>Bank Mas</t>
  </si>
  <si>
    <t>RJA-BANK-0002</t>
  </si>
  <si>
    <t>BANK MAS BANK MAS - TRANSFER 200.100K - 500.000</t>
  </si>
  <si>
    <t>RJA-BANK-0003</t>
  </si>
  <si>
    <t>BANK MAS BANK MAS - TRASNSFER 500.100 - 1.000.000</t>
  </si>
  <si>
    <t>RJA-BANK-0004</t>
  </si>
  <si>
    <t>BANK MAS BANK MAS - TRANSFER 1.000.100 - 2.000.000</t>
  </si>
  <si>
    <t>RJA-DATA-0025</t>
  </si>
  <si>
    <t>Data Cable ROBOT RC30 USB To Type-C 3A Colorful 30CM (SKU RJA-DATA-0506)</t>
  </si>
  <si>
    <t>RJA-BANK-0005</t>
  </si>
  <si>
    <t>BANK MAS BANK MAS - TRANSFER 2.000.100 - 3.000.000</t>
  </si>
  <si>
    <t>RJA-BANK-0006</t>
  </si>
  <si>
    <t>BANK MAS BANK MAS - TRANSFER 3,000,000 - 4.000.000</t>
  </si>
  <si>
    <t>RJA-BANK-0007</t>
  </si>
  <si>
    <t>BANK MAS BANK MAS - TRANSFER 4,000,001 - 5.000.000</t>
  </si>
  <si>
    <t>RJA-BANK-0008</t>
  </si>
  <si>
    <t>BANK MAS BANK MAS - TRANSFER 5,000,001 - 6.000.000</t>
  </si>
  <si>
    <t>RJA-QRIS-0001</t>
  </si>
  <si>
    <t>QRIS QRIS - TARIK TUNAI 200.100K - 500.000</t>
  </si>
  <si>
    <t>Qris</t>
  </si>
  <si>
    <t>RJA-QRIS-0002</t>
  </si>
  <si>
    <t>QRIS QRIS - TARIK TUNAI 500.100 - 1.000.000</t>
  </si>
  <si>
    <t>RJA-QRIS-0003</t>
  </si>
  <si>
    <t>QRIS QRIS - TARIK TUNAI 1.000.100 - 2.000.000</t>
  </si>
  <si>
    <t>RJA-QRIS-0004</t>
  </si>
  <si>
    <t>QRIS QRIS - TARIK TUNAI 2.000.100 - 3.000.000</t>
  </si>
  <si>
    <t>RJA-DATA-0026</t>
  </si>
  <si>
    <t>RJA-QRIS-0005</t>
  </si>
  <si>
    <t>QRIS QRIS - TARIK TUNAI 3,000,000 - 4.000.000</t>
  </si>
  <si>
    <t>Data Cable ROBOT RBM100 II Micro 2.1A Mini Black&amp;White 100CM (SKU RJA-DATA-0507)</t>
  </si>
  <si>
    <t>RJA-QRIS-0006</t>
  </si>
  <si>
    <t>QRIS QRIS - TARIK TUNAI 4,000,001 - 5.000.000</t>
  </si>
  <si>
    <t>RJA-QRIS-0007</t>
  </si>
  <si>
    <t>QRIS QRIS - TARIK TUNAI 5,000,001 - 6.000.000</t>
  </si>
  <si>
    <t>RJA-WAHA-0001</t>
  </si>
  <si>
    <t>LAIN-LAIN</t>
  </si>
  <si>
    <t>WAHANA WAHANA - PENGIRIMAN BARANG VIA WAHANA</t>
  </si>
  <si>
    <t>Wahana</t>
  </si>
  <si>
    <t>RJA-DANA-0003</t>
  </si>
  <si>
    <t>DANA TOP UP DANA - TOP UP DANA 10K-99K</t>
  </si>
  <si>
    <t>RJA-DANA-0004</t>
  </si>
  <si>
    <t>DANA TOP UP DANA - TOP UP DANA 100K-200K</t>
  </si>
  <si>
    <t>RJA-DANA-0005</t>
  </si>
  <si>
    <t>DANA TOP UP DANA - TOP UP DANA 2001K - 499K</t>
  </si>
  <si>
    <t>RJA-DANA-0006</t>
  </si>
  <si>
    <t>DANA TOP UP DANA - TOP UP DANA 500K - 1000K</t>
  </si>
  <si>
    <t>RJA-DANA-0007</t>
  </si>
  <si>
    <t>DANA TOP UP DANA - TOP UP DANA 1001K - 2000K</t>
  </si>
  <si>
    <t>RJA-DATA-0027</t>
  </si>
  <si>
    <t>Data Cable ROBOT RAM100S Micro 2.4A Colorful 100CM</t>
  </si>
  <si>
    <t>RJA-DANA-0008</t>
  </si>
  <si>
    <t>DANA TOP UP DANA - TOP UP DANA 20001K - 3000K</t>
  </si>
  <si>
    <t>RJA-DATA-0028</t>
  </si>
  <si>
    <t>Data Cable ROBOT RAC100S Type-C 2.4A Colorful 100CM</t>
  </si>
  <si>
    <t>RJA-DATA-0029</t>
  </si>
  <si>
    <t>Data Cable ROBOT RGCL100S Type-C To Lightning 3A 27W Colorful 100CM (SKU RJA-DATA-0517)</t>
  </si>
  <si>
    <t>RJA-DATA-0030</t>
  </si>
  <si>
    <t>Data Cable ROBOT RGCL100S Type-C To Lightning 3A 27W Colorful 100CM (SKU RJA-DATA-0537)</t>
  </si>
  <si>
    <t>RJA-DESK-0001</t>
  </si>
  <si>
    <t>DESKTOP HOLDER LANEX LZ12</t>
  </si>
  <si>
    <t>LANEX</t>
  </si>
  <si>
    <t>RJA-DOMP-0001</t>
  </si>
  <si>
    <t>DOMPET 20K</t>
  </si>
  <si>
    <t>RJA-DONG-0001</t>
  </si>
  <si>
    <t>Dongle HDMI</t>
  </si>
  <si>
    <t>DOGLE</t>
  </si>
  <si>
    <t>RJA-DPRE-0001</t>
  </si>
  <si>
    <t>DP Rechargeable Flashlight DP-9171 Blue (SKU RJA-DPRE-0554)</t>
  </si>
  <si>
    <t>LAMPU</t>
  </si>
  <si>
    <t>RJA-DPRE-0002</t>
  </si>
  <si>
    <t>DP Rechargeable Flashlight DP-9171 Blue (SKU RJA-DPRE-0557)</t>
  </si>
  <si>
    <t>RJA-EARP-0001</t>
  </si>
  <si>
    <t>EARPHONE E100C OLIKE TYPE C</t>
  </si>
  <si>
    <t>HANDFREE</t>
  </si>
  <si>
    <t>RJA-EARP-0002</t>
  </si>
  <si>
    <t>EARPHONE E206C OLIKE TYPE C</t>
  </si>
  <si>
    <t>RJA-EARP-0003</t>
  </si>
  <si>
    <t>EARPHONE E11 OLIKE</t>
  </si>
  <si>
    <t>RJA-EARP-0004</t>
  </si>
  <si>
    <t>EARPHONE E201 OLIKE BLACK</t>
  </si>
  <si>
    <t>RJA-EARP-0005</t>
  </si>
  <si>
    <t>EARPHONE E11 OLIKE BLACK</t>
  </si>
  <si>
    <t>RJA-EARP-0006</t>
  </si>
  <si>
    <t>EARPHONE E20S OLIKE BLACK</t>
  </si>
  <si>
    <t>RJA-EARP-0007</t>
  </si>
  <si>
    <t>EARPHONE E17 OLIKE BLACK</t>
  </si>
  <si>
    <t>RJA-ENTE-0001</t>
  </si>
  <si>
    <t>ENTENDER AUX CABANG</t>
  </si>
  <si>
    <t>RJA-EXTE-0001</t>
  </si>
  <si>
    <t>EXTENDER USB MALE TO MALE</t>
  </si>
  <si>
    <t>RJA-EXTE-0002</t>
  </si>
  <si>
    <t>EXTENSION 3 USB WITH DATA</t>
  </si>
  <si>
    <t>HUB</t>
  </si>
  <si>
    <t>RJA-FLAS-0001</t>
  </si>
  <si>
    <t>FLASHDISCK DAP D-U16</t>
  </si>
  <si>
    <t>FLASHDISK</t>
  </si>
  <si>
    <t>RJA-FLAS-0002</t>
  </si>
  <si>
    <t>FLASHDISCK DAP D-U8</t>
  </si>
  <si>
    <t>RJA-FLAS-0003</t>
  </si>
  <si>
    <t>FLASHDISCK DAP D-U4</t>
  </si>
  <si>
    <t>RJA-GAME-0001</t>
  </si>
  <si>
    <t>GAMEN Live broadcast dedicated radiator GMR07 Black</t>
  </si>
  <si>
    <t>GAMEN</t>
  </si>
  <si>
    <t>RJA-GAME-0002</t>
  </si>
  <si>
    <t>Gamen Fancooler Radiator GMR06 Magnetic&amp;Clamp Temperature Display Black</t>
  </si>
  <si>
    <t>FAN</t>
  </si>
  <si>
    <t>RJA-GAME-0003</t>
  </si>
  <si>
    <t>GAME Gaming Headset Galea</t>
  </si>
  <si>
    <t>HEADSET</t>
  </si>
  <si>
    <t>RJA-GAME-0004</t>
  </si>
  <si>
    <t>GAMEN Gaming Headsets GH1100 White</t>
  </si>
  <si>
    <t>RJA-GAME-0005</t>
  </si>
  <si>
    <t>GAMEN Mechanical Keyboard Titan EVO Black+Gray</t>
  </si>
  <si>
    <t>RJA-GAME-0006</t>
  </si>
  <si>
    <t>GAMEN Gaming Mouse GM100W Black (SKU RJA-GAME-0566)</t>
  </si>
  <si>
    <t>MOUSE</t>
  </si>
  <si>
    <t>RJA-GAME-0007</t>
  </si>
  <si>
    <t>GAMEN Gaming Mouse GM200W Sliver silence keys</t>
  </si>
  <si>
    <t>RJA-GAME-0008</t>
  </si>
  <si>
    <t>GAMEN Gaming Mouse GM100W White</t>
  </si>
  <si>
    <t>RJA-GAME-0009</t>
  </si>
  <si>
    <t>GAMEN Gaming Mouse GM100W Black (SKU RJA-GAME-0590)</t>
  </si>
  <si>
    <t>RJA-GAME-0010</t>
  </si>
  <si>
    <t>GAMEN Mousepad Gaming GP-L hexagon</t>
  </si>
  <si>
    <t>RJA-GANT-0001</t>
  </si>
  <si>
    <t>GANTUNGAN KUNCI SILVER</t>
  </si>
  <si>
    <t>RJA-GANT-0002</t>
  </si>
  <si>
    <t>GANTUNGAN HP BENING UNIVERSAL</t>
  </si>
  <si>
    <t>RJA-GANT-0003</t>
  </si>
  <si>
    <t>GANTUNNGAN KUNCI SPIRAL ELASTIS</t>
  </si>
  <si>
    <t>RJA-GANT-0004</t>
  </si>
  <si>
    <t>GANTUNGAN KUNCI 3IN1 OBENG PLUS MINUS</t>
  </si>
  <si>
    <t>RJA-GANT-0005</t>
  </si>
  <si>
    <t>GANTUNGAN KUNCI KARABINAR SERBAGUNA</t>
  </si>
  <si>
    <t>RJA-GEMB-0001</t>
  </si>
  <si>
    <t>GEMBOK ANGKA</t>
  </si>
  <si>
    <t>RJA-GUNT-0001</t>
  </si>
  <si>
    <t>GUNTING</t>
  </si>
  <si>
    <t>RJA-GURI-0001</t>
  </si>
  <si>
    <t>Gurita Wellcomm</t>
  </si>
  <si>
    <t>GURITA</t>
  </si>
  <si>
    <t>RJA-HAND-0001</t>
  </si>
  <si>
    <t>HANDFREE PROMO M-38</t>
  </si>
  <si>
    <t>RJA-HAND-0002</t>
  </si>
  <si>
    <t>HANDFREE MINIMO</t>
  </si>
  <si>
    <t>MINIMO</t>
  </si>
  <si>
    <t>RJA-HAND-0003</t>
  </si>
  <si>
    <t>HANDFREE STREO HT-07 / HT-08</t>
  </si>
  <si>
    <t>RJA-HAND-0004</t>
  </si>
  <si>
    <t>Handsfree Realme + Mic R899 (SKU RJA-HAND-0156)</t>
  </si>
  <si>
    <t>RJA-HAND-0005</t>
  </si>
  <si>
    <t>Handsfree Realme + Mic R899 (SKU RJA-HAND-0159)</t>
  </si>
  <si>
    <t>RJA-HAND-0006</t>
  </si>
  <si>
    <t>HANDFREE OLIKE E300S WIRED EARPHONE BLACK (SKU RJA-HAND-0163)</t>
  </si>
  <si>
    <t>RJA-HAND-0007</t>
  </si>
  <si>
    <t>HANDFREE OLIKE E30S WIRED EARPHONE BLACK (SKU RJA-HAND-0164)</t>
  </si>
  <si>
    <t>RJA-HAND-0008</t>
  </si>
  <si>
    <t>Handsfree Ori 100% Samsung S8 AKG Type - C</t>
  </si>
  <si>
    <t>RJA-HAND-0009</t>
  </si>
  <si>
    <t>HANDFREE SONNY TYPE C CT-01</t>
  </si>
  <si>
    <t>SONNY</t>
  </si>
  <si>
    <t>RJA-HAND-0010</t>
  </si>
  <si>
    <t>HANDFREE OPPO TYPE C</t>
  </si>
  <si>
    <t>OPPO</t>
  </si>
  <si>
    <t>RJA-HAND-0011</t>
  </si>
  <si>
    <t>HANDFREE TYPE C PM-50</t>
  </si>
  <si>
    <t>PM-50</t>
  </si>
  <si>
    <t>RJA-HAND-0012</t>
  </si>
  <si>
    <t>HANDFREE BASEUS C17 ENCOK TYPE C EARPHONE WHITE</t>
  </si>
  <si>
    <t>BASEUSE</t>
  </si>
  <si>
    <t>RJA-HAND-0013</t>
  </si>
  <si>
    <t>HANDFREE OLIKE TYPE C WIRED EARPHONE E100C</t>
  </si>
  <si>
    <t>RJA-HAND-0014</t>
  </si>
  <si>
    <t>HANDFREE OLIKE E300S WIRED EARPHONE BLACK (SKU RJA-HAND-0172)</t>
  </si>
  <si>
    <t>RJA-HAND-0015</t>
  </si>
  <si>
    <t>HANDFREE OLIKE E30S WIRED EARPHONE BLACK (SKU RJA-HAND-0173)</t>
  </si>
  <si>
    <t>RJA-HAND-0016</t>
  </si>
  <si>
    <t>HANDFREE DAP DH-F2</t>
  </si>
  <si>
    <t>RJA-HAND-0017</t>
  </si>
  <si>
    <t>HANDFREE DAP DH-F34</t>
  </si>
  <si>
    <t>RJA-HAND-0018</t>
  </si>
  <si>
    <t>HANDFREE DAP DH-F27</t>
  </si>
  <si>
    <t>RJA-HAND-0019</t>
  </si>
  <si>
    <t>HANDFREE DAP DH-F33</t>
  </si>
  <si>
    <t>RJA-HAND-0020</t>
  </si>
  <si>
    <t>HANDFREE DAP DH-F28</t>
  </si>
  <si>
    <t>RJA-HAND-0021</t>
  </si>
  <si>
    <t>HANDFREE DAP DH-F23</t>
  </si>
  <si>
    <t>RJA-HAND-0022</t>
  </si>
  <si>
    <t>HANDFREE DAP DH-F13</t>
  </si>
  <si>
    <t>RJA-HAND-0023</t>
  </si>
  <si>
    <t>HANDFREE DAP DH-F3</t>
  </si>
  <si>
    <t>RJA-HAND-0024</t>
  </si>
  <si>
    <t>HANDFREE DAP DH-F31(TypeC)</t>
  </si>
  <si>
    <t>RJA-HAND-0025</t>
  </si>
  <si>
    <t>HANDFREE DAP IPHONE DH-F18</t>
  </si>
  <si>
    <t>RJA-HAND-0026</t>
  </si>
  <si>
    <t>Handsfree Bluetooth TWS IPOD 3 AirPro</t>
  </si>
  <si>
    <t>RJA-HAND-0027</t>
  </si>
  <si>
    <t>Handsfree Bluetooth TWS I9S</t>
  </si>
  <si>
    <t>RJA-HAND-0028</t>
  </si>
  <si>
    <t>Handsfree Bluetooth TWS BMOT BT - 06</t>
  </si>
  <si>
    <t>RJA-HAND-0029</t>
  </si>
  <si>
    <t>Handsfree Bluetooth TWS Macaron i13S</t>
  </si>
  <si>
    <t>RJA-HAND-0030</t>
  </si>
  <si>
    <t>Handsfree BT TWS-700</t>
  </si>
  <si>
    <t>J</t>
  </si>
  <si>
    <t>RJA-HAND-0031</t>
  </si>
  <si>
    <t>HANDFREE VIVO TYPE C</t>
  </si>
  <si>
    <t>VIVO</t>
  </si>
  <si>
    <t>RJA-HAND-0032</t>
  </si>
  <si>
    <t>HANDFREE WELLCOMM SP-07</t>
  </si>
  <si>
    <t>RJA-HAND-0033</t>
  </si>
  <si>
    <t>HANDFREE ROBOT RE101S</t>
  </si>
  <si>
    <t>RJA-HAND-0034</t>
  </si>
  <si>
    <t>HANDFREE ROBOT RE10</t>
  </si>
  <si>
    <t>RJA-HAND-0035</t>
  </si>
  <si>
    <t>HANDFREE ROBOR RE240S</t>
  </si>
  <si>
    <t>RJA-HAND-0036</t>
  </si>
  <si>
    <t>HANDFREE BANDO P47M</t>
  </si>
  <si>
    <t>RJA-HAND-0037</t>
  </si>
  <si>
    <t>Handsfree Ori 100% Oppo AT-185</t>
  </si>
  <si>
    <t>RJA-HAND-0038</t>
  </si>
  <si>
    <t>HANDFREE RECCI REP-L17</t>
  </si>
  <si>
    <t>RECCI</t>
  </si>
  <si>
    <t>RJA-HANG-0001</t>
  </si>
  <si>
    <t>HANGING WATERPROOF PHONE CASE</t>
  </si>
  <si>
    <t>RJA-HDMI-0001</t>
  </si>
  <si>
    <t>HDMI TO HDMI 1.5 M DAP D-H01</t>
  </si>
  <si>
    <t>HDMI</t>
  </si>
  <si>
    <t>RJA-HDMI-0002</t>
  </si>
  <si>
    <t>HDMI 3 M DAP D-H09</t>
  </si>
  <si>
    <t>RJA-HDMI-0003</t>
  </si>
  <si>
    <t>HDMI EXTENDER (SKU RJA-HDMI-0198)</t>
  </si>
  <si>
    <t>RJA-HDMI-0004</t>
  </si>
  <si>
    <t>HDMI EXTENDER (SKU RJA-HDMI-0199)</t>
  </si>
  <si>
    <t>RJA-HDMI-0005</t>
  </si>
  <si>
    <t>HDMI DAP D-H08</t>
  </si>
  <si>
    <t>RJA-HEAD-0001</t>
  </si>
  <si>
    <t>HEADSET BANDO PPT990 PROMO</t>
  </si>
  <si>
    <t>RJA-HEAD-0002</t>
  </si>
  <si>
    <t>HEADSET BANDO P10</t>
  </si>
  <si>
    <t>RJA-HEAD-0003</t>
  </si>
  <si>
    <t>HEADPHONE OLIKE H1S TITAN WIRELESS BLACK (SKU RJA-HEAD-0205)</t>
  </si>
  <si>
    <t>HEADPHONE</t>
  </si>
  <si>
    <t>RJA-HEAD-0004</t>
  </si>
  <si>
    <t>HEADPHONE OLIKE H1S TITAN WIRELESS BLACK (SKU RJA-HEAD-0206)</t>
  </si>
  <si>
    <t>RJA-HFBL-0001</t>
  </si>
  <si>
    <t>HF Bluetooth HB-Mini campur</t>
  </si>
  <si>
    <t>RJA-HFBL-0002</t>
  </si>
  <si>
    <t>HF Bluetooth D7 + Slot MicroSD</t>
  </si>
  <si>
    <t>RJA-HFBL-0003</t>
  </si>
  <si>
    <t>HF Bluetooth TWS Ipod 4</t>
  </si>
  <si>
    <t>RJA-HFBL-0004</t>
  </si>
  <si>
    <t>HF Bluetooth TWS i7s (SKU RJA-HFBL-0934)</t>
  </si>
  <si>
    <t>RJA-HFBL-0005</t>
  </si>
  <si>
    <t>HF Bluetooth TWS i7s (SKU RJA-HFBL-0935)</t>
  </si>
  <si>
    <t>RJA-HFBL-0006</t>
  </si>
  <si>
    <t>HF Bluetooth i-12 Macaron</t>
  </si>
  <si>
    <t>RJA-HFJM-0001</t>
  </si>
  <si>
    <t>HF J + Mic JB-02</t>
  </si>
  <si>
    <t>RJA-HFOR-0001</t>
  </si>
  <si>
    <t>HF Ori 100% Samsung S10+ Besi Packing Mika</t>
  </si>
  <si>
    <t>RJA-HIGH-0001</t>
  </si>
  <si>
    <t>HIGHT POWER HEADLAMP</t>
  </si>
  <si>
    <t>RJA-HOLD-0001</t>
  </si>
  <si>
    <t>HOLDER MOBIL HD-36</t>
  </si>
  <si>
    <t>RJA-HOLD-0002</t>
  </si>
  <si>
    <t>HOLDER MOBIL HD009 WELCOME</t>
  </si>
  <si>
    <t>RJA-HOLD-0003</t>
  </si>
  <si>
    <t>HOLDER MEJA DAP D-CZ15</t>
  </si>
  <si>
    <t>RJA-HOLD-0004</t>
  </si>
  <si>
    <t>Holder Stand Hp Rotasi 360derajat Vango VA-09 , Full Besi (SKU RJA-HOLD-0240)</t>
  </si>
  <si>
    <t>RJA-HOLD-0005</t>
  </si>
  <si>
    <t>HOLDER T2 METAL ALMUNIUM BESI ROTASI360</t>
  </si>
  <si>
    <t>RJA-HOLD-0006</t>
  </si>
  <si>
    <t>Holder Phone Crayon Sinchan</t>
  </si>
  <si>
    <t>RJA-HOLD-0007</t>
  </si>
  <si>
    <t>Holder Mobil HD - 61</t>
  </si>
  <si>
    <t>RJA-HOLD-0008</t>
  </si>
  <si>
    <t>Holder Mobil HD-19 Dashboard (SKU RJA-HOLD-0244)</t>
  </si>
  <si>
    <t>RJA-HOLD-0009</t>
  </si>
  <si>
    <t>Holder phone ventilasi ac x21</t>
  </si>
  <si>
    <t>RJA-HOLD-0010</t>
  </si>
  <si>
    <t>Holder Motor Stang HM-29</t>
  </si>
  <si>
    <t>RJA-HOLD-0011</t>
  </si>
  <si>
    <t>Holder Mobil HD - 36 (SKU RJA-HOLD-0247)</t>
  </si>
  <si>
    <t>RJA-HOLD-0012</t>
  </si>
  <si>
    <t>Holder Mobil Dashboard Vango VA-01</t>
  </si>
  <si>
    <t>RJA-HOLD-0013</t>
  </si>
  <si>
    <t>Holder Phone Vakum Magnet , Vango VA-04</t>
  </si>
  <si>
    <t>RJA-HOLD-0014</t>
  </si>
  <si>
    <t>HOLDER MOTOR VANGO VA08</t>
  </si>
  <si>
    <t>VANGO</t>
  </si>
  <si>
    <t>RJA-HOLD-0015</t>
  </si>
  <si>
    <t>Holder Motor Universal HM-36</t>
  </si>
  <si>
    <t>RJA-HOLD-0016</t>
  </si>
  <si>
    <t>Holder Stand Hp Rotasi 360derajat Vango VA-09 , Full Besi (SKU RJA-HOLD-0252)</t>
  </si>
  <si>
    <t>RJA-HOLD-0017</t>
  </si>
  <si>
    <t>Total Transaksi</t>
  </si>
  <si>
    <t>Holder Stand Hp Rotasi 360derajat Vango VA-10 , Full Besi</t>
  </si>
  <si>
    <t>Total Modal</t>
  </si>
  <si>
    <t>Total Penjualan</t>
  </si>
  <si>
    <t>Total Margin</t>
  </si>
  <si>
    <t>Cash</t>
  </si>
  <si>
    <t>Transfer (BCA)</t>
  </si>
  <si>
    <t>RJA-HOLD-0018</t>
  </si>
  <si>
    <t>Holder Phone Bracket Magnetic , Vango VA-15</t>
  </si>
  <si>
    <t>RJA-HOLD-0019</t>
  </si>
  <si>
    <t>Holder Phone Dual Magnetic , FunStar F-02</t>
  </si>
  <si>
    <t>RJA-HOLD-0020</t>
  </si>
  <si>
    <t>Holder Motor Spion - HM - 32</t>
  </si>
  <si>
    <t>RJA-HOLD-0021</t>
  </si>
  <si>
    <t>Holder Magnetic CT022</t>
  </si>
  <si>
    <t>RJA-HOLD-0022</t>
  </si>
  <si>
    <t>Holder Motor PT-29 Spion</t>
  </si>
  <si>
    <t>RJA-HOLD-0023</t>
  </si>
  <si>
    <t>Holder Spion M3 Besi</t>
  </si>
  <si>
    <t>RJA-HOLD-0024</t>
  </si>
  <si>
    <t>Holder Phone Vakum Magnet , Vango VA-05</t>
  </si>
  <si>
    <t>RJA-HOLD-0025</t>
  </si>
  <si>
    <t>Holder Motor Stang HM - 12</t>
  </si>
  <si>
    <t>RJA-HOLD-0026</t>
  </si>
  <si>
    <t>Holder Motor Spion X-Grip HM-17</t>
  </si>
  <si>
    <t>RJA-HOLD-0027</t>
  </si>
  <si>
    <t>Holder Motor Spion HM -26</t>
  </si>
  <si>
    <t>RJA-HOLD-0028</t>
  </si>
  <si>
    <t>Holder Motor Spion Besi HM-20 Hitam</t>
  </si>
  <si>
    <t>RJA-HOLD-0029</t>
  </si>
  <si>
    <t>Holder Motor STANG Besi HM-22 Hitam</t>
  </si>
  <si>
    <t>RJA-HOLD-0030</t>
  </si>
  <si>
    <t>Holder Motor + USB HMT-01</t>
  </si>
  <si>
    <t>RJA-HOLD-0031</t>
  </si>
  <si>
    <t>Holder Mobil Universal Dashboard , Vango VA-03</t>
  </si>
  <si>
    <t>RJA-HOLD-0032</t>
  </si>
  <si>
    <t>Holder Mobil Spion HD-51</t>
  </si>
  <si>
    <t>RJA-HOLD-0033</t>
  </si>
  <si>
    <t>Holder Mobil SH - 3100 Dashboard</t>
  </si>
  <si>
    <t>RJA-HOLD-0034</t>
  </si>
  <si>
    <t>Holder Mobil HD-19 Dashboard (SKU RJA-HOLD-0270)</t>
  </si>
  <si>
    <t>RJA-HOLD-0035</t>
  </si>
  <si>
    <t>Holder Mobil HD-09</t>
  </si>
  <si>
    <t>RJA-HOLD-0036</t>
  </si>
  <si>
    <t>Holder Mobil HD-07</t>
  </si>
  <si>
    <t>RJA-HOLD-0037</t>
  </si>
  <si>
    <t>Holder Mobil HD - 36 (SKU RJA-HOLD-0273)</t>
  </si>
  <si>
    <t>RJA-HOLD-0038</t>
  </si>
  <si>
    <t>Holder Meja HD-25 (SKU RJA-HOLD-0274)</t>
  </si>
  <si>
    <t>RJA-HOLD-0039</t>
  </si>
  <si>
    <t>Holder Meja HD-25 (SKU RJA-HOLD-0275)</t>
  </si>
  <si>
    <t>RJA-HOLD-0040</t>
  </si>
  <si>
    <t>HOLDER CAR DAP D-CZ11</t>
  </si>
  <si>
    <t>RJA-HOLD-0041</t>
  </si>
  <si>
    <t>HOLDER SINCAN</t>
  </si>
  <si>
    <t>RJA-HOLD-0042</t>
  </si>
  <si>
    <t>HOLDER MOBIL HD002 BLACK</t>
  </si>
  <si>
    <t>RJA-HOLD-0043</t>
  </si>
  <si>
    <t>HOLDER MEJA HM003 BLACK</t>
  </si>
  <si>
    <t>RJA-HOLD-0044</t>
  </si>
  <si>
    <t>HOLDER MEJA HM003 WHITE</t>
  </si>
  <si>
    <t>RJA-HOLD-0045</t>
  </si>
  <si>
    <t>HOLDER MOBIL HD007 BLACK</t>
  </si>
  <si>
    <t>RJA-HOLD-0046</t>
  </si>
  <si>
    <t>HOLDER MOBIL HD013 BLACK</t>
  </si>
  <si>
    <t>RJA-HOLD-0047</t>
  </si>
  <si>
    <t>HOLDER MOBIL HD016</t>
  </si>
  <si>
    <t>RJA-HOLD-0048</t>
  </si>
  <si>
    <t>HOLDER MOBIL HD017</t>
  </si>
  <si>
    <t>RJA-HOLD-0049</t>
  </si>
  <si>
    <t>HOLDER MOBIL HB018</t>
  </si>
  <si>
    <t>RJA-HOLD-0050</t>
  </si>
  <si>
    <t>HOLDER MOTOR HS007 BLACK</t>
  </si>
  <si>
    <t>RJA-HOLD-0051</t>
  </si>
  <si>
    <t>HOLDER MOTOR HS010 BLACK</t>
  </si>
  <si>
    <t>RJA-HOLD-0052</t>
  </si>
  <si>
    <t>HOLDER HS0005 BLACK</t>
  </si>
  <si>
    <t>RJA-HOLD-0053</t>
  </si>
  <si>
    <t>Holder Karakter HD52</t>
  </si>
  <si>
    <t>Holder</t>
  </si>
  <si>
    <t>RJA-HOLD-0054</t>
  </si>
  <si>
    <t>Holder phone ventilasi ac X-21</t>
  </si>
  <si>
    <t>RJA-HOLD-0055</t>
  </si>
  <si>
    <t>HOLDER MEJA HD-28</t>
  </si>
  <si>
    <t>RJA-HOLD-0056</t>
  </si>
  <si>
    <t>RJA-HOLD-0057</t>
  </si>
  <si>
    <t>Holder Motor Karakter Spion HM-38</t>
  </si>
  <si>
    <t>RJA-HOLD-0058</t>
  </si>
  <si>
    <t>Holder Tablet Akrilik HD-69</t>
  </si>
  <si>
    <t>TOTAL MARGIN</t>
  </si>
  <si>
    <t>TOTAL TRANSAKSI</t>
  </si>
  <si>
    <t>RJA-HOLD-0059</t>
  </si>
  <si>
    <t>RJA-HOLD-0060</t>
  </si>
  <si>
    <t>Holder Mobil HD-15 + Pack</t>
  </si>
  <si>
    <t>RJA-HOLD-0061</t>
  </si>
  <si>
    <t>HOLDER MOBIL SUNVISOR</t>
  </si>
  <si>
    <t>RJA-HOLD-0062</t>
  </si>
  <si>
    <t>HOLDER MOBIL HD13</t>
  </si>
  <si>
    <t>RJA-HOLD-0063</t>
  </si>
  <si>
    <t>HOLDER HD60 ASTRONOT</t>
  </si>
  <si>
    <t>RJA-HOLD-0064</t>
  </si>
  <si>
    <t>HOLDER MOBIL AC VEHICULAR MOBILE PHONE HOLDER</t>
  </si>
  <si>
    <t>RJA-HOLD-0065</t>
  </si>
  <si>
    <t>Holder Mobil Gelas HD-41</t>
  </si>
  <si>
    <t>RJA-HOLD-0066</t>
  </si>
  <si>
    <t>Holder Mobil Spion HD-59</t>
  </si>
  <si>
    <t>RJA-HOLD-0067</t>
  </si>
  <si>
    <t>HOLDER MOBIL HL-3600</t>
  </si>
  <si>
    <t>RJA-HOLD-0068</t>
  </si>
  <si>
    <t>HOLDER MOBIL HD61</t>
  </si>
  <si>
    <t>RJA-HOLD-0069</t>
  </si>
  <si>
    <t>HOLDER MEJA HD26</t>
  </si>
  <si>
    <t>RJA-HOTM-0001</t>
  </si>
  <si>
    <t>HOT MELT GLUE GUN</t>
  </si>
  <si>
    <t>RJA-HT25-0001</t>
  </si>
  <si>
    <t>HT255S Gray nUSB HUB dan Type Hub</t>
  </si>
  <si>
    <t>HT</t>
  </si>
  <si>
    <t>RJA-HUBD-0001</t>
  </si>
  <si>
    <t>HUB DAP D-H06</t>
  </si>
  <si>
    <t>RJA-HUMI-0001</t>
  </si>
  <si>
    <t>HUMIDIFER</t>
  </si>
  <si>
    <t>RJA-INFI-0001</t>
  </si>
  <si>
    <t>INFINITY GT1S SUPER COMFORT</t>
  </si>
  <si>
    <t>RJA-IPAD-0001</t>
  </si>
  <si>
    <t>IPAD YUNTENG</t>
  </si>
  <si>
    <t>RJA-JACK-0001</t>
  </si>
  <si>
    <t>JACK AUX BESAR</t>
  </si>
  <si>
    <t>RJA-JACK-0002</t>
  </si>
  <si>
    <t>JACK AUX (SKU RJA-JACK-0048)</t>
  </si>
  <si>
    <t>RJA-JACK-0003</t>
  </si>
  <si>
    <t>JACK AUX (SKU RJA-JACK-0049)</t>
  </si>
  <si>
    <t>RJA-JACK-0004</t>
  </si>
  <si>
    <t>JACK AUX (SKU RJA-JACK-0050)</t>
  </si>
  <si>
    <t>RJA-JACK-0005</t>
  </si>
  <si>
    <t>JACK AUX (SKU RJA-JACK-0051)</t>
  </si>
  <si>
    <t>RJA-JASH-0001</t>
  </si>
  <si>
    <t>JAS HUJAN PLASTIK</t>
  </si>
  <si>
    <t>RJA-KABE-0001</t>
  </si>
  <si>
    <t>KABEL KOMPUTER RCA TO RCA</t>
  </si>
  <si>
    <t>RJA-KABE-0002</t>
  </si>
  <si>
    <t>AUX CABLE LENYES LIGHTNING TO 3.5MM</t>
  </si>
  <si>
    <t>RJA-KABE-0003</t>
  </si>
  <si>
    <t>Kabel Aux Iphone TO Female Jack Aux 3.5mm AK - 05</t>
  </si>
  <si>
    <t>RJA-KABE-0004</t>
  </si>
  <si>
    <t>Kabel Aux AV-001 2in1 1,5M</t>
  </si>
  <si>
    <t>RJA-KABE-0005</t>
  </si>
  <si>
    <t>Kabel Aux 3in3 1.5M AV - 005</t>
  </si>
  <si>
    <t>RJA-KABE-0006</t>
  </si>
  <si>
    <t>KABEL HDMI TO HDMI 3 M</t>
  </si>
  <si>
    <t>RJA-KABE-0007</t>
  </si>
  <si>
    <t>KABEL HDMI TO HDMI 1,5 M POLOS</t>
  </si>
  <si>
    <t>RJA-KABE-0008</t>
  </si>
  <si>
    <t>KABEL HDMI TO HDMI 1,5 M</t>
  </si>
  <si>
    <t>Multi</t>
  </si>
  <si>
    <t>Lain-lain</t>
  </si>
  <si>
    <t>Margin Penjualan</t>
  </si>
  <si>
    <t>RJA-KABE-0009</t>
  </si>
  <si>
    <t>Kabel Hdmi To Hdmi 1.5 Meter</t>
  </si>
  <si>
    <t>RJA-KABE-0010</t>
  </si>
  <si>
    <t>KABEL POWER DAP D-H03</t>
  </si>
  <si>
    <t>KABEL</t>
  </si>
  <si>
    <t>RJA-KABE-0011</t>
  </si>
  <si>
    <t>KABEL DATA VIVAN VECL100</t>
  </si>
  <si>
    <t>RJA-KABE-0012</t>
  </si>
  <si>
    <t>KABEL DATA OLIKE D309BM MICRO</t>
  </si>
  <si>
    <t>RJA-KABE-0013</t>
  </si>
  <si>
    <t>KABEL DATA OLIKE D309BC TYPE C</t>
  </si>
  <si>
    <t>RJA-KABE-0014</t>
  </si>
  <si>
    <t>KABEL DATA ROBOT RGSCL120 30 W FAST CHARGING</t>
  </si>
  <si>
    <t>RJA-KABE-0015</t>
  </si>
  <si>
    <t>Kabel Data Ori 100% Iphone USB-C to Lightning 25W</t>
  </si>
  <si>
    <t>RJA-KABE-0016</t>
  </si>
  <si>
    <t>KABEL DATA WELLCOMM TURBO 65W 1.5M TYPE-C</t>
  </si>
  <si>
    <t>Timestamp</t>
  </si>
  <si>
    <t>Pertanyaan Tanpa Judul</t>
  </si>
  <si>
    <t>Daftar Barang/Layanan</t>
  </si>
  <si>
    <t>Kategori Dinamis</t>
  </si>
  <si>
    <t>Jenis Dinamis</t>
  </si>
  <si>
    <t>Nama Barang Dinamis</t>
  </si>
  <si>
    <t>Merk Dinamis</t>
  </si>
  <si>
    <t>RJA-KABE-0017</t>
  </si>
  <si>
    <t>KABEL DATA WELLCOMM ALLOY E 3A FOR IPHONE</t>
  </si>
  <si>
    <t>RJA-KABE-0018</t>
  </si>
  <si>
    <t>KABEL DATA WELCOME NYLON 1 TYPE C 3A MIX</t>
  </si>
  <si>
    <t>AIBIMY</t>
  </si>
  <si>
    <t>AXIS</t>
  </si>
  <si>
    <t>INDOSAT</t>
  </si>
  <si>
    <t>INFINIX</t>
  </si>
  <si>
    <t>Iphone</t>
  </si>
  <si>
    <t>JASPAN</t>
  </si>
  <si>
    <t>METIKO</t>
  </si>
  <si>
    <t>OPP</t>
  </si>
  <si>
    <t>ORAIMO</t>
  </si>
  <si>
    <t>Ori</t>
  </si>
  <si>
    <t>OWS</t>
  </si>
  <si>
    <t>PERDANA AXIS</t>
  </si>
  <si>
    <t>PERDANA ISAT</t>
  </si>
  <si>
    <t>PERDANA TSEL</t>
  </si>
  <si>
    <t>POCO</t>
  </si>
  <si>
    <t>REALME</t>
  </si>
  <si>
    <t>REDMI</t>
  </si>
  <si>
    <t>REDSKULL</t>
  </si>
  <si>
    <t>Redskull</t>
  </si>
  <si>
    <t>Robot</t>
  </si>
  <si>
    <t>Samsung</t>
  </si>
  <si>
    <t>SANDISK</t>
  </si>
  <si>
    <t>SMART</t>
  </si>
  <si>
    <t>SOONBOX</t>
  </si>
  <si>
    <t>TELKOMSEL</t>
  </si>
  <si>
    <t>THREE</t>
  </si>
  <si>
    <t>UCOM</t>
  </si>
  <si>
    <t>RJA-KABE-0019</t>
  </si>
  <si>
    <t>ULTRA</t>
  </si>
  <si>
    <t>VBOX</t>
  </si>
  <si>
    <t>VIV0</t>
  </si>
  <si>
    <t>KABEL DATA LENYES LC201 2.4A 100CM MIKRO</t>
  </si>
  <si>
    <t>WINSI</t>
  </si>
  <si>
    <t>WSTER</t>
  </si>
  <si>
    <t>XIAOMI</t>
  </si>
  <si>
    <t>XL</t>
  </si>
  <si>
    <t>RJA-KABE-0020</t>
  </si>
  <si>
    <t>KABEL DATA WELLCOMM NYLON 3A FOR IPHONE</t>
  </si>
  <si>
    <t>RJA-KABE-0021</t>
  </si>
  <si>
    <t>KABEL DATA WELCOME NYLON A MICRO 3A MIX</t>
  </si>
  <si>
    <t>RJA-KABE-0022</t>
  </si>
  <si>
    <t>KABEL DATA WELCOME NYLON A TYPE C 3A MIX</t>
  </si>
  <si>
    <t>RJA-KABE-0023</t>
  </si>
  <si>
    <t>KABEL DATA WELCOME NYLON B TYPE C 3A MIX</t>
  </si>
  <si>
    <t>RJA-KABE-0024</t>
  </si>
  <si>
    <t>KABEL DATA DAP DG100 (Type-c ) 1000MM 65W</t>
  </si>
  <si>
    <t>RJA-KABE-0025</t>
  </si>
  <si>
    <t>KABEL DATA DG200(Type-c) 2 M 65W</t>
  </si>
  <si>
    <t>RJA-KABE-0026</t>
  </si>
  <si>
    <t>KABEL DATA DAP DCC100 (TYPE-C TO TYPE-C)</t>
  </si>
  <si>
    <t>RJA-KABE-0027</t>
  </si>
  <si>
    <t>KABEL DATA DAP DFM100 SUPER CABLE (MICRO USB)</t>
  </si>
  <si>
    <t>GRAND TOTAL</t>
  </si>
  <si>
    <t>RJA-KABE-0028</t>
  </si>
  <si>
    <t>KABEL DATA DAP DFT100 SUPER CABLE (TYPE-C)</t>
  </si>
  <si>
    <t>RJA-KABE-0029</t>
  </si>
  <si>
    <t>KABEL DATA DAP DCT100 (TYPE-C) 1.1M</t>
  </si>
  <si>
    <t>RJA-KABE-0030</t>
  </si>
  <si>
    <t>KABEL DATA LANEX LS12M 3A 100CM MIKRO</t>
  </si>
  <si>
    <t>RJA-KABE-0031</t>
  </si>
  <si>
    <t>KABEL DATA DAP D-DD110 TOPLES 65W</t>
  </si>
  <si>
    <t>RJA-KABE-0032</t>
  </si>
  <si>
    <t>Kabel Data Toples 8A Support Fast Charging type c</t>
  </si>
  <si>
    <t>RJA-KABE-0033</t>
  </si>
  <si>
    <t>Kabel data Toples 8A Support Fast Charging micro</t>
  </si>
  <si>
    <t>RJA-KABE-0034</t>
  </si>
  <si>
    <t>KABEL DATA TYPE C 5A</t>
  </si>
  <si>
    <t>RJA-KABE-0035</t>
  </si>
  <si>
    <t>KABEL DATA TYPE C USB 5A</t>
  </si>
  <si>
    <t>RJA-KABE-0036</t>
  </si>
  <si>
    <t>KABEL DATA 4 IN 1 K-100</t>
  </si>
  <si>
    <t>RJA-KABE-0037</t>
  </si>
  <si>
    <t>KABEL DATA K2 DENIM KABEL</t>
  </si>
  <si>
    <t>RJA-KABE-0038</t>
  </si>
  <si>
    <t>KABEL DATA SILICONE KB08</t>
  </si>
  <si>
    <t>RJA-KABE-0039</t>
  </si>
  <si>
    <t>KABEL DATA 120W KB-09</t>
  </si>
  <si>
    <t>RJA-KABE-0040</t>
  </si>
  <si>
    <t>Kabel Data Silicon KB - 08 120W TYPE C</t>
  </si>
  <si>
    <t>RJA-KABE-0041</t>
  </si>
  <si>
    <t>Kabel Data Silicon KB - 08 120W MICRO</t>
  </si>
  <si>
    <t>RJA-KABE-0042</t>
  </si>
  <si>
    <t>Kabel Data Ori 100% Iphone 7/12 Pro Max Dus</t>
  </si>
  <si>
    <t>RJA-KABE-0043</t>
  </si>
  <si>
    <t>Kabel Data Ori 100% Iphone 7</t>
  </si>
  <si>
    <t>RJA-KABE-0044</t>
  </si>
  <si>
    <t>KABEL DATA OLIKE D306C MIX COLOR</t>
  </si>
  <si>
    <t>RJA-KABE-0045</t>
  </si>
  <si>
    <t>KABEL DATA OLIKE D06M</t>
  </si>
  <si>
    <t>RJA-KABE-0046</t>
  </si>
  <si>
    <t>KABEL DATA DAP D-J05T 6.0A</t>
  </si>
  <si>
    <t>RJA-KABE-0047</t>
  </si>
  <si>
    <t>KABEL DATA DAP DNT200(TYPE-C) 2M</t>
  </si>
  <si>
    <t>RJA-KABE-0048</t>
  </si>
  <si>
    <t>KABEL DATA DAP DNM100(MICRO)</t>
  </si>
  <si>
    <t>RJA-KABE-0049</t>
  </si>
  <si>
    <t>Kabel data DAP DNT100 ( TYPE-C )</t>
  </si>
  <si>
    <t>RJA-KABE-0050</t>
  </si>
  <si>
    <t>KABEL DATA SILICONE C-C 1.2M</t>
  </si>
  <si>
    <t>RJA-KABE-0051</t>
  </si>
  <si>
    <t>Kabel data original iphone 12</t>
  </si>
  <si>
    <t>Kabel data</t>
  </si>
  <si>
    <t>RJA-KABE-0052</t>
  </si>
  <si>
    <t>KABEL DATA ALIENS 5A C TO C 60W</t>
  </si>
  <si>
    <t>RJA-KABE-0053</t>
  </si>
  <si>
    <t>KABEL DATA LANEX LS21M 3A</t>
  </si>
  <si>
    <t>RJA-KABE-0054</t>
  </si>
  <si>
    <t>KABEL AUX LENYES AX-106 IPHONE TO 3,5MM</t>
  </si>
  <si>
    <t>RJA-KACA-0001</t>
  </si>
  <si>
    <t>KACAMATA</t>
  </si>
  <si>
    <t>RJA-KANT-0001</t>
  </si>
  <si>
    <t>KANTONG HP WATER PROOF BENING</t>
  </si>
  <si>
    <t>RJA-KANT-0002</t>
  </si>
  <si>
    <t>KANTONG HP WATER PROOF BENING/WARNA</t>
  </si>
  <si>
    <t>RJA-KDOR-0001</t>
  </si>
  <si>
    <t>KD Ori 100% iphone17 pro max , 60w Colokan Type-C To C</t>
  </si>
  <si>
    <t>RJA-KEBE-0001</t>
  </si>
  <si>
    <t>KEBEL DATA LENYES LC906I 2.1A 100CM LIGHTNING</t>
  </si>
  <si>
    <t>RJA-KEPA-0001</t>
  </si>
  <si>
    <t>KEPALA CHARGER OLIKE C109 2.4 POWER ADAPTER (SKU RJA-KEPA-0804)</t>
  </si>
  <si>
    <t>TRAVEL CHARGER</t>
  </si>
  <si>
    <t>RJA-KEPA-0002</t>
  </si>
  <si>
    <t>KEPALA CHARGER OLIKE C109 2.4 POWER ADAPTER (SKU RJA-KEPA-0855)</t>
  </si>
  <si>
    <t>RJA-KONV-0001</t>
  </si>
  <si>
    <t>KONVERTER TYPE C TO AUX JACK 3.5</t>
  </si>
  <si>
    <t>RJA-LAMP-0001</t>
  </si>
  <si>
    <t>LAMPU LED USB FLEXIBEL</t>
  </si>
  <si>
    <t>RJA-LAMP-0002</t>
  </si>
  <si>
    <t>Lampu Senter Kepala Led COB</t>
  </si>
  <si>
    <t>RJA-LAMP-0003</t>
  </si>
  <si>
    <t>LAMPU BELAJAR V7188</t>
  </si>
  <si>
    <t>RJA-LAMP-0004</t>
  </si>
  <si>
    <t>LAMPU EMERGENCY NY-885B</t>
  </si>
  <si>
    <t>RJA-LAMP-0005</t>
  </si>
  <si>
    <t>LAMPU USB ASTRONOT ASTRO-LIGHT</t>
  </si>
  <si>
    <t>RJA-LIGH-0001</t>
  </si>
  <si>
    <t>LIGHTNING SPLINTER</t>
  </si>
  <si>
    <t>SPLINTER</t>
  </si>
  <si>
    <t>RJA-MASK-0001</t>
  </si>
  <si>
    <t>MASKER KF95</t>
  </si>
  <si>
    <t>RJA-METI-0001</t>
  </si>
  <si>
    <t>METIKO CONVERT USB 3IN1 TYPE C TO HDMI</t>
  </si>
  <si>
    <t>RJA-METI-0002</t>
  </si>
  <si>
    <t>METIKO CONVERTER TYPE C6 IN1 TO HDMI 3.0</t>
  </si>
  <si>
    <t>RJA-MICR-0001</t>
  </si>
  <si>
    <t>Microphone WS-868L</t>
  </si>
  <si>
    <t>WIRELES MIX</t>
  </si>
  <si>
    <t>RJA-MINI-0001</t>
  </si>
  <si>
    <t>MINI MOP</t>
  </si>
  <si>
    <t>RJA-MIXN-0001</t>
  </si>
  <si>
    <t>MIX NOJOO MIC-64M 3 M</t>
  </si>
  <si>
    <t>MIX</t>
  </si>
  <si>
    <t>RJA-MMCS-0001</t>
  </si>
  <si>
    <t>MMC SAMSUNG 64 GB</t>
  </si>
  <si>
    <t>RJA-MMCS-0002</t>
  </si>
  <si>
    <t>MMC SANDISK 32 GB</t>
  </si>
  <si>
    <t>RJA-MOUS-0001</t>
  </si>
  <si>
    <t>MOUSE M200 WIRELESS BLACK OLIKE</t>
  </si>
  <si>
    <t>RJA-MOUS-0002</t>
  </si>
  <si>
    <t>MOUSE M7 WIRELESS RECHARGEABLE BLACK OLIKE</t>
  </si>
  <si>
    <t>MULTI FUNCTION SCREWDRIVERSET CR-V</t>
  </si>
  <si>
    <t>RJA-NAME-0001</t>
  </si>
  <si>
    <t>NAME TAG +TALI</t>
  </si>
  <si>
    <t>RJA-OBEN-0001</t>
  </si>
  <si>
    <t>OBENG HP 32 IN 1</t>
  </si>
  <si>
    <t>RJA-OLIK-0001</t>
  </si>
  <si>
    <t>OLIKE LIGHTING PORT WIRED EARPHONE E20L BLACK</t>
  </si>
  <si>
    <t>RJA-OLIK-0002</t>
  </si>
  <si>
    <t>OLIKE LIGHTING PORT WIRED EARPHONE E12 WHITE</t>
  </si>
  <si>
    <t>RJA-OTG2-0001</t>
  </si>
  <si>
    <t>OTG 2IN 1 MICRO DAN TYPE TO USB</t>
  </si>
  <si>
    <t>RJA-OTGM-0001</t>
  </si>
  <si>
    <t>OTG MICRO TO USB</t>
  </si>
  <si>
    <t>RJA-OTGM-0002</t>
  </si>
  <si>
    <t>OTG MICRO MOBILE PHONE</t>
  </si>
  <si>
    <t>RJA-OTGT-0001</t>
  </si>
  <si>
    <t>OTG TYPE C VBOX YHL-19</t>
  </si>
  <si>
    <t>RJA-PARF-0001</t>
  </si>
  <si>
    <t>PARFUME BESAR</t>
  </si>
  <si>
    <t>RJA-PARF-0002</t>
  </si>
  <si>
    <t>PARFUME KECIL 10K</t>
  </si>
  <si>
    <t>RJA-PARF-0003</t>
  </si>
  <si>
    <t>PARFUME MEZUKA</t>
  </si>
  <si>
    <t>RJA-PARR-0001</t>
  </si>
  <si>
    <t>PARRFUME BENING</t>
  </si>
  <si>
    <t>RJA-PENG-0001</t>
  </si>
  <si>
    <t>PENGKILAP KUKU</t>
  </si>
  <si>
    <t>RJA-PENG-0002</t>
  </si>
  <si>
    <t>PENGARUK BESI</t>
  </si>
  <si>
    <t>RJA-POWE-0001</t>
  </si>
  <si>
    <t>Power Bank Solar 5in1 10.000MAH</t>
  </si>
  <si>
    <t>POWERBANK</t>
  </si>
  <si>
    <t>RJA-POWE-0002</t>
  </si>
  <si>
    <t>POWER BANK OLIKE P102 10000 MAH BLACK</t>
  </si>
  <si>
    <t>RJA-PROM-0001</t>
  </si>
  <si>
    <t>PROMO PAKET 10K</t>
  </si>
  <si>
    <t>RJA-PT06-0001</t>
  </si>
  <si>
    <t>PT06 OLIKE SELFIE STICK (180cm) TRIPOD BLACK</t>
  </si>
  <si>
    <t>RJA-REDS-0001</t>
  </si>
  <si>
    <t>REDSKULL Phone Holder RSPH-02 Rotatable&amp;Foldable&amp;Flexible Black (SKU RJA-REDS-0233)</t>
  </si>
  <si>
    <t>RJA-REDS-0002</t>
  </si>
  <si>
    <t>REDSKULL Phone Holder RSPH-02 Rotatable&amp;Foldable&amp;Flexible Black (SKU RJA-REDS-0279)</t>
  </si>
  <si>
    <t>RJA-REDS-0003</t>
  </si>
  <si>
    <t>Redskull Data Cable RSBC100 colorful (SKU RJA-REDS-0320)</t>
  </si>
  <si>
    <t>RJA-REDS-0004</t>
  </si>
  <si>
    <t>Redskull Data Cable RSBM100 colorful (SKU RJA-REDS-0514)</t>
  </si>
  <si>
    <t>RJA-REDS-0005</t>
  </si>
  <si>
    <t>Redskull Data Cable RSBM100 colorful (SKU RJA-REDS-0515)</t>
  </si>
  <si>
    <t>RJA-REDS-0006</t>
  </si>
  <si>
    <t>Redskull Data Cable RSBC100 colorful (SKU RJA-REDS-0516)</t>
  </si>
  <si>
    <t>RJA-REDS-0007</t>
  </si>
  <si>
    <t>Redskull Charger RSC02 White (SKU RJA-REDS-0758)</t>
  </si>
  <si>
    <t>RJA-REDS-0008</t>
  </si>
  <si>
    <t>Redskull Charger RSC02 White (SKU RJA-REDS-0856)</t>
  </si>
  <si>
    <t>RJA-REMO-0001</t>
  </si>
  <si>
    <t>REMOTE BLUETOOTH</t>
  </si>
  <si>
    <t>RJA-RING-0002</t>
  </si>
  <si>
    <t>RINGLIGHT 45 CM</t>
  </si>
  <si>
    <t>RING LIGHT</t>
  </si>
  <si>
    <t>RJA-ROBO-0001</t>
  </si>
  <si>
    <t>ROBOT Wireless Connector RS20 WIRELESS Microphone Black</t>
  </si>
  <si>
    <t>RJA-ROBO-0002</t>
  </si>
  <si>
    <t>ROBOT Smart Phone Charger RT-CC6 Black</t>
  </si>
  <si>
    <t>RJA-ROBO-0003</t>
  </si>
  <si>
    <t>ROBOT Car Charger RT-C09 White</t>
  </si>
  <si>
    <t>RJA-ROBO-0004</t>
  </si>
  <si>
    <t>ROBOT Car Charger RT-C08 White</t>
  </si>
  <si>
    <t>RJA-ROBO-0005</t>
  </si>
  <si>
    <t>ROBOT Car Charger RT-CC7 Silver+Grey</t>
  </si>
  <si>
    <t>RJA-ROBO-0006</t>
  </si>
  <si>
    <t>ROBOT Car Charger RT-NP02 Black</t>
  </si>
  <si>
    <t>RJA-ROBO-0007</t>
  </si>
  <si>
    <t>ROBOT CR102S Card Reader USB3.0 Black</t>
  </si>
  <si>
    <t>RJA-ROBO-0008</t>
  </si>
  <si>
    <t>ROBOT Card Reader CR202S Grey</t>
  </si>
  <si>
    <t>RJA-ROBO-0009</t>
  </si>
  <si>
    <t>ROBOT Laptop Cooling Pad RCP10 Black (SKU RJA-ROBO-0122)</t>
  </si>
  <si>
    <t>COOLING PAD</t>
  </si>
  <si>
    <t>RJA-ROBO-0010</t>
  </si>
  <si>
    <t>ROBOT Laptop Cooling Pad RCP10 Black (SKU RJA-ROBO-0123)</t>
  </si>
  <si>
    <t>RJA-ROBO-0011</t>
  </si>
  <si>
    <t>ROBOT Highspeed Handheld Mini Fan RT-HF01 White With 100 Leve&amp;LED Display (SKU RJA-ROBO-0125)</t>
  </si>
  <si>
    <t>RJA-ROBO-0012</t>
  </si>
  <si>
    <t>ROBOT RF304 4GB Flashdisk All Metal High-Speed Portable &amp; Lightweight USB Silver</t>
  </si>
  <si>
    <t>RJA-ROBO-0013</t>
  </si>
  <si>
    <t>Robot RF132 new Rotatable U-disks 32GB USB2.0 with Package Black</t>
  </si>
  <si>
    <t>RJA-ROBO-0014</t>
  </si>
  <si>
    <t>Robot RF108 Rotatable U-disks 8GB with Package Black</t>
  </si>
  <si>
    <t>RJA-ROBO-0015</t>
  </si>
  <si>
    <t>ROBOT Flashdisk RF116 new Black</t>
  </si>
  <si>
    <t>RJA-ROBO-0016</t>
  </si>
  <si>
    <t>ROBOT U-Disks RMF304 Gray</t>
  </si>
  <si>
    <t>RJA-ROBO-0017</t>
  </si>
  <si>
    <t>ROBOT FLASH DRIVE RF508 8GB</t>
  </si>
  <si>
    <t>RJA-ROBO-0018</t>
  </si>
  <si>
    <t>ROBOT U-Disks RMF332 Gray</t>
  </si>
  <si>
    <t>RJA-ROBO-0019</t>
  </si>
  <si>
    <t>ROBOT Wired Headset RH-P30 Black</t>
  </si>
  <si>
    <t>RJA-ROBO-0020</t>
  </si>
  <si>
    <t>ROBOT Wired Headset REC 10EBlack</t>
  </si>
  <si>
    <t>RJA-ROBO-0021</t>
  </si>
  <si>
    <t>ROBOT Wired Headset RE702 Black</t>
  </si>
  <si>
    <t>RJA-ROBO-0022</t>
  </si>
  <si>
    <t>ROBOT Earphones RE 20E</t>
  </si>
  <si>
    <t>RJA-ROBO-0023</t>
  </si>
  <si>
    <t>ROBOT Wired Headset RE50 Black</t>
  </si>
  <si>
    <t>RJA-ROBO-0024</t>
  </si>
  <si>
    <t>ROBOT RE20 Oblique In-Ear Deep Bass Ultra Light Wired Earphone Black</t>
  </si>
  <si>
    <t>RJA-ROBO-0025</t>
  </si>
  <si>
    <t>ROBOT Wired Headset RH-P20 Black</t>
  </si>
  <si>
    <t>RJA-ROBO-0026</t>
  </si>
  <si>
    <t>ROBOT REC240S IN Ear Rich Bass Metal Fully compatible Type-C wire Headset</t>
  </si>
  <si>
    <t>RJA-ROBO-0027</t>
  </si>
  <si>
    <t>ROBOT HDMI Cable RFH015 High-Definition BLACK</t>
  </si>
  <si>
    <t>RJA-ROBO-0028</t>
  </si>
  <si>
    <t>ROBOT Headset Bluetooth Spirit H20 White</t>
  </si>
  <si>
    <t>RJA-ROBO-0029</t>
  </si>
  <si>
    <t>ROBOT Ultra-thin And Foldable Phone Holder RT-US12 Black</t>
  </si>
  <si>
    <t>RJA-ROBO-0030</t>
  </si>
  <si>
    <t>ROBOT Phone&amp;Tablet Holder RT-LS07 Black</t>
  </si>
  <si>
    <t>RJA-ROBO-0031</t>
  </si>
  <si>
    <t>ROBOT Height And Angle Adjustable Phone Holder For Live Streaming RT-US13 Black</t>
  </si>
  <si>
    <t>RJA-ROBO-0032</t>
  </si>
  <si>
    <t>ROBOT RT-MH03 Motorcycle/Bicycle Handle Universal Holder Black+Orange</t>
  </si>
  <si>
    <t>RJA-ROBO-0033</t>
  </si>
  <si>
    <t>ROBOT RT-CH14 Dashboard Suction Cup Automatic Lock Car Holder Black</t>
  </si>
  <si>
    <t>RJA-ROBO-0034</t>
  </si>
  <si>
    <t>ROBOT RT-CH12 Suction Cup Automatic Lock 360 ° Car Holder Black</t>
  </si>
  <si>
    <t>RJA-ROBO-0035</t>
  </si>
  <si>
    <t>ROBOT Motorcycle Phone Holder RT-MH05 Black With Removable Cover (Rainproof and Anti-reflective)</t>
  </si>
  <si>
    <t>RJA-ROBO-0036</t>
  </si>
  <si>
    <t>ROBOT Flexible Rearview Mirror Car Holder Black RVH01 With 360° Rotation &amp; Adjustable Height And Length</t>
  </si>
  <si>
    <t>RJA-ROBO-0037</t>
  </si>
  <si>
    <t>ROBOT Flat&amp;Bendable Car Holder RT-CH14S Black</t>
  </si>
  <si>
    <t>RJA-ROBO-0038</t>
  </si>
  <si>
    <t>ROBOT Center Console Car Holder RT-CH20S Black</t>
  </si>
  <si>
    <t>RJA-ROBO-0039</t>
  </si>
  <si>
    <t>ROBOT Center Console Car Holder RT-CH18S Black With Base 360° Rotation</t>
  </si>
  <si>
    <t>RJA-ROBO-0040</t>
  </si>
  <si>
    <t>ROBOT Center Console Car Holder RT-CH03S Black With Extra Large Section Cup(From 65mm to 80mm)</t>
  </si>
  <si>
    <t>RJA-ROBO-0041</t>
  </si>
  <si>
    <t>ROBOT Car Holder RT-CH27 Black</t>
  </si>
  <si>
    <t>RJA-ROBO-0042</t>
  </si>
  <si>
    <t>ROBOT Car Holder RT-CH21 Black</t>
  </si>
  <si>
    <t>RJA-ROBO-0043</t>
  </si>
  <si>
    <t>ROBOT Car Holder RT-CH19 Black</t>
  </si>
  <si>
    <t>RJA-ROBO-0044</t>
  </si>
  <si>
    <t>ROBOT Car Holder RT-CH01S Black</t>
  </si>
  <si>
    <t>RJA-ROBO-0045</t>
  </si>
  <si>
    <t>ROBOT Motorcycle Car Holder RT-MH06 Black With Knob Adjustment Supports Use With Mobile Phone Case (SKU RJA-ROBO-0228)</t>
  </si>
  <si>
    <t>RJA-ROBO-0046</t>
  </si>
  <si>
    <t>ROBOT Phone Holder RT-LH01 Black</t>
  </si>
  <si>
    <t>RJA-ROBO-0047</t>
  </si>
  <si>
    <t>ROBOT Motorcycle Car Holder RT-MH06 Black With Knob Adjustment Supports Use With Mobile Phone Case (SKU RJA-ROBO-0230)</t>
  </si>
  <si>
    <t>RJA-ROBO-0048</t>
  </si>
  <si>
    <t>Robot Car Stents RT-CH07 Black+Grey</t>
  </si>
  <si>
    <t>RJA-ROBO-0049</t>
  </si>
  <si>
    <t>ROBOT Ultra-thin And Foldable Phone Holder RT-US12 Dark Grey</t>
  </si>
  <si>
    <t>RJA-ROBO-0050</t>
  </si>
  <si>
    <t>ROBOT Hub&amp;Convertor HEA200C Gray (SKU RJA-ROBO-0284)</t>
  </si>
  <si>
    <t>RJA-ROBO-0051</t>
  </si>
  <si>
    <t>robot H340C HUB (SKU RJA-ROBO-0285)</t>
  </si>
  <si>
    <t>RJA-ROBO-0052</t>
  </si>
  <si>
    <t>ROBOT H160 4-PORT USB HUB(USB3.0+USB2.0）Black (SKU RJA-ROBO-0286)</t>
  </si>
  <si>
    <t>RJA-ROBO-0053</t>
  </si>
  <si>
    <t>Robot H140-80 HUB Black (SKU RJA-ROBO-0287)</t>
  </si>
  <si>
    <t>RJA-ROBO-0054</t>
  </si>
  <si>
    <t>ROBOT Hub&amp;Convertor HEA200C Gray (SKU RJA-ROBO-0288)</t>
  </si>
  <si>
    <t>RJA-ROBO-0055</t>
  </si>
  <si>
    <t>ROBOT HT200 Type-C TO HDMI Adapter 4K</t>
  </si>
  <si>
    <t>RJA-ROBO-0056</t>
  </si>
  <si>
    <t>ROBOT H340C HUB (SKU RJA-ROBO-0290)</t>
  </si>
  <si>
    <t>RJA-ROBO-0057</t>
  </si>
  <si>
    <t>ROBOT H160 4-PORT USB HUB(USB3.0+USB2.0）Black (SKU RJA-ROBO-0291)</t>
  </si>
  <si>
    <t>RJA-ROBO-0058</t>
  </si>
  <si>
    <t>Robot H140-80 HUB Black (SKU RJA-ROBO-0292)</t>
  </si>
  <si>
    <t>RJA-ROBO-0059</t>
  </si>
  <si>
    <t>ROBOT RSPD120 FAST CHARGING 5A 100W</t>
  </si>
  <si>
    <t>RJA-ROBO-0060</t>
  </si>
  <si>
    <t>ROBOT RDC100S 2.4A Type-C Quick Charging 100cm Data Cable White (SKU RJA-ROBO-0321)</t>
  </si>
  <si>
    <t>RJA-ROBO-0061</t>
  </si>
  <si>
    <t>ROBOT Data Cable RZC100 Black (SKU RJA-ROBO-0322)</t>
  </si>
  <si>
    <t>RJA-ROBO-0062</t>
  </si>
  <si>
    <t>ROBOT Data Cable RUL01 White (SKU RJA-ROBO-0323)</t>
  </si>
  <si>
    <t>RJA-ROBO-0063</t>
  </si>
  <si>
    <t>ROBOT Data Cable RSQC100 White (SKU RJA-ROBO-0325)</t>
  </si>
  <si>
    <t>RJA-ROBO-0064</t>
  </si>
  <si>
    <t>ROBOT Data Cable RSQC100 Black (SKU RJA-ROBO-0326)</t>
  </si>
  <si>
    <t>RJA-ROBO-0065</t>
  </si>
  <si>
    <t>ROBOT Data Cable RSCC120 White (SKU RJA-ROBO-0327)</t>
  </si>
  <si>
    <t>RJA-ROBO-0066</t>
  </si>
  <si>
    <t>ROBOT Data Cable RQC100 White (SKU RJA-ROBO-0328)</t>
  </si>
  <si>
    <t>RJA-ROBO-0067</t>
  </si>
  <si>
    <t>ROBOT Data Cable RGM100S colorful (SKU RJA-ROBO-0329)</t>
  </si>
  <si>
    <t>RJA-ROBO-0068</t>
  </si>
  <si>
    <t>ROBOT Data Cable RGL100S colorful (SKU RJA-ROBO-0330)</t>
  </si>
  <si>
    <t>RJA-ROBO-0069</t>
  </si>
  <si>
    <t>ROBOT Data Cable RDY120 White (SKU RJA-ROBO-0331)</t>
  </si>
  <si>
    <t>RJA-ROBO-0070</t>
  </si>
  <si>
    <t>ROBOT Data Cable RCOC100 3A colorful (SKU RJA-ROBO-0332)</t>
  </si>
  <si>
    <t>RJA-ROBO-0071</t>
  </si>
  <si>
    <t>ROBOT Data Cable RPC100-Rabbit White (SKU RJA-ROBO-0333)</t>
  </si>
  <si>
    <t>RJA-ROBO-0072</t>
  </si>
  <si>
    <t>ROBOT Warna Lava Data Cable RNQC100 6A 67W SUPPORT FAST CHARGING (SKU RJA-ROBO-0334)</t>
  </si>
  <si>
    <t>RJA-ROBO-0073</t>
  </si>
  <si>
    <t>ROBOT Warna Lava Data Cable RNC200 3A Type-C 200CM</t>
  </si>
  <si>
    <t>RJA-ROBO-0074</t>
  </si>
  <si>
    <t>ROBOT Warna Lava Data Cable RNC100S 3A Type-C Gray 100CM (SKU RJA-ROBO-0336)</t>
  </si>
  <si>
    <t>RJA-ROBO-0075</t>
  </si>
  <si>
    <t>ROBOT RTF01 4IN1 RGB Colorful LED 65W Data Cable Black 100CM (SKU RJA-ROBO-0337)</t>
  </si>
  <si>
    <t>RJA-ROBO-0076</t>
  </si>
  <si>
    <t>ROBOT Foam Silicone Data Cable RFSCL100 3A 30W Type-C To Lightning Gray 100CM (SKU RJA-ROBO-0338)</t>
  </si>
  <si>
    <t>RJA-ROBO-0077</t>
  </si>
  <si>
    <t>ROBOT Data Cable RGXCC100 3A 65W Type-C TO Type-C White 100CM (SKU RJA-ROBO-0339)</t>
  </si>
  <si>
    <t>RJA-ROBO-0078</t>
  </si>
  <si>
    <t>ROBOT Warna Lava Data Cable RNPD100 5A 240W Type-C TO Type-C Gray 100CM (SKU RJA-ROBO-0348)</t>
  </si>
  <si>
    <t>RJA-ROBO-0079</t>
  </si>
  <si>
    <t>ROBOT Warna Lava Data Cable RNC200 3A Type-C Gray 200CM</t>
  </si>
  <si>
    <t>RJA-ROBO-0080</t>
  </si>
  <si>
    <t>ROBOT Data Cable RFL100 White (SKU RJA-ROBO-0351)</t>
  </si>
  <si>
    <t>RJA-ROBO-0081</t>
  </si>
  <si>
    <t>ROBOT Data Cable RCOM100 2.4A colorful (SKU RJA-ROBO-0352)</t>
  </si>
  <si>
    <t>RJA-ROBO-0082</t>
  </si>
  <si>
    <t>ROBOT Advanced Golden Series Data Cable R-LUXCL100 PD30W Type-C To Lightning Black 100CM (SKU RJA-ROBO-0353)</t>
  </si>
  <si>
    <t>RJA-ROBO-0083</t>
  </si>
  <si>
    <t>ROBOT Warna Lava Data Cable RNPD100 5A 240W Type-C TO Type-C Gray 100CM (SKU RJA-ROBO-0354)</t>
  </si>
  <si>
    <t>RJA-ROBO-0084</t>
  </si>
  <si>
    <t>ROBOT Warna Lava Data Cable RNCL200 30W Type-C TO Lightning Gray 200CM (SKU RJA-ROBO-0355)</t>
  </si>
  <si>
    <t>RJA-ROBO-0085</t>
  </si>
  <si>
    <t>ROBOT Warna Lava Data Cable RNCL100 30W Type-C TO Lightning Gray 100CM (SKU RJA-ROBO-0356)</t>
  </si>
  <si>
    <t>RJA-ROBO-0086</t>
  </si>
  <si>
    <t>ROBOT RVM100 4A Micro 7 Pin 100cm VOOC Flash ChargingData Cable with Velcro Strap White</t>
  </si>
  <si>
    <t>RJA-ROBO-0087</t>
  </si>
  <si>
    <t>ROBOT RSC100 3A 100cm Type-C Aluminium Colourful Braided Data Cable Blue (SKU RJA-ROBO-0361)</t>
  </si>
  <si>
    <t>RJA-ROBO-0088</t>
  </si>
  <si>
    <t>ROBOT RSC100 3A 100cm Type-C Aluminium Colourful Braided Data Cable Blue (SKU RJA-ROBO-0362)</t>
  </si>
  <si>
    <t>RJA-ROBO-0089</t>
  </si>
  <si>
    <t>ROBOT RGM100 Data Cable Colorful</t>
  </si>
  <si>
    <t>RJA-ROBO-0090</t>
  </si>
  <si>
    <t>ROBOT RGL100 Data Cable Colorful</t>
  </si>
  <si>
    <t>RJA-ROBO-0091</t>
  </si>
  <si>
    <t>ROBOT RGC100 Type-C Data Cable Colorful</t>
  </si>
  <si>
    <t>RJA-ROBO-0092</t>
  </si>
  <si>
    <t>ROBOT RDC100S 2.4A Type-C Quick Charging 100cm Data Cable White (SKU RJA-ROBO-0366)</t>
  </si>
  <si>
    <t>RJA-ROBO-0093</t>
  </si>
  <si>
    <t>ROBOT RBM100S Data Cable Colorful</t>
  </si>
  <si>
    <t>RJA-ROBO-0094</t>
  </si>
  <si>
    <t>ROBOT Data Cable RZL100 Black</t>
  </si>
  <si>
    <t>RJA-ROBO-0095</t>
  </si>
  <si>
    <t>ROBOT Data Cable RZCL100 Black</t>
  </si>
  <si>
    <t>RJA-ROBO-0096</t>
  </si>
  <si>
    <t>ROBOT Data Cable RZCC100 Black</t>
  </si>
  <si>
    <t>RJA-ROBO-0097</t>
  </si>
  <si>
    <t>ROBOT Data Cable RZC100 Black (SKU RJA-ROBO-0393)</t>
  </si>
  <si>
    <t>RJA-ROBO-0098</t>
  </si>
  <si>
    <t>ROBOT Data Cable RUL02 White</t>
  </si>
  <si>
    <t>RJA-ROBO-0099</t>
  </si>
  <si>
    <t>ROBOT Data Cable RUL01 White (SKU RJA-ROBO-0396)</t>
  </si>
  <si>
    <t>RJA-ROBO-0100</t>
  </si>
  <si>
    <t>ROBOT Data Cable RSQC100 White (SKU RJA-ROBO-0397)</t>
  </si>
  <si>
    <t>RJA-ROBO-0101</t>
  </si>
  <si>
    <t>ROBOT Data Cable RSQC100 Black (SKU RJA-ROBO-0398)</t>
  </si>
  <si>
    <t>RJA-ROBO-0102</t>
  </si>
  <si>
    <t>ROBOT Data Cable RSCC120 White (SKU RJA-ROBO-0405)</t>
  </si>
  <si>
    <t>RJA-ROBO-0103</t>
  </si>
  <si>
    <t>ROBOT Data Cable RQC100 White (SKU RJA-ROBO-0406)</t>
  </si>
  <si>
    <t>RJA-ROBO-0104</t>
  </si>
  <si>
    <t>ROBOT Data Cable RGM100S colorful (SKU RJA-ROBO-0407)</t>
  </si>
  <si>
    <t>RJA-ROBO-0105</t>
  </si>
  <si>
    <t>ROBOT Data Cable RGL100S colorful (SKU RJA-ROBO-0408)</t>
  </si>
  <si>
    <t>RJA-ROBO-0106</t>
  </si>
  <si>
    <t>ROBOT Data Cable RGC100S colorful</t>
  </si>
  <si>
    <t>RJA-ROBO-0107</t>
  </si>
  <si>
    <t>ROBOT Data Cable RFL100 White (SKU RJA-ROBO-0419)</t>
  </si>
  <si>
    <t>RJA-ROBO-0108</t>
  </si>
  <si>
    <t>ROBOT Data Cable RDY120 White (SKU RJA-ROBO-0420)</t>
  </si>
  <si>
    <t>RJA-ROBO-0109</t>
  </si>
  <si>
    <t>ROBOT Data Cable RCOM100 2.4A colorful (SKU RJA-ROBO-0421)</t>
  </si>
  <si>
    <t>RJA-ROBO-0110</t>
  </si>
  <si>
    <t>ROBOT Data Cable RCOC100 3A colorful (SKU RJA-ROBO-0422)</t>
  </si>
  <si>
    <t>RJA-ROBO-0111</t>
  </si>
  <si>
    <t>ROBOT Data Cable RCC60W Black</t>
  </si>
  <si>
    <t>RJA-ROBO-0112</t>
  </si>
  <si>
    <t>ROBOT Data Cable RCC240W White</t>
  </si>
  <si>
    <t>RJA-ROBO-0113</t>
  </si>
  <si>
    <t>ROBOT Data Cable RBM100S Special Edition colorful</t>
  </si>
  <si>
    <t>RJA-ROBO-0114</t>
  </si>
  <si>
    <t>ROBOT Data Cable RBM100 II 1pcs colorful</t>
  </si>
  <si>
    <t>RJA-ROBO-0115</t>
  </si>
  <si>
    <t>ROBOT Data Cable RBC100S colorful</t>
  </si>
  <si>
    <t>RJA-ROBO-0116</t>
  </si>
  <si>
    <t>ROBOT Data Cable RBC100 II Colorful</t>
  </si>
  <si>
    <t>RJA-ROBO-0117</t>
  </si>
  <si>
    <t>ROBOT Data Cable RPC100-Rabbit White (SKU RJA-ROBO-0433)</t>
  </si>
  <si>
    <t>RJA-ROBO-0118</t>
  </si>
  <si>
    <t>ROBOT Advanced Golden Series Data Cable R-LUXCL100 PD30W Type-C To Lightning Black 100CM (SKU RJA-ROBO-0434)</t>
  </si>
  <si>
    <t>RJA-ROBO-0119</t>
  </si>
  <si>
    <t>ROBOT 2in1 Dua Port Type-C Data Cable RYCC150 65W 3A Blue 150CM</t>
  </si>
  <si>
    <t>RJA-ROBO-0120</t>
  </si>
  <si>
    <t>ROBOT Warna Lava Data Cable RNQC100 6A 67W SUPPORT FAST CHARGING (SKU RJA-ROBO-0436)</t>
  </si>
  <si>
    <t>RJA-ROBO-0121</t>
  </si>
  <si>
    <t>ROBOT Warna Lava Data Cable RNCL200 30W Type-C TO Lightning Gray 200CM (SKU RJA-ROBO-0437)</t>
  </si>
  <si>
    <t>RJA-ROBO-0122</t>
  </si>
  <si>
    <t>ROBOT Warna Lava Data Cable RNCL100 30W Type-C TO Lightning Gray 100CM (SKU RJA-ROBO-0446)</t>
  </si>
  <si>
    <t>RJA-ROBO-0123</t>
  </si>
  <si>
    <t>ROBOT Warna Lava Data Cable RNC200 3A Type-C Blue 200CM</t>
  </si>
  <si>
    <t>RJA-ROBO-0124</t>
  </si>
  <si>
    <t>ROBOT Warna Lava Data Cable RNC100S 3A Type-C Gray 100CM (SKU RJA-ROBO-0448)</t>
  </si>
  <si>
    <t>RJA-ROBO-0125</t>
  </si>
  <si>
    <t>ROBOT RTF01 4IN1 RGB Colorful LED 65W Data Cable Black 100CM (SKU RJA-ROBO-0449)</t>
  </si>
  <si>
    <t>RJA-ROBO-0126</t>
  </si>
  <si>
    <t>ROBOT Foam Silicone Data Cable RFSM100 2.4A Micro Black 100CM</t>
  </si>
  <si>
    <t>RJA-ROBO-0127</t>
  </si>
  <si>
    <t>ROBOT Foam Silicone Data Cable RFSL100 2.4A Lightning Black 100CM</t>
  </si>
  <si>
    <t>RJA-ROBO-0128</t>
  </si>
  <si>
    <t>ROBOT Foam Silicone Data Cable RFSCL100 3A 30W Type-C To Lightning Gray 100CM (SKU RJA-ROBO-0452)</t>
  </si>
  <si>
    <t>RJA-ROBO-0129</t>
  </si>
  <si>
    <t>ROBOT Foam Silicone Data Cable RFSCC100 3A 65W Type-C To Type-C Gray 100CM</t>
  </si>
  <si>
    <t>RJA-ROBO-0130</t>
  </si>
  <si>
    <t>ROBOT Foam Silicone Data Cable RFSC100 3A Type-C Gray 100CM</t>
  </si>
  <si>
    <t>RJA-ROBO-0131</t>
  </si>
  <si>
    <t>ROBOT Data Cable RWM100 Black</t>
  </si>
  <si>
    <t>RJA-ROBO-0132</t>
  </si>
  <si>
    <t>ROBOT Data Cable RWL100 Blue</t>
  </si>
  <si>
    <t>RJA-ROBO-0133</t>
  </si>
  <si>
    <t>ROBOT Data Cable RGXCC100 3A 65W Type-C TO Type-C White 100CM (SKU RJA-ROBO-0458)</t>
  </si>
  <si>
    <t>RJA-ROBO-0134</t>
  </si>
  <si>
    <t>ROBOT KM3500 (SKU RJA-ROBO-0538)</t>
  </si>
  <si>
    <t>KEYBOARD</t>
  </si>
  <si>
    <t>RJA-ROBO-0135</t>
  </si>
  <si>
    <t>ROBOT Wired Keyboard &amp; Mouse Combo KM2600 Black</t>
  </si>
  <si>
    <t>RJA-ROBO-0136</t>
  </si>
  <si>
    <t>ROBOT KM3500 (SKU RJA-ROBO-0540)</t>
  </si>
  <si>
    <t>RJA-ROBO-0137</t>
  </si>
  <si>
    <t>ROBOT Highspeed Handheld Mini Fan RT-HF01 White With 100 Leve&amp;LED Display (SKU RJA-ROBO-0542)</t>
  </si>
  <si>
    <t>RJA-ROBO-0138</t>
  </si>
  <si>
    <t>ROBOT USB Mini Fan RT-BF18S White</t>
  </si>
  <si>
    <t>RJA-ROBO-0139</t>
  </si>
  <si>
    <t>ROBOT RT-BF19 1200mAh 3 Level Wind Speed USB Portable Mini Fan Green</t>
  </si>
  <si>
    <t>RJA-ROBO-0140</t>
  </si>
  <si>
    <t>ROBOT RGB Pocket Fill Light RFL01 Black (SKU RJA-ROBO-0552)</t>
  </si>
  <si>
    <t>RJA-ROBO-0141</t>
  </si>
  <si>
    <t>ROBOT Portable&amp;Hangable Camping Lamp RT-CL01 White With Solar Charging Port (SKU RJA-ROBO-0553)</t>
  </si>
  <si>
    <t>RJA-ROBO-0142</t>
  </si>
  <si>
    <t>ROBOT RGB Pocket Fill Light RFL01 Black (SKU RJA-ROBO-0555)</t>
  </si>
  <si>
    <t>RJA-ROBO-0143</t>
  </si>
  <si>
    <t>ROBOT Portable&amp;Hangable Camping Lamp RT-CL01 White With Solar Charging Port (SKU RJA-ROBO-0556)</t>
  </si>
  <si>
    <t>RJA-ROBO-0144</t>
  </si>
  <si>
    <t>Robot TF Cards 8GB TF with Package Black</t>
  </si>
  <si>
    <t>RJA-ROBO-0145</t>
  </si>
  <si>
    <t>ROBOT TF card 4G TF WITH Package black</t>
  </si>
  <si>
    <t>RJA-ROBO-0146</t>
  </si>
  <si>
    <t>ROBOT 32GB CLASS 10 TF Card Chip With Package</t>
  </si>
  <si>
    <t>RJA-ROBO-0147</t>
  </si>
  <si>
    <t>ROBOT M500 Rechargeable USB 2.4G Wireless Mouse Silent Key Black (SKU RJA-ROBO-0567)</t>
  </si>
  <si>
    <t>RJA-ROBO-0148</t>
  </si>
  <si>
    <t>ROBOT M370 Wireless Mouse Silent Key 800-1200-2400-3200 DPI 6D Black (SKU RJA-ROBO-0568)</t>
  </si>
  <si>
    <t>RJA-ROBO-0149</t>
  </si>
  <si>
    <t>ROBOT M360 Bluetooth+2.4G Dual Mode Mouse Slient Key Black (SKU RJA-ROBO-0569)</t>
  </si>
  <si>
    <t>RJA-ROBO-0150</t>
  </si>
  <si>
    <t>Robot M310 Wireless Mouse Silent Key Black (SKU RJA-ROBO-0570)</t>
  </si>
  <si>
    <t>RJA-ROBO-0151</t>
  </si>
  <si>
    <t>ROBOT M260 2.4G Wireless Mouse 1600 DPI Black (SKU RJA-ROBO-0571)</t>
  </si>
  <si>
    <t>RJA-ROBO-0152</t>
  </si>
  <si>
    <t>ROBOT Wireless Mouse M205 Black (SKU RJA-ROBO-0572)</t>
  </si>
  <si>
    <t>RJA-ROBO-0153</t>
  </si>
  <si>
    <t>ROBOT M130 Wired Mouse Colorful LED 800-1200-1600DPI Black (SKU RJA-ROBO-0573)</t>
  </si>
  <si>
    <t>RJA-ROBO-0154</t>
  </si>
  <si>
    <t>ROBOT Wireless Mouse M205 Black (SKU RJA-ROBO-0574)</t>
  </si>
  <si>
    <t>RJA-ROBO-0155</t>
  </si>
  <si>
    <t>ROBOT M500 Rechargeable USB 2.4G Wireless Mouse Silent Key Black (SKU RJA-ROBO-0575)</t>
  </si>
  <si>
    <t>RJA-ROBO-0156</t>
  </si>
  <si>
    <t>ROBOT M390 Bluetooth+2.4G Dual Mode Wireless Mouse Slient Key Grey</t>
  </si>
  <si>
    <t>RJA-ROBO-0157</t>
  </si>
  <si>
    <t>ROBOT M390 Bluetooth+2.4G Dual Mode Wireless Mouse Slient Key black</t>
  </si>
  <si>
    <t>RJA-ROBO-0158</t>
  </si>
  <si>
    <t>ROBOT M370 Wireless Mouse Silent Key 800-1200-2400-3200 DPI 6D Black (SKU RJA-ROBO-0578)</t>
  </si>
  <si>
    <t>RJA-ROBO-0159</t>
  </si>
  <si>
    <t>ROBOT M360 Bluetooth+2.4G Dual Mode Mouse Slient Key Black (SKU RJA-ROBO-0579)</t>
  </si>
  <si>
    <t>RJA-ROBO-0160</t>
  </si>
  <si>
    <t>ROBOT M355 Bluetooth+2.4G Dual Mode Wireless Mouse Silent Key Grey</t>
  </si>
  <si>
    <t>RJA-ROBO-0161</t>
  </si>
  <si>
    <t>ROBOT M316 Wireless Mouse Silent 800-1200-1600-2400 DPI Grey</t>
  </si>
  <si>
    <t>RJA-ROBO-0162</t>
  </si>
  <si>
    <t>Robot M310 Wireless Mouse Silent Key Black (SKU RJA-ROBO-0582)</t>
  </si>
  <si>
    <t>RJA-ROBO-0163</t>
  </si>
  <si>
    <t>ROBOT M260 2.4G Wireless Mouse 1600 DPI Black (SKU RJA-ROBO-0583)</t>
  </si>
  <si>
    <t>RJA-ROBO-0164</t>
  </si>
  <si>
    <t>Robot M210 2.4G Wireless Optical Black USB Mouse</t>
  </si>
  <si>
    <t>RJA-ROBO-0165</t>
  </si>
  <si>
    <t>ROBOT M207 Wireless MOUSE Silent 800-1200-1600 DPI Black ( Without Battery)</t>
  </si>
  <si>
    <t>RJA-ROBO-0166</t>
  </si>
  <si>
    <t>ROBOT M205 Wireless Mouse 800-1200-1600 DPI Black (without battery)</t>
  </si>
  <si>
    <t>RJA-ROBO-0167</t>
  </si>
  <si>
    <t>ROBOT M130 Wired Mouse Colorful LED 800-1200-1600DPI Black (SKU RJA-ROBO-0587)</t>
  </si>
  <si>
    <t>RJA-ROBO-0168</t>
  </si>
  <si>
    <t>Robot Mousepad RP05-L Black Gaming Mouse Pad (SKU RJA-ROBO-0591)</t>
  </si>
  <si>
    <t>RJA-ROBO-0169</t>
  </si>
  <si>
    <t>ROBOT RP01 Anti-slip with Soft Surface Mousepad Black</t>
  </si>
  <si>
    <t>RJA-ROBO-0170</t>
  </si>
  <si>
    <t>ROBOT Mousepad RP05-XL Black</t>
  </si>
  <si>
    <t>RJA-ROBO-0171</t>
  </si>
  <si>
    <t>Robot Mousepad RP05-L Black Gaming Mouse Pad (SKU RJA-ROBO-0594)</t>
  </si>
  <si>
    <t>RJA-ROBO-0172</t>
  </si>
  <si>
    <t>ROBOT RT-OTG02 Type-C To Micro Small &amp; Portable Aluminium Case Cable Adapter Silver</t>
  </si>
  <si>
    <t>RJA-ROBO-0173</t>
  </si>
  <si>
    <t>ROBOT RLP01 Laser PAGE Turning Pen/Pointer Presentasion (without battery) (SKU RJA-ROBO-0604)</t>
  </si>
  <si>
    <t>POINTER</t>
  </si>
  <si>
    <t>RJA-ROBO-0174</t>
  </si>
  <si>
    <t>ROBOT RLP01 Laser PAGE Turning Pen/Pointer Presentasion (without battery) (SKU RJA-ROBO-0605)</t>
  </si>
  <si>
    <t>RJA-ROBO-0175</t>
  </si>
  <si>
    <t>ROBOT Smart Powerbank RT051-C Black (SKU RJA-ROBO-0610)</t>
  </si>
  <si>
    <t>RJA-ROBO-0176</t>
  </si>
  <si>
    <t>ROBOT Powerbank RT051-L 5000mAh 12W WHITE</t>
  </si>
  <si>
    <t>RJA-ROBO-0177</t>
  </si>
  <si>
    <t>ROBOT Power Bank RT11</t>
  </si>
  <si>
    <t>RJA-ROBO-0178</t>
  </si>
  <si>
    <t>ROBOT Power Bank ROBOT POWER BANK RT12Q White (SKU RJA-ROBO-0613)</t>
  </si>
  <si>
    <t>RJA-ROBO-0179</t>
  </si>
  <si>
    <t>ROBOT Powerbank RT051-L 5000mAh 12W Black (SKU RJA-ROBO-0614)</t>
  </si>
  <si>
    <t>RJA-ROBO-0207</t>
  </si>
  <si>
    <t>ROBOT Multimedia Speaker RS260 Black (SKU RJA-ROBO-0695)</t>
  </si>
  <si>
    <t>SPEAKER</t>
  </si>
  <si>
    <t>RJA-ROBO-0208</t>
  </si>
  <si>
    <t>ROBOT RB200 Bluetooth Speaker with Number Keys &amp; LED Display Gold (SKU RJA-ROBO-0696)</t>
  </si>
  <si>
    <t>RJA-ROBO-0209</t>
  </si>
  <si>
    <t>ROBOT Bluetooth Speaker RB570 Green</t>
  </si>
  <si>
    <t>RJA-ROBO-0210</t>
  </si>
  <si>
    <t>ROBOT RB30 Bluetooth 5.1 Speaker Portable TWS</t>
  </si>
  <si>
    <t>RJA-ROBO-0211</t>
  </si>
  <si>
    <t>ROBOT RB290 Stereo Soundbar Bluetooth5.3 Speaker</t>
  </si>
  <si>
    <t>RJA-ROBO-0212</t>
  </si>
  <si>
    <t>ROBOT RB200 Bluetooth Speaker with Number Keys &amp; LED Display Gold (SKU RJA-ROBO-0700)</t>
  </si>
  <si>
    <t>RJA-ROBO-0213</t>
  </si>
  <si>
    <t>ROBOT RB350 Karaoke Speaker with Microphone Bluetooth5.1</t>
  </si>
  <si>
    <t>RJA-ROBO-0214</t>
  </si>
  <si>
    <t>ROBOT Multimedia Speaker RS260 Black (SKU RJA-ROBO-0702)</t>
  </si>
  <si>
    <t>RJA-ROBO-0215</t>
  </si>
  <si>
    <t>ROBOT Multimedia Speaker RS190 Black</t>
  </si>
  <si>
    <t>RJA-ROBO-0216</t>
  </si>
  <si>
    <t>ROBOT HM103 HDMI switch and Splitter 2in 1out / 1in 2out Bi-Direction 4k Black</t>
  </si>
  <si>
    <t>RJA-ROBO-0217</t>
  </si>
  <si>
    <t>ROBOT RSP03 Universal 3 in 1 Capacitive Stylus Pen (SKU RJA-ROBO-0706)</t>
  </si>
  <si>
    <t>STYLUS</t>
  </si>
  <si>
    <t>RJA-ROBO-0218</t>
  </si>
  <si>
    <t>ROBOT RSP01 Universal 2 in 1 Capacitive Stylus Pen Purple (SKU RJA-ROBO-0707)</t>
  </si>
  <si>
    <t>RJA-ROBO-0219</t>
  </si>
  <si>
    <t>ROBOT Multifunctional Cleaning Pen RMC10</t>
  </si>
  <si>
    <t>RJA-ROBO-0220</t>
  </si>
  <si>
    <t>ROBOT RSP03 Universal 3 in 1 Capacitive Stylus Pen (SKU RJA-ROBO-0709)</t>
  </si>
  <si>
    <t>RJA-ROBO-0221</t>
  </si>
  <si>
    <t>ROBOT RSP02 Universal Capacitive Stylus Pen Black</t>
  </si>
  <si>
    <t>RJA-ROBO-0222</t>
  </si>
  <si>
    <t>ROBOT RSP01 Universal 2 in 1 Capacitive Stylus Pen Purple (SKU RJA-ROBO-0711)</t>
  </si>
  <si>
    <t>RJA-ROBO-0223</t>
  </si>
  <si>
    <t>ROBOT Smart Phone Charger RT-P7 White (SKU RJA-ROBO-0857)</t>
  </si>
  <si>
    <t>RJA-ROBO-0224</t>
  </si>
  <si>
    <t>ROBOT Smart Phone Charger RT-P20 White (SKU RJA-ROBO-0858)</t>
  </si>
  <si>
    <t>RJA-ROBO-0225</t>
  </si>
  <si>
    <t>ROBOT Smart Phone Charger RT-P18 White (SKU RJA-ROBO-0859)</t>
  </si>
  <si>
    <t>RJA-ROBO-0226</t>
  </si>
  <si>
    <t>ROBOT Smart Phone Charger RT-K11 White (SKU RJA-ROBO-0860)</t>
  </si>
  <si>
    <t>RJA-ROBO-0227</t>
  </si>
  <si>
    <t>ROBOT Charger RT-P30 White (SKU RJA-ROBO-0861)</t>
  </si>
  <si>
    <t>RJA-ROBO-0228</t>
  </si>
  <si>
    <t>ROBOT Charger RT-K8 Plus White (SKU RJA-ROBO-0862)</t>
  </si>
  <si>
    <t>RJA-ROBO-0229</t>
  </si>
  <si>
    <t>ROBOT Charger RT-F3 white (SKU RJA-ROBO-0863)</t>
  </si>
  <si>
    <t>RJA-ROBO-0230</t>
  </si>
  <si>
    <t>ROBOT Charger RT-F2 White (SKU RJA-ROBO-0864)</t>
  </si>
  <si>
    <t>RJA-ROBO-0231</t>
  </si>
  <si>
    <t>ROBOT Smart Phone Charger RT-K6S White</t>
  </si>
  <si>
    <t>RJA-ROBO-0232</t>
  </si>
  <si>
    <t>ROBOT Smart Phone Charger RT-P8 Black (SKU RJA-ROBO-0867)</t>
  </si>
  <si>
    <t>RJA-ROBO-0233</t>
  </si>
  <si>
    <t>ROBOT Smart Phone Charger RT-P2 White (SKU RJA-ROBO-0868)</t>
  </si>
  <si>
    <t>RJA-ROBO-0234</t>
  </si>
  <si>
    <t>ROBOT SMART PHONE CHARGER RT-F6 PD 20W</t>
  </si>
  <si>
    <t>RJA-ROBO-0235</t>
  </si>
  <si>
    <t>ROBOT Smart Phone Charger RT-P8 Black (SKU RJA-ROBO-0870)</t>
  </si>
  <si>
    <t>RJA-ROBO-0236</t>
  </si>
  <si>
    <t>ROBOT Smart Phone Charger RT-P7 White (SKU RJA-ROBO-0871)</t>
  </si>
  <si>
    <t>RJA-ROBO-0237</t>
  </si>
  <si>
    <t>ROBOT Smart Phone Charger RT-P20 White (SKU RJA-ROBO-0872)</t>
  </si>
  <si>
    <t>RJA-ROBO-0238</t>
  </si>
  <si>
    <t>ROBOT Smart Phone Charger RT-P2 White (SKU RJA-ROBO-0873)</t>
  </si>
  <si>
    <t>RJA-ROBO-0239</t>
  </si>
  <si>
    <t>ROBOT Smart Phone Charger RT-P18 White (SKU RJA-ROBO-0874)</t>
  </si>
  <si>
    <t>RJA-ROBO-0240</t>
  </si>
  <si>
    <t>ROBOT Smart Phone Charger RT-K7SC White</t>
  </si>
  <si>
    <t>RJA-ROBO-0241</t>
  </si>
  <si>
    <t>ROBOT Smart Phone Charger RT-K11 White (SKU RJA-ROBO-0876)</t>
  </si>
  <si>
    <t>RJA-ROBO-0242</t>
  </si>
  <si>
    <t>ROBOT RT-K8 Charger White</t>
  </si>
  <si>
    <t>RJA-ROBO-0243</t>
  </si>
  <si>
    <t>Robot RT-K6 2.4A Dual Output Charger White</t>
  </si>
  <si>
    <t>RJA-ROBO-0244</t>
  </si>
  <si>
    <t>ROBOT Charger RT-P30 White (SKU RJA-ROBO-0879)</t>
  </si>
  <si>
    <t>RJA-ROBO-0245</t>
  </si>
  <si>
    <t>ROBOT Charger RT-K9 White</t>
  </si>
  <si>
    <t>RJA-ROBO-0246</t>
  </si>
  <si>
    <t>ROBOT Charger RT-K8 Plus White (SKU RJA-ROBO-0881)</t>
  </si>
  <si>
    <t>RJA-ROBO-0247</t>
  </si>
  <si>
    <t>ROBOT Charger RT-K7 White</t>
  </si>
  <si>
    <t>RJA-ROBO-0248</t>
  </si>
  <si>
    <t>Robot Charger RT-K5 White</t>
  </si>
  <si>
    <t>RJA-ROBO-0249</t>
  </si>
  <si>
    <t>ROBOT Charger RT-F5 Black (SKU RJA-ROBO-0884)</t>
  </si>
  <si>
    <t>RJA-ROBO-0250</t>
  </si>
  <si>
    <t>ROBOT Charger RT-F5 Black (SKU RJA-ROBO-0885)</t>
  </si>
  <si>
    <t>RJA-ROBO-0251</t>
  </si>
  <si>
    <t>ROBOT Charger RT-F4 White</t>
  </si>
  <si>
    <t>RJA-ROBO-0252</t>
  </si>
  <si>
    <t>ROBOT Charger RT-F3 white (SKU RJA-ROBO-0887)</t>
  </si>
  <si>
    <t>RJA-ROBO-0253</t>
  </si>
  <si>
    <t>ROBOT Charger RT-F2 White (SKU RJA-ROBO-0888)</t>
  </si>
  <si>
    <t>RJA-ROBO-0254</t>
  </si>
  <si>
    <t>ROBOT Charger RT-F1 White</t>
  </si>
  <si>
    <t>RJA-ROBO-0255</t>
  </si>
  <si>
    <t>ROBOT TWS T60 Case Black (SKU RJA-ROBO-0945)</t>
  </si>
  <si>
    <t>RJA-ROBO-0256</t>
  </si>
  <si>
    <t>ROBOT TWS Nova T1 White</t>
  </si>
  <si>
    <t>RJA-ROBO-0257</t>
  </si>
  <si>
    <t>ROBOT TWS Flybuds T22 Black (SKU RJA-ROBO-0947)</t>
  </si>
  <si>
    <t>RJA-ROBO-0258</t>
  </si>
  <si>
    <t>ROBOT TWS Flybuds T10S White</t>
  </si>
  <si>
    <t>RJA-ROBO-0259</t>
  </si>
  <si>
    <t>ROBOT TWS Encobuds 3 White</t>
  </si>
  <si>
    <t>RJA-ROBO-0260</t>
  </si>
  <si>
    <t>ROBOT True Wireless Stereo Airbuds Encobuds 4 BLUE</t>
  </si>
  <si>
    <t>RJA-ROBO-0261</t>
  </si>
  <si>
    <t>ROBOT True Wireless Stereo Airbuds Encobuds 3 Black (SKU RJA-ROBO-0951)</t>
  </si>
  <si>
    <t>RJA-ROBO-0262</t>
  </si>
  <si>
    <t>ROBOT Bluetooth Headsets Talk10 Black</t>
  </si>
  <si>
    <t>RJA-ROBO-0263</t>
  </si>
  <si>
    <t>ROBOT TWS Encobuds 3 Black</t>
  </si>
  <si>
    <t>RJA-ROBO-0264</t>
  </si>
  <si>
    <t>ROBOT Tws Earphone Flybuds T30 Black</t>
  </si>
  <si>
    <t>RJA-ROBO-0265</t>
  </si>
  <si>
    <t>ROBOT TWS Nova T2 Light Green (SKU RJA-ROBO-0955)</t>
  </si>
  <si>
    <t>RJA-ROBO-0266</t>
  </si>
  <si>
    <t>ROBOT TWS Flybuds T22 Cream-coloured (SKU RJA-ROBO-0956)</t>
  </si>
  <si>
    <t>RJA-ROBO-0267</t>
  </si>
  <si>
    <t>ROBOT True Wireless Stereo Airbuds Encobuds 4 WHITE</t>
  </si>
  <si>
    <t>RJA-ROBO-0268</t>
  </si>
  <si>
    <t>ROBOT True Wireless Stereo Airbuds Encobuds 3 Blue</t>
  </si>
  <si>
    <t>RJA-ROBO-0269</t>
  </si>
  <si>
    <t>ROBOT OWS Earphone OpenRun 1 Black (SKU RJA-ROBO-0959)</t>
  </si>
  <si>
    <t>RJA-ROBO-0270</t>
  </si>
  <si>
    <t>ROBOT Air 10 Open-Ear True Wireless Ear-Clip Earphones，BT5.3，Anti-Hearing Loss， (SKU RJA-ROBO-0960)</t>
  </si>
  <si>
    <t>RJA-ROBO-0271</t>
  </si>
  <si>
    <t>ROBOT True Wireless Stereo Airbuds EncoBuds 2 White</t>
  </si>
  <si>
    <t>RJA-ROBO-0272</t>
  </si>
  <si>
    <t>ROBOT True Wireless Stereo Airbuds EncoBuds 2 Black (SKU RJA-ROBO-0962)</t>
  </si>
  <si>
    <t>RJA-ROBO-0273</t>
  </si>
  <si>
    <t>ROBOT Wireless Headset Spirit N30 Black</t>
  </si>
  <si>
    <t>RJA-ROBO-0274</t>
  </si>
  <si>
    <t>ROBOT TWS T60 Case Black (SKU RJA-ROBO-0964)</t>
  </si>
  <si>
    <t>RJA-ROBO-0275</t>
  </si>
  <si>
    <t>ROBOT TWS Quite E1 Black</t>
  </si>
  <si>
    <t>RJA-ROBO-0276</t>
  </si>
  <si>
    <t>ROBOT TWS Nova T3 White+Orange</t>
  </si>
  <si>
    <t>RJA-ROBO-0277</t>
  </si>
  <si>
    <t>ROBOT TWS Nova T3 Black</t>
  </si>
  <si>
    <t>RJA-ROBO-0278</t>
  </si>
  <si>
    <t>ROBOT TWS Nova T2 White</t>
  </si>
  <si>
    <t>RJA-ROBO-0279</t>
  </si>
  <si>
    <t>ROBOT TWS Nova T2 Light Green (SKU RJA-ROBO-0969)</t>
  </si>
  <si>
    <t>RJA-ROBO-0280</t>
  </si>
  <si>
    <t>ROBOT TWS Flybuds T22 Cream-coloured (SKU RJA-ROBO-0970)</t>
  </si>
  <si>
    <t>RJA-ROBO-0281</t>
  </si>
  <si>
    <t>ROBOT TWS Flybuds T22 Black (SKU RJA-ROBO-0971)</t>
  </si>
  <si>
    <t>RJA-ROBO-0282</t>
  </si>
  <si>
    <t>ROBOT TWS Encobuds 3 Blue</t>
  </si>
  <si>
    <t>RJA-ROBO-0283</t>
  </si>
  <si>
    <t>ROBOT TWS EncoBuds 2 Black</t>
  </si>
  <si>
    <t>RJA-ROBO-0284</t>
  </si>
  <si>
    <t>ROBOT TWS EncoBuds 4</t>
  </si>
  <si>
    <t>RJA-ROBO-0285</t>
  </si>
  <si>
    <t>ROBOT TWS Dots 2 Black</t>
  </si>
  <si>
    <t>RJA-ROBO-0286</t>
  </si>
  <si>
    <t>ROBOT TWS Airbuds T70E White</t>
  </si>
  <si>
    <t>RJA-ROBO-0287</t>
  </si>
  <si>
    <t>ROBOT TWS Airbuds T70E Green</t>
  </si>
  <si>
    <t>RJA-ROBO-0288</t>
  </si>
  <si>
    <t>ROBOT TWS Airbuds T70E Black</t>
  </si>
  <si>
    <t>RJA-ROBO-0289</t>
  </si>
  <si>
    <t>ROBOT TWS Airbuds T70 White</t>
  </si>
  <si>
    <t>RJA-ROBO-0290</t>
  </si>
  <si>
    <t>ROBOT TWS Airbuds T70 Black (SKU RJA-ROBO-0980)</t>
  </si>
  <si>
    <t>RJA-ROBO-0291</t>
  </si>
  <si>
    <t>ROBOT TWS Airbuds T70 Black (SKU RJA-ROBO-0981)</t>
  </si>
  <si>
    <t>RJA-ROBO-0292</t>
  </si>
  <si>
    <t>ROBOT TWS Airbuds T60 White</t>
  </si>
  <si>
    <t>RJA-ROBO-0293</t>
  </si>
  <si>
    <t>ROBOT TWS Airbuds T60 Light Purple</t>
  </si>
  <si>
    <t>RJA-ROBO-0294</t>
  </si>
  <si>
    <t>ROBOT TWS Airbuds T60 Light Blue</t>
  </si>
  <si>
    <t>RJA-ROBO-0295</t>
  </si>
  <si>
    <t>ROBOT TWS Airbuds T60 Black</t>
  </si>
  <si>
    <t>RJA-ROBO-0296</t>
  </si>
  <si>
    <t>ROBOT True Wireless Stereo Airbuds Quite E1 Black</t>
  </si>
  <si>
    <t>RJA-ROBO-0297</t>
  </si>
  <si>
    <t>ROBOT True Wireless Stereo Airbuds Quiet E2 White</t>
  </si>
  <si>
    <t>RJA-ROBO-0298</t>
  </si>
  <si>
    <t>ROBOT True Wireless Stereo Airbuds Flybuds T22 Black</t>
  </si>
  <si>
    <t>RJA-ROBO-0299</t>
  </si>
  <si>
    <t>ROBOT True Wireless Stereo Airbuds Encobuds 3 Black (SKU RJA-ROBO-0989)</t>
  </si>
  <si>
    <t>RJA-ROBO-0300</t>
  </si>
  <si>
    <t>ROBOT True Wireless Stereo Airbuds EncoBuds 2 Black (SKU RJA-ROBO-0990)</t>
  </si>
  <si>
    <t>RJA-ROBO-0301</t>
  </si>
  <si>
    <t>ROBOT OWS Earphone OpenRun 1 Black (SKU RJA-ROBO-0991)</t>
  </si>
  <si>
    <t>RJA-ROBO-0302</t>
  </si>
  <si>
    <t>ROBOT Airbuds T40NC In- Ear ENC TWS Bluetooth Earphones Deep Rich Bass Black</t>
  </si>
  <si>
    <t>RJA-ROBO-0303</t>
  </si>
  <si>
    <t>ROBOT Airbuds T20S TWS Lightweight&amp;Deep Bass Sound Earphones Black</t>
  </si>
  <si>
    <t>RJA-ROBO-0304</t>
  </si>
  <si>
    <t>ROBOT Air 10 Open-Ear True Wireless Ear-Clip Earphones，BT5.3，Anti-Hearing Loss， (SKU RJA-ROBO-0994)</t>
  </si>
  <si>
    <t>RJA-ROBO-0305</t>
  </si>
  <si>
    <t>ROBOT True Wireless Stereo Airbuds EncoBuds 2 Black (SKU RJA-ROBO-1007)</t>
  </si>
  <si>
    <t>RJA-ROBO-0306</t>
  </si>
  <si>
    <t>ROBOT HORIZONTAL DIGITAL data CABLE RHCL100 27W TYPE C</t>
  </si>
  <si>
    <t>RJA-ROBO-0307</t>
  </si>
  <si>
    <t>ROBOT TRANSPARANT CABLE RECL100 30W C TO L</t>
  </si>
  <si>
    <t>RJA-ROBO-0308</t>
  </si>
  <si>
    <t>ROBOT BRACKET DATA CABLE RBKCC100 65W C TO C</t>
  </si>
  <si>
    <t>RJA-SARU-0001</t>
  </si>
  <si>
    <t>SARUNG HP WATERPROOF WARNA</t>
  </si>
  <si>
    <t>RJA-SARU-0002</t>
  </si>
  <si>
    <t>SARUNG JEMPOL</t>
  </si>
  <si>
    <t>JEMPOL</t>
  </si>
  <si>
    <t>RJA-SARU-0004</t>
  </si>
  <si>
    <t>SARUNG SANITIZER</t>
  </si>
  <si>
    <t>RJA-SARU-0005</t>
  </si>
  <si>
    <t>RJA-SELF-0001</t>
  </si>
  <si>
    <t>SELFIE STICK R15</t>
  </si>
  <si>
    <t>RJA-SENT-0001</t>
  </si>
  <si>
    <t>SENTER LED LIGHTS L-826</t>
  </si>
  <si>
    <t>RJA-SHOP-0001</t>
  </si>
  <si>
    <t>SHOPPING BAG TO ROLL UP</t>
  </si>
  <si>
    <t>RJA-SLET-0001</t>
  </si>
  <si>
    <t>SLETING</t>
  </si>
  <si>
    <t>RJA-SMAR-0001</t>
  </si>
  <si>
    <t>Smart 6 GB 7 hari</t>
  </si>
  <si>
    <t>Voucher</t>
  </si>
  <si>
    <t>RJA-SOLD-0001</t>
  </si>
  <si>
    <t>SOLDER</t>
  </si>
  <si>
    <t>RJA-SOUN-0001</t>
  </si>
  <si>
    <t>SOUNDCARD ROBOT US10</t>
  </si>
  <si>
    <t>RJA-SPAX-0001</t>
  </si>
  <si>
    <t>SP Axis 3 Gb</t>
  </si>
  <si>
    <t>RJA-SPEA-0004</t>
  </si>
  <si>
    <t>SPEAKER BLUETOOTH T11</t>
  </si>
  <si>
    <t>RJA-SPEA-0005</t>
  </si>
  <si>
    <t>SPEAKER BLUETOOTH V1</t>
  </si>
  <si>
    <t>RJA-SPEA-0006</t>
  </si>
  <si>
    <t>SPEAKER BLUETOOTH SF7 OLIKE BEIGE</t>
  </si>
  <si>
    <t>RJA-SPEA-0007</t>
  </si>
  <si>
    <t>SPEAKER BLUETOOTH MODEL K52</t>
  </si>
  <si>
    <t>RJA-SPEA-0008</t>
  </si>
  <si>
    <t>SPEAKER BLUETOOTH MOTOR WINSI WS-225</t>
  </si>
  <si>
    <t>RJA-SPEA-0009</t>
  </si>
  <si>
    <t>SPEAKER AKI JASPAN JAS-01</t>
  </si>
  <si>
    <t>RJA-SPEA-0010</t>
  </si>
  <si>
    <t>SPEAKER BLUETOOTH K4/Y2</t>
  </si>
  <si>
    <t>RJA-SPEA-0011</t>
  </si>
  <si>
    <t>SPEAKER BLUETOOTH K1</t>
  </si>
  <si>
    <t>RJA-SPEA-0012</t>
  </si>
  <si>
    <t>SPEAKER BLUETOOTH WSTER WS-1625</t>
  </si>
  <si>
    <t>RJA-SPEA-0013</t>
  </si>
  <si>
    <t>Speaker Soonbox 5'' + Mic S39 RGB LED</t>
  </si>
  <si>
    <t>RJA-SPEA-0014</t>
  </si>
  <si>
    <t>SPEAKER BLUETOOTH MY233BT</t>
  </si>
  <si>
    <t>RJA-SPEA-0015</t>
  </si>
  <si>
    <t>SPEAKER BLUETOOTH LENYES S-205</t>
  </si>
  <si>
    <t>RJA-SPEA-0016</t>
  </si>
  <si>
    <t>SPEAKER BLUETOOTH DW09</t>
  </si>
  <si>
    <t>RJA-SPEA-0017</t>
  </si>
  <si>
    <t>SPEAKER BLUETOOTH TEMPEL DINDING</t>
  </si>
  <si>
    <t>RJA-SPEA-0018</t>
  </si>
  <si>
    <t>Speaker Bluetooth WINSI WS - 264 TWS + Mic</t>
  </si>
  <si>
    <t>RJA-SPEA-0019</t>
  </si>
  <si>
    <t>Speaker Bluetooth BS-06 RGB</t>
  </si>
  <si>
    <t>RJA-SPEA-0020</t>
  </si>
  <si>
    <t>SPEAKER BLUETOOTH BS-32D</t>
  </si>
  <si>
    <t>RJA-SPIS-0001</t>
  </si>
  <si>
    <t>SP Isat 3 Gb</t>
  </si>
  <si>
    <t>RJA-SPTS-0001</t>
  </si>
  <si>
    <t>SP T sel 3 Gb</t>
  </si>
  <si>
    <t>RJA-STAP-0001</t>
  </si>
  <si>
    <t>STAPLER JOYKO HD50</t>
  </si>
  <si>
    <t>RJA-STIC-0001</t>
  </si>
  <si>
    <t>STICK PS UCOM</t>
  </si>
  <si>
    <t>RJA-TALI-0001</t>
  </si>
  <si>
    <t>TALI NAME TAG</t>
  </si>
  <si>
    <t>RJA-TALI-0002</t>
  </si>
  <si>
    <t>TALI GANTUNGAN HP</t>
  </si>
  <si>
    <t>RJA-TALI-0003</t>
  </si>
  <si>
    <t>TALI HP LANYARD GANTUNGAN</t>
  </si>
  <si>
    <t>RJA-TCAK-0001</t>
  </si>
  <si>
    <t>T/C AKI Motor Waterproof</t>
  </si>
  <si>
    <t>CHARGER AKI</t>
  </si>
  <si>
    <t>RJA-TCBR-0001</t>
  </si>
  <si>
    <t>T/C Branded P -39 65W 1USB Samsung, Realmi, Oppo, Vivo, Xiaomi</t>
  </si>
  <si>
    <t>RJA-TCOR-0001</t>
  </si>
  <si>
    <t>T/C Ori 100% 280W SAMSUNG A23</t>
  </si>
  <si>
    <t>RJA-TCOR-0002</t>
  </si>
  <si>
    <t>T/C Ori 100% 280W SAMSUNG GALAXY A06</t>
  </si>
  <si>
    <t>RJA-TCOR-0003</t>
  </si>
  <si>
    <t>T/C Ori 100% 280W SAMSUNG A16</t>
  </si>
  <si>
    <t>RJA-TCOR-0004</t>
  </si>
  <si>
    <t>T/C Ori 100% 280W INFINIX HOT50 PRO</t>
  </si>
  <si>
    <t>RJA-TCOR-0005</t>
  </si>
  <si>
    <t>T/C Ori 100% 280W OPPO RENO 13</t>
  </si>
  <si>
    <t>RJA-TCOR-0006</t>
  </si>
  <si>
    <t>T/C Ori 100% 280W POCO F6</t>
  </si>
  <si>
    <t>RJA-TCOR-0007</t>
  </si>
  <si>
    <t>T/C Ori 100% 280W VIVO Y19S</t>
  </si>
  <si>
    <t>RJA-TCOR-0008</t>
  </si>
  <si>
    <t>T/C Ori 100% 280W VIVO Y18</t>
  </si>
  <si>
    <t>RJA-TCOR-0009</t>
  </si>
  <si>
    <t>T/C Ori 100% 280W POCO C75</t>
  </si>
  <si>
    <t>RJA-TCOR-0010</t>
  </si>
  <si>
    <t>T/C Ori 100% 280W REDMI NOTE40 PR0</t>
  </si>
  <si>
    <t>RJA-TCOR-0011</t>
  </si>
  <si>
    <t>T/C Ori 100% 280W REALME NOTE 60</t>
  </si>
  <si>
    <t>RJA-TCOR-0012</t>
  </si>
  <si>
    <t>T/C Ori 100% 240W REALME GT NEO5</t>
  </si>
  <si>
    <t>RJA-TCOR-0013</t>
  </si>
  <si>
    <t>T/C Ori 100% 280W OPP RENO12F</t>
  </si>
  <si>
    <t>RJA-TCOR-0014</t>
  </si>
  <si>
    <t>T/C Ori 100% 180W REDMI NOTE 14 PRO</t>
  </si>
  <si>
    <t>RJA-TCOR-0015</t>
  </si>
  <si>
    <t>T/C Ori 100% 280W REDMI 14PRO 5G</t>
  </si>
  <si>
    <t>RJA-TCOR-0016</t>
  </si>
  <si>
    <t>T/C Ori 100% Iphone PD 25W Ip-100i</t>
  </si>
  <si>
    <t>RJA-TCOR-0017</t>
  </si>
  <si>
    <t>T/C Ori 100% Iphone 14 Pro Max PD 25W Kode 133</t>
  </si>
  <si>
    <t>RJA-TCOR-0018</t>
  </si>
  <si>
    <t>T/C Ori 100% iphone17 pro max , PD 35watt</t>
  </si>
  <si>
    <t>RJA-TCOR-0019</t>
  </si>
  <si>
    <t>T/C Ori 100% Iphone 15 Pro Max, Murni 25W</t>
  </si>
  <si>
    <t>RJA-TCOR-0020</t>
  </si>
  <si>
    <t>T/C ORI 99% Iphone 16 Pro Max 35W</t>
  </si>
  <si>
    <t>RJA-TCOR-0021</t>
  </si>
  <si>
    <t>T/C Ori 100% Iphone14 Pro max 2Lubang PD 50W</t>
  </si>
  <si>
    <t>RJA-TCOR-0022</t>
  </si>
  <si>
    <t>T/C Ori 99% Iphone 14 Pro Max, 20Watt</t>
  </si>
  <si>
    <t>RJA-TCOR-0023</t>
  </si>
  <si>
    <t>T/C Ori 100% Xiaomi Turbo M13 120W (SKU RJA-T-CO-0774)</t>
  </si>
  <si>
    <t>RJA-TCOR-0024</t>
  </si>
  <si>
    <t>T/C ORI 100% VIVO X FOLD + FAST CHARGER 65W MIKRO</t>
  </si>
  <si>
    <t>RJA-TCOR-0025</t>
  </si>
  <si>
    <t>T/C ORI 100% VIVO X FOLD + FAST CHARGER 65W TYPE-C</t>
  </si>
  <si>
    <t>RJA-TCOR-0026</t>
  </si>
  <si>
    <t>T/C Ori 100% Realmi X7 Pro 120W micro</t>
  </si>
  <si>
    <t>RJA-TCOR-0027</t>
  </si>
  <si>
    <t>T/C Ori 100% Realmi 13 120W micro</t>
  </si>
  <si>
    <t>RJA-TCOR-0028</t>
  </si>
  <si>
    <t>T/C Ori 100% Realmi 10 80W TYPE C</t>
  </si>
  <si>
    <t>RJA-TCOR-0029</t>
  </si>
  <si>
    <t>T/C Ori 100% Poco X5 240W MICRO</t>
  </si>
  <si>
    <t>RJA-TCOR-0030</t>
  </si>
  <si>
    <t>T/C ORI 100% OPPO RENO 5 PRO SMART CHARGER TYPE-C</t>
  </si>
  <si>
    <t>RJA-TCOR-0031</t>
  </si>
  <si>
    <t>T/C ORI 100% OPPO A36 240W SUPER VOOC TYPE-C</t>
  </si>
  <si>
    <t>RJA-TCOR-0032</t>
  </si>
  <si>
    <t>T/C ORI 100% OPPO RENO 7 PRO 65W SUPER VOOC TYPPE-C</t>
  </si>
  <si>
    <t>RJA-TCOR-0033</t>
  </si>
  <si>
    <t>T/C ORI 100% OPPO RENO ACE 2 65W SUPER FLASH CHARGE TYPE-C</t>
  </si>
  <si>
    <t>RJA-TCOR-0034</t>
  </si>
  <si>
    <t>T/C ORI 100% OPPO RENO ACE 2 65W SUPER FLASH CHARGE MIKRO</t>
  </si>
  <si>
    <t>RJA-TCOR-0035</t>
  </si>
  <si>
    <t>T/C ORI 100% OPPO RENO 6 PRO 65W SUPER VOOC MIKRO</t>
  </si>
  <si>
    <t>RJA-TCOR-0036</t>
  </si>
  <si>
    <t>T/C ORI 100% OPPO RENO 6 PRO 65W SUPER VOOC TYPE-C</t>
  </si>
  <si>
    <t>RJA-TCOR-0037</t>
  </si>
  <si>
    <t>T/C Ori 100% Oppo Reno 8 65W SUPER VOOC MIKRO</t>
  </si>
  <si>
    <t>RJA-TCOR-0038</t>
  </si>
  <si>
    <t>T/C ORI 100% OPPO RENO8 Z 80W SUPER VOOC TYPE-C</t>
  </si>
  <si>
    <t>RJA-TCOR-0039</t>
  </si>
  <si>
    <t>T/C Ori 100% Realme Reno 7 65W Mikro</t>
  </si>
  <si>
    <t>RJA-TCOR-0040</t>
  </si>
  <si>
    <t>T/C Ori 100% PD Oppo Find X6 Pro 240W</t>
  </si>
  <si>
    <t>RJA-TCOR-0041</t>
  </si>
  <si>
    <t>T/C ORI 100% OPPO A5 PRO 5G 180W FAST CHARGER TYPE-C</t>
  </si>
  <si>
    <t>RJA-TCOR-0042</t>
  </si>
  <si>
    <t>T/C ORI 100% OPPO A55 80W SUPER VOOC MIKRO</t>
  </si>
  <si>
    <t>RJA-TCOR-0043</t>
  </si>
  <si>
    <t>T/C Ori 100% oppo A97 80w type c</t>
  </si>
  <si>
    <t>RJA-TCOR-0044</t>
  </si>
  <si>
    <t>T/C Ori 100% Oppo A96 80W type c</t>
  </si>
  <si>
    <t>RJA-TCOR-0045</t>
  </si>
  <si>
    <t>T/C Ori 100% Infinix Note 12i 120W MICRO</t>
  </si>
  <si>
    <t>RJA-TCOR-0046</t>
  </si>
  <si>
    <t>T/C Ori 100% 180 W GAN QUICK CHARGER MICRO 139</t>
  </si>
  <si>
    <t>RJA-TCOR-0047</t>
  </si>
  <si>
    <t>T/C Ori 100% 180 W GAN QUICK CHARGER TYPE C</t>
  </si>
  <si>
    <t>RJA-TCOR-0048</t>
  </si>
  <si>
    <t>T/C Ori 100% 280w REDMI 14C</t>
  </si>
  <si>
    <t>RJA-TCOR-0049</t>
  </si>
  <si>
    <t>T/C Ori 100% Samsung 280w A23</t>
  </si>
  <si>
    <t>RJA-TCOR-0050</t>
  </si>
  <si>
    <t>TC Ori 100% Fast Charging Vivo TYPE C</t>
  </si>
  <si>
    <t>RJA-TCOR-0051</t>
  </si>
  <si>
    <t>T/C Ori 100 Samsung PD Type-C To C , 25watt</t>
  </si>
  <si>
    <t>RJA-TCOR-0052</t>
  </si>
  <si>
    <t>TC Ori 99% Samsung N20 , PD Type-C To C , 45watt</t>
  </si>
  <si>
    <t>RJA-TCOR-0053</t>
  </si>
  <si>
    <t>T/C Ori 100% Iphone 14 PD 25Watt</t>
  </si>
  <si>
    <t>RJA-TCOR-0054</t>
  </si>
  <si>
    <t>TC Ori 100% GAN, Kode : 219 , 180W TYPE C</t>
  </si>
  <si>
    <t>RJA-TCOR-0055</t>
  </si>
  <si>
    <t>TC Ori 100% GAN, Kode : 219 , 180W MICRO</t>
  </si>
  <si>
    <t>RJA-TCOR-0056</t>
  </si>
  <si>
    <t>TC Ori 100% Samsung Note 10 Real 25W + Fast Charging ( Type C - Type C)</t>
  </si>
  <si>
    <t>RJA-TCOR-0057</t>
  </si>
  <si>
    <t>TC Ori 100% Iphone X</t>
  </si>
  <si>
    <t>RJA-TCOR-0058</t>
  </si>
  <si>
    <t>TC Ori 100% Fast Charging Vivo V23 TYPE C</t>
  </si>
  <si>
    <t>RJA-TCOR-0059</t>
  </si>
  <si>
    <t>TC Ori 100% Fast Charging Vivo V23 MICRO</t>
  </si>
  <si>
    <t>RJA-TCOR-0060</t>
  </si>
  <si>
    <t>TC Ori 100% 2A Vivo X27 TYPE C</t>
  </si>
  <si>
    <t>RJA-TCOR-0061</t>
  </si>
  <si>
    <t>TC Ori 100% 2A Vivo X27 MICRO</t>
  </si>
  <si>
    <t>RJA-TCOR-0062</t>
  </si>
  <si>
    <t>T/C Ori 100% Xiaomi Turbo M13 120W (SKU RJA-T-CO-0817)</t>
  </si>
  <si>
    <t>RJA-TCOR-0063</t>
  </si>
  <si>
    <t>T/C Ori 100% Xiaomi 33W type c</t>
  </si>
  <si>
    <t>RJA-TCOR-0064</t>
  </si>
  <si>
    <t>T/C Ori 100% Xiaomi 33W micro</t>
  </si>
  <si>
    <t>RJA-TCOR-0065</t>
  </si>
  <si>
    <t>T/C Ori 100% Xiaomi 13 Pro 180W TYPE C (SKU RJA-T-CO-0820)</t>
  </si>
  <si>
    <t>RJA-TCOR-0066</t>
  </si>
  <si>
    <t>T/C Ori 100% Xiaomi 13 Pro 180W TYPE C (SKU RJA-T-CO-0821)</t>
  </si>
  <si>
    <t>RJA-TCOR-0067</t>
  </si>
  <si>
    <t>T/C Ori 100% Xiaomi 13 Pro 180W MICRO (SKU RJA-T-CO-0822)</t>
  </si>
  <si>
    <t>RJA-TCOR-0068</t>
  </si>
  <si>
    <t>T/C Ori 100% Xiaomi 13 Pro 180W MICRO (SKU RJA-T-CO-0823)</t>
  </si>
  <si>
    <t>RJA-TCOR-0069</t>
  </si>
  <si>
    <t>T/C Ori 100% Vivo X90 Pro 80W TYPE C</t>
  </si>
  <si>
    <t>RJA-TCOR-0070</t>
  </si>
  <si>
    <t>T/C Ori 100% Vivo X90 Pro 80W MICRO</t>
  </si>
  <si>
    <t>RJA-TCOR-0071</t>
  </si>
  <si>
    <t>T/C Ori 100% Vivo V25 Pro 80W TYPE C</t>
  </si>
  <si>
    <t>RJA-TCOR-0072</t>
  </si>
  <si>
    <t>T/C Ori 100% Vivo V25 Pro 80W MICRO</t>
  </si>
  <si>
    <t>RJA-TCOR-0073</t>
  </si>
  <si>
    <t>T/C Ori 100% Vivo T1 5G 120W micro</t>
  </si>
  <si>
    <t>RJA-TCOR-0074</t>
  </si>
  <si>
    <t>T/C Ori 100% Redmi 12 80W type c</t>
  </si>
  <si>
    <t>RJA-TCOR-0075</t>
  </si>
  <si>
    <t>T/C Ori 100% Redmi 12 80W micro</t>
  </si>
  <si>
    <t>RJA-TCOR-0076</t>
  </si>
  <si>
    <t>T/C Ori 100% Realmi X7 Pro 120W type c</t>
  </si>
  <si>
    <t>RJA-TCOR-0077</t>
  </si>
  <si>
    <t>T/C Ori 100% Realmi 13 120W type c</t>
  </si>
  <si>
    <t>RJA-TCOR-0078</t>
  </si>
  <si>
    <t>T/C Ori 100% Realmi 10 80W MICRO</t>
  </si>
  <si>
    <t>RJA-TCOR-0079</t>
  </si>
  <si>
    <t>T/C Ori 100% Poco X5 240W TYPE C</t>
  </si>
  <si>
    <t>RJA-TCOR-0080</t>
  </si>
  <si>
    <t>T/C Ori 100% Oppo Reno 8T 5G 120W Type C</t>
  </si>
  <si>
    <t>RJA-TCOR-0081</t>
  </si>
  <si>
    <t>T/C Ori 100% Oppo Reno 8T 5G 120W micro</t>
  </si>
  <si>
    <t>RJA-TCOR-0082</t>
  </si>
  <si>
    <t>T/C Ori 100% Oppo FIND N2 120W type c</t>
  </si>
  <si>
    <t>RJA-TCOR-0083</t>
  </si>
  <si>
    <t>T/C Ori 100% Oppo FIND N2 120W micro</t>
  </si>
  <si>
    <t>RJA-TCOR-0084</t>
  </si>
  <si>
    <t>T/C Ori 100% oppo A97 80w micro</t>
  </si>
  <si>
    <t>RJA-TCOR-0085</t>
  </si>
  <si>
    <t>T/C Ori 100% Oppo A87 5G 120W Full Black TYPE C</t>
  </si>
  <si>
    <t>RJA-TCOR-0086</t>
  </si>
  <si>
    <t>T/C Ori 100% Oppo A87 5G 120W Full Black MICRO</t>
  </si>
  <si>
    <t>RJA-TCOR-0087</t>
  </si>
  <si>
    <t>T/C Ori 100% Oppo A79 5G 120W TYPE C</t>
  </si>
  <si>
    <t>RJA-TCOR-0088</t>
  </si>
  <si>
    <t>T/C Ori 100% Oppo A79 5G 120W MICRO</t>
  </si>
  <si>
    <t>RJA-TCOR-0089</t>
  </si>
  <si>
    <t>T/C Ori 100% Oppo A58 5G 120W TYPEC</t>
  </si>
  <si>
    <t>RJA-TCOR-0090</t>
  </si>
  <si>
    <t>T/C Ori 100% Oppo A58 5G 120W MICRO</t>
  </si>
  <si>
    <t>RJA-TCOR-0091</t>
  </si>
  <si>
    <t>T/C Ori 100% Iphone14 Pro max 2Lubang PD</t>
  </si>
  <si>
    <t>RJA-TCOR-0092</t>
  </si>
  <si>
    <t>T/C Ori 100% iphone12 20W</t>
  </si>
  <si>
    <t>RJA-TCOR-0093</t>
  </si>
  <si>
    <t>T/C Ori 100% Infinix Zero 5G 120W type c</t>
  </si>
  <si>
    <t>RJA-TCOR-0094</t>
  </si>
  <si>
    <t>T/C Ori 100% Infinix Zero 5G 120W micro</t>
  </si>
  <si>
    <t>RJA-TCOR-0095</t>
  </si>
  <si>
    <t>T/C Ori 100% Infinix Zero 30 5G 280W type c</t>
  </si>
  <si>
    <t>RJA-TCOR-0096</t>
  </si>
  <si>
    <t>T/C Ori 100% Infinix Note 12i 120W TYPE C</t>
  </si>
  <si>
    <t>RJA-TCP5-0001</t>
  </si>
  <si>
    <t>T/C P-55 100W Adapter Suit 2in1</t>
  </si>
  <si>
    <t>RJA-TCRI-0001</t>
  </si>
  <si>
    <t>T/C RI 99% Iphone 20W</t>
  </si>
  <si>
    <t>RJA-TEMP-0001</t>
  </si>
  <si>
    <t>TEMPAT WADAH TEMPEL SERBAGUNA</t>
  </si>
  <si>
    <t>RJA-TEMP-0002</t>
  </si>
  <si>
    <t>tempelan gurita hitam</t>
  </si>
  <si>
    <t>RJA-TRAV-0001</t>
  </si>
  <si>
    <t>TRAVEL CHARGER SAMSUNG GALAXY ORI 5W</t>
  </si>
  <si>
    <t>RJA-TRAV-0002</t>
  </si>
  <si>
    <t>TRAVEL CHARGER VIVO 2XUSB 3.1</t>
  </si>
  <si>
    <t>RJA-TRAV-0003</t>
  </si>
  <si>
    <t>TRAVELCHARGER JASPAN JC-001 ORIGINAL</t>
  </si>
  <si>
    <t>RJA-TRAV-0004</t>
  </si>
  <si>
    <t>TRAVEL CHARGER T-06 6.0A</t>
  </si>
  <si>
    <t>RJA-TRAV-0005</t>
  </si>
  <si>
    <t>TRAVEL CHARGER CW 03 2.4 A B MICRO BLACK</t>
  </si>
  <si>
    <t>RJA-TRAV-0006</t>
  </si>
  <si>
    <t>TRAVEL CHARGER CW12 30W C-C BLACK</t>
  </si>
  <si>
    <t>RJA-TRAV-0007</t>
  </si>
  <si>
    <t>TRAVEL CHARGER CW 08 18W WHITE</t>
  </si>
  <si>
    <t>RJA-TRAV-0008</t>
  </si>
  <si>
    <t>TRAVEL CHARGER CW 08 18W BLACK</t>
  </si>
  <si>
    <t>RJA-TRAV-0009</t>
  </si>
  <si>
    <t>TRAVEL CHARGER 11 25 W H A-C BLACK</t>
  </si>
  <si>
    <t>RJA-TRAV-0010</t>
  </si>
  <si>
    <t>TRAVEL CHARGER CW 15 45W B C-C MINT GREEN</t>
  </si>
  <si>
    <t>RJA-TRAV-0011</t>
  </si>
  <si>
    <t>TRAVEL CHARGER CW 15 45W B C-C BLUE</t>
  </si>
  <si>
    <t>RJA-TRAV-0012</t>
  </si>
  <si>
    <t>TRAVEL CHARGER CW 15 45W B C-C SILVER</t>
  </si>
  <si>
    <t>RJA-TRAV-0013</t>
  </si>
  <si>
    <t>TRAVEL CHARGER CW 15 45W B C-C GUN METAL</t>
  </si>
  <si>
    <t>RJA-TRAV-0014</t>
  </si>
  <si>
    <t>TRAVEL CHARGER CW50 A</t>
  </si>
  <si>
    <t>TRAVEL CHAGER</t>
  </si>
  <si>
    <t>RJA-TRAV-0015</t>
  </si>
  <si>
    <t>TRAVEL CHARGER CW20W A</t>
  </si>
  <si>
    <t>RJA-TRAV-0016</t>
  </si>
  <si>
    <t>TRAVEL CHARGER ACOME AC01 18W</t>
  </si>
  <si>
    <t>RJA-TRIP-0001</t>
  </si>
  <si>
    <t>TRIPOD SUPPORT</t>
  </si>
  <si>
    <t>RJA-TRIP-0002</t>
  </si>
  <si>
    <t>Tripod Tongsis Bluetooth T18 ( 1.8meter )</t>
  </si>
  <si>
    <t>RJA-TRIP-0003</t>
  </si>
  <si>
    <t>Tripod Tongsis Bluetooth + Lampu T17 /BD-17</t>
  </si>
  <si>
    <t>RJA-TRIP-0004</t>
  </si>
  <si>
    <t>Tripod 2in1 A1 , 210cm + Pack</t>
  </si>
  <si>
    <t>RJA-TRIP-0005</t>
  </si>
  <si>
    <t>TRIPOD 3366</t>
  </si>
  <si>
    <t>RJA-TRIP-0006</t>
  </si>
  <si>
    <t>Tripod Ringlight cermin G3</t>
  </si>
  <si>
    <t>RJA-TRIP-0007</t>
  </si>
  <si>
    <t>Tripod 3120 + Pack</t>
  </si>
  <si>
    <t>RJA-TRIP-0008</t>
  </si>
  <si>
    <t>Tripod 2,1m NonPack Dus + RingLight RGB 26cm</t>
  </si>
  <si>
    <t>RJA-TRIP-0009</t>
  </si>
  <si>
    <t>Tripod 2,1m NonPack + RingLight 26cm + Mini Ball</t>
  </si>
  <si>
    <t>RJA-TRIP-0010</t>
  </si>
  <si>
    <t>Tripod 2,1m Nb: Tanpa Holder U, Non Pack</t>
  </si>
  <si>
    <t>RJA-TWS1-0001</t>
  </si>
  <si>
    <t>TWS 17S</t>
  </si>
  <si>
    <t>RJA-TWS4-0001</t>
  </si>
  <si>
    <t>TWS-400</t>
  </si>
  <si>
    <t>RJA-TWSA-0001</t>
  </si>
  <si>
    <t>TWS ALIENS POWER BASS</t>
  </si>
  <si>
    <t>RJA-TWSA-0002</t>
  </si>
  <si>
    <t>TWS AIR PODS PRO3</t>
  </si>
  <si>
    <t>RJA-TWSB-0001</t>
  </si>
  <si>
    <t>TWS-B2B</t>
  </si>
  <si>
    <t>RJA-TWSD-0001</t>
  </si>
  <si>
    <t>TWS DWS-100 TTYPE C</t>
  </si>
  <si>
    <t>RJA-TWSG-0001</t>
  </si>
  <si>
    <t>TWS GROTIC MACARON</t>
  </si>
  <si>
    <t>RJA-TWSM-0001</t>
  </si>
  <si>
    <t>TWS M12</t>
  </si>
  <si>
    <t>RJA-TWSO-0001</t>
  </si>
  <si>
    <t>TWS ORAIMO OTW-323</t>
  </si>
  <si>
    <t>RJA-TWSO-0002</t>
  </si>
  <si>
    <t>TWS OLIKE T114 LITE TRUE WIRELESS STREO EARPHONE</t>
  </si>
  <si>
    <t>RJA-TWSO-0003</t>
  </si>
  <si>
    <t>TWS OLIKE T14 LITE TRUE WIRELESS STREO EARPHONE</t>
  </si>
  <si>
    <t>RJA-TWSO-0004</t>
  </si>
  <si>
    <t>TWS OWS-101</t>
  </si>
  <si>
    <t>RJA-TWSP-0001</t>
  </si>
  <si>
    <t>TWS PRO 4</t>
  </si>
  <si>
    <t>RJA-TWSP-0002</t>
  </si>
  <si>
    <t>TWS PRO 3</t>
  </si>
  <si>
    <t>RJA-TWSW-0001</t>
  </si>
  <si>
    <t>TWS WELLCOMM WS-01</t>
  </si>
  <si>
    <t>RJA-TWSW-0002</t>
  </si>
  <si>
    <t>TWS WELLCOMM WS-03</t>
  </si>
  <si>
    <t>RJA-TYPE-0001</t>
  </si>
  <si>
    <t>TYPE C TO AUX</t>
  </si>
  <si>
    <t>RJA-ULTR-0001</t>
  </si>
  <si>
    <t>Ultra Slim Phone Stand RT-BR09 (SKU RJA-ULTR-0238)</t>
  </si>
  <si>
    <t>RJA-ULTR-0002</t>
  </si>
  <si>
    <t>Ultra Slim Phone Stand RT-BR08 (SKU RJA-ULTR-0239)</t>
  </si>
  <si>
    <t>RJA-ULTR-0003</t>
  </si>
  <si>
    <t>Ultra Slim Phone Stand RT-BR09 (SKU RJA-ULTR-0277)</t>
  </si>
  <si>
    <t>RJA-ULTR-0004</t>
  </si>
  <si>
    <t>Ultra Slim Phone Stand RT-BR08 (SKU RJA-ULTR-0278)</t>
  </si>
  <si>
    <t>RJA-USB2-0001</t>
  </si>
  <si>
    <t>USB 2.0 ETHERNET ADAPATER</t>
  </si>
  <si>
    <t>RJA-USBD-0001</t>
  </si>
  <si>
    <t>USB DONGLE 5.0 BLUETOOTH</t>
  </si>
  <si>
    <t>DONGGLE</t>
  </si>
  <si>
    <t>RJA-USBL-0001</t>
  </si>
  <si>
    <t>USB LAMPU</t>
  </si>
  <si>
    <t>RJA-VBOX-0001</t>
  </si>
  <si>
    <t>VBOX MC-29 CONVERTER TYPE C TO AUX</t>
  </si>
  <si>
    <t>RJA-VBOX-0002</t>
  </si>
  <si>
    <t>VBOX SPLINTER MI-113C AUDIO CONVERTER TYPE TO AUX</t>
  </si>
  <si>
    <t>RJA-VCAX-0001</t>
  </si>
  <si>
    <t>VC Axis 3 GB 3 hari</t>
  </si>
  <si>
    <t>RJA-VCAX-0002</t>
  </si>
  <si>
    <t>VC Axis 4 GB 5 hari (SKU RJA-VCAX-1010)</t>
  </si>
  <si>
    <t>RJA-VCAX-0003</t>
  </si>
  <si>
    <t>VC Axis 10 GB 7 hari (SKU RJA-VCAX-1011)</t>
  </si>
  <si>
    <t>RJA-VCAX-0004</t>
  </si>
  <si>
    <t>VC Axis 4 GB 5 hari (SKU RJA-VCAX-1012)</t>
  </si>
  <si>
    <t>RJA-VCAX-0005</t>
  </si>
  <si>
    <t>VC Axis 10 GB 7 hari (SKU RJA-VCAX-1013)</t>
  </si>
  <si>
    <t>RJA-VCIM-0001</t>
  </si>
  <si>
    <t>VC IM3 9 GB 7 HARI</t>
  </si>
  <si>
    <t>RJA-VCIM-0002</t>
  </si>
  <si>
    <t>VC IM3 4GB 5 HARI</t>
  </si>
  <si>
    <t>RJA-VCIM-0003</t>
  </si>
  <si>
    <t>VC IM3 9 GB 5 HARI</t>
  </si>
  <si>
    <t>RJA-VCIS-0001</t>
  </si>
  <si>
    <t>VC Isat 9 Gb 5 hari</t>
  </si>
  <si>
    <t>RJA-VCTH-0001</t>
  </si>
  <si>
    <t>VC Three 3,5 GB 3 hari (SKU RJA-VCTH-1027)</t>
  </si>
  <si>
    <t>RJA-VCTH-0002</t>
  </si>
  <si>
    <t>VC Three 10 GB 7 hari (SKU RJA-VCTH-1028)</t>
  </si>
  <si>
    <t>RJA-VCTH-0003</t>
  </si>
  <si>
    <t>VC Three 3,5 GB 3 hari (SKU RJA-VCTH-1029)</t>
  </si>
  <si>
    <t>RJA-VCTH-0004</t>
  </si>
  <si>
    <t>VC Three 10 GB 7 hari (SKU RJA-VCTH-1030)</t>
  </si>
  <si>
    <t>RJA-VCTS-0001</t>
  </si>
  <si>
    <t>VC T-sel 4 GB 5 hari (SKU RJA-VCT-1022)</t>
  </si>
  <si>
    <t>RJA-VCTS-0002</t>
  </si>
  <si>
    <t>VC T-sel 9 GB 7 hari</t>
  </si>
  <si>
    <t>RJA-VCTS-0003</t>
  </si>
  <si>
    <t>VC T sell 6 Gb 2 hari</t>
  </si>
  <si>
    <t>RJA-VCTS-0004</t>
  </si>
  <si>
    <t>VC T SELL 9 GB7 HARI</t>
  </si>
  <si>
    <t>RJA-VCTS-0005</t>
  </si>
  <si>
    <t>VC T-sel 4 GB 5 hari (SKU RJA-VCT-1026)</t>
  </si>
  <si>
    <t>RJA-VCXL-0001</t>
  </si>
  <si>
    <t>VC XL L 3 HARI (6 Gb)</t>
  </si>
  <si>
    <t>RJA-VCXL-0002</t>
  </si>
  <si>
    <t>VC XL M 7 HARI (8GB)</t>
  </si>
  <si>
    <t>RJA-VCXL-0003</t>
  </si>
  <si>
    <t>VC XL S 4,5 GB 7 HR</t>
  </si>
  <si>
    <t>RJA-VGA1-0001</t>
  </si>
  <si>
    <t>VGA 1.5 M HITAM</t>
  </si>
  <si>
    <t>RJA-VIVA-0001</t>
  </si>
  <si>
    <t>VIVAN AUX01</t>
  </si>
  <si>
    <t>RJA-VIVA-0002</t>
  </si>
  <si>
    <t>VIVAN Microphone VWA-M8C Black</t>
  </si>
  <si>
    <t>RJA-VIVA-0003</t>
  </si>
  <si>
    <t>VIVAN CAR CHARGER VCC11 BLACK</t>
  </si>
  <si>
    <t>RJA-VIVA-0004</t>
  </si>
  <si>
    <t>VIVAN Car Charger CCQ07 Black</t>
  </si>
  <si>
    <t>RJA-VIVA-0005</t>
  </si>
  <si>
    <t>VIVAN Car Charger VCC04 Blue</t>
  </si>
  <si>
    <t>RJA-VIVA-0006</t>
  </si>
  <si>
    <t>VIVAN Car Charger VCC04S Blue</t>
  </si>
  <si>
    <t>RJA-VIVA-0007</t>
  </si>
  <si>
    <t>VIVAN CC02C 3.4A Dual Port Smart IC Quick Charging Car Charger Black</t>
  </si>
  <si>
    <t>RJA-VIVA-0008</t>
  </si>
  <si>
    <t>VIVAN VBT01 Bluetooth Transmitter 5.0</t>
  </si>
  <si>
    <t>RJA-VIVA-0009</t>
  </si>
  <si>
    <t>VIVAN VCC01 2.4A Dual Port Small &amp; Portable Car Charger with 100cm Charging Cable White</t>
  </si>
  <si>
    <t>RJA-VIVA-0010</t>
  </si>
  <si>
    <t>VIVAN Mini Fan VF01 Pink (SKU RJA-VIVA-0127)</t>
  </si>
  <si>
    <t>RJA-VIVA-0011</t>
  </si>
  <si>
    <t>Vivan Flashdisk VF516 16Gb Usb3.0 High Speed Blue</t>
  </si>
  <si>
    <t>RJA-VIVA-0012</t>
  </si>
  <si>
    <t>VIVAN VOM132 32GB Dual Interface Micro &amp; USB-A Metal Body Flashdisk Silver</t>
  </si>
  <si>
    <t>RJA-VIVA-0013</t>
  </si>
  <si>
    <t>VIVAN Q11s In-ear Metal Bass Ergonomic Design Black</t>
  </si>
  <si>
    <t>RJA-VIVA-0014</t>
  </si>
  <si>
    <t>VIVAN Q12 Semi In-Ear Deep Bass Clear Audio Quality</t>
  </si>
  <si>
    <t>RJA-VIVA-0015</t>
  </si>
  <si>
    <t>VIVAN Wired Earphone Q15S</t>
  </si>
  <si>
    <t>RJA-VIVA-0016</t>
  </si>
  <si>
    <t>VIVAN Wired Earphone Q17 Black</t>
  </si>
  <si>
    <t>RJA-VIVA-0017</t>
  </si>
  <si>
    <t>VIVAN Wired Earphone Q18 Black</t>
  </si>
  <si>
    <t>RJA-VIVA-0018</t>
  </si>
  <si>
    <t>VIVAN Wired Earphone Q19 Black</t>
  </si>
  <si>
    <t>RJA-VIVA-0019</t>
  </si>
  <si>
    <t>VIVAN Wired Earphone Q19 WHITE</t>
  </si>
  <si>
    <t>RJA-VIVA-0020</t>
  </si>
  <si>
    <t>VIVAN Wired Headset Q15 Black</t>
  </si>
  <si>
    <t>RJA-VIVA-0021</t>
  </si>
  <si>
    <t>VIVAN Wired Headset Q15S Black</t>
  </si>
  <si>
    <t>RJA-VIVA-0022</t>
  </si>
  <si>
    <t>VIVAN Wired Headset Q15SC HI-FI Audio With Pure Bass Black Type-C Wired Earphone</t>
  </si>
  <si>
    <t>RJA-VIVA-0023</t>
  </si>
  <si>
    <t>VIVAN Wired Headset Q16</t>
  </si>
  <si>
    <t>RJA-VIVA-0024</t>
  </si>
  <si>
    <t>VIVAN Wireless Headset Liberty H100s Black</t>
  </si>
  <si>
    <t>RJA-VIVA-0025</t>
  </si>
  <si>
    <t>VIVAN Car Holder CHS15 Black</t>
  </si>
  <si>
    <t>RJA-VIVA-0026</t>
  </si>
  <si>
    <t>VIVAN Car Holder CHS16 Black</t>
  </si>
  <si>
    <t>RJA-VIVA-0027</t>
  </si>
  <si>
    <t>VIVAN Motorcycle Holder VMH03 Strong Stable PC+Alminium alloy Material</t>
  </si>
  <si>
    <t>RJA-VIVA-0028</t>
  </si>
  <si>
    <t>VIVAN Data Cable VGC100 Blue (SKU RJA-VIVA-0301)</t>
  </si>
  <si>
    <t>RJA-VIVA-0029</t>
  </si>
  <si>
    <t>VIVAN Data Cable VGC100 Blue (SKU RJA-VIVA-0302)</t>
  </si>
  <si>
    <t>RJA-VIVA-0030</t>
  </si>
  <si>
    <t>ViVaN Data Cable VFC100 Dark Blue (SKU RJA-VIVA-0303)</t>
  </si>
  <si>
    <t>RJA-VIVA-0031</t>
  </si>
  <si>
    <t>ViVaN Data Cable VFC100 Dark Blue (SKU RJA-VIVA-0304)</t>
  </si>
  <si>
    <t>RJA-VIVA-0032</t>
  </si>
  <si>
    <t>VIVAN Data Cable VFL100 Dark Blue (SKU RJA-VIVA-0305)</t>
  </si>
  <si>
    <t>RJA-VIVA-0033</t>
  </si>
  <si>
    <t>VIVAN Data Cable VFL100 Dark Blue (SKU RJA-VIVA-0306)</t>
  </si>
  <si>
    <t>RJA-VIVA-0034</t>
  </si>
  <si>
    <t>VIVAN BUS Toples Data Cable,VBUSC,20PCS,type C,3A,1m.More durable, More stylish.</t>
  </si>
  <si>
    <t>RJA-VIVA-0035</t>
  </si>
  <si>
    <t>VIVAN BUS Toples Data Cable,VBUSCC,20PCS,C TO C,3A,60W,1m.More durable, More stylish.</t>
  </si>
  <si>
    <t>RJA-VIVA-0036</t>
  </si>
  <si>
    <t>VIVAN BUS Toples Data Cable,VBUSL,20PCS,Lightning,2.4A,1m.More durable, More stylish.</t>
  </si>
  <si>
    <t>RJA-VIVA-0037</t>
  </si>
  <si>
    <t>VIVAN BUS Toples Data Cable,VBUSM,20PCS,Micro,2.4A,1m.More durable, More stylish.</t>
  </si>
  <si>
    <t>RJA-VIVA-0038</t>
  </si>
  <si>
    <t>Vivan BWC100S 3A 100cm Type-C Double-Sided with Colorful Light Effect Elbow Data Cable Gray</t>
  </si>
  <si>
    <t>RJA-VIVA-0039</t>
  </si>
  <si>
    <t>Vivan BWL100S 2.4A 100cm Lightning Double-Sided with Colorful Light Effect Elbow Data Cable Green</t>
  </si>
  <si>
    <t>RJA-VIVA-0040</t>
  </si>
  <si>
    <t>Vivan BWM100S 2.4A 100cm Micro Double-Sided with Colorful Light Effect Elbow Data Cable Blue (SKU RJA-VIVA-0313)</t>
  </si>
  <si>
    <t>RJA-VIVA-0041</t>
  </si>
  <si>
    <t>Vivan BWM100S 2.4A 100cm Micro Double-Sided with Colorful Light Effect Elbow Data Cable Blue (SKU RJA-VIVA-0314)</t>
  </si>
  <si>
    <t>RJA-VIVA-0042</t>
  </si>
  <si>
    <t>VIVAN CABLE DATA VDUCL100 27W</t>
  </si>
  <si>
    <t>RJA-VIVA-0043</t>
  </si>
  <si>
    <t>VIVAN Data Cable BTK-CS Blue</t>
  </si>
  <si>
    <t>RJA-VIVA-0044</t>
  </si>
  <si>
    <t>VIVAN Data Cable BTK-LS Green</t>
  </si>
  <si>
    <t>RJA-VIVA-0045</t>
  </si>
  <si>
    <t>VIVAN Data Cable CBC100 II Type-C 2.4A 100CM Colorful</t>
  </si>
  <si>
    <t>RJA-VIVA-0046</t>
  </si>
  <si>
    <t>VIVAN DATA CABLE CHARGING CABLE SC100S</t>
  </si>
  <si>
    <t>RJA-VIVA-0047</t>
  </si>
  <si>
    <t>VIVAN DATA CABLE CHARGING CABLE SM100S</t>
  </si>
  <si>
    <t>RJA-VIVA-0048</t>
  </si>
  <si>
    <t>VIVAN Data Cable CSL100 B New Colorful colorful</t>
  </si>
  <si>
    <t>RJA-VIVA-0049</t>
  </si>
  <si>
    <t>VIVAN Data Cable CTCC100S colorful</t>
  </si>
  <si>
    <t>RJA-VIVA-0050</t>
  </si>
  <si>
    <t>VIVAN Data Cable CTL100S Color</t>
  </si>
  <si>
    <t>RJA-VIVA-0051</t>
  </si>
  <si>
    <t>VIVAN Data Cable Explore-AC Black</t>
  </si>
  <si>
    <t>RJA-VIVA-0052</t>
  </si>
  <si>
    <t>VIVAN Data Cable Explore-AL Black</t>
  </si>
  <si>
    <t>RJA-VIVA-0053</t>
  </si>
  <si>
    <t>VIVAN Data Cable Explore-CC Black (SKU RJA-VIVA-0404)</t>
  </si>
  <si>
    <t>RJA-VIVA-0054</t>
  </si>
  <si>
    <t>VIVAN Data Cable Explore-CC Black (SKU RJA-VIVA-0415)</t>
  </si>
  <si>
    <t>RJA-VIVA-0055</t>
  </si>
  <si>
    <t>VIVAN Data Cable Explore-CL Black</t>
  </si>
  <si>
    <t>RJA-VIVA-0056</t>
  </si>
  <si>
    <t>VIVAN DATA CABLE FL100 SPRING</t>
  </si>
  <si>
    <t>RJA-VIVA-0057</t>
  </si>
  <si>
    <t>VIVAN Data Cable KAL100 White</t>
  </si>
  <si>
    <t>RJA-VIVA-0058</t>
  </si>
  <si>
    <t>VIVAN DATA CABLE MAGNETIC MGL100</t>
  </si>
  <si>
    <t>RJA-VIVA-0059</t>
  </si>
  <si>
    <t>VIVAN Data Cable SC200 II White (SKU RJA-VIVA-0429)</t>
  </si>
  <si>
    <t>RJA-VIVA-0060</t>
  </si>
  <si>
    <t>VIVAN Data Cable SC200 II White (SKU RJA-VIVA-0430)</t>
  </si>
  <si>
    <t>RJA-VIVA-0061</t>
  </si>
  <si>
    <t>VIVAN Data Cable SL30 II White</t>
  </si>
  <si>
    <t>RJA-VIVA-0062</t>
  </si>
  <si>
    <t>VIVAN Data Cable VAC01 Black</t>
  </si>
  <si>
    <t>RJA-VIVA-0063</t>
  </si>
  <si>
    <t>VIVAN Data Cable VAL01 Lightning TO Lihtning+DC 3.5 F Dark Gray</t>
  </si>
  <si>
    <t>RJA-VIVA-0064</t>
  </si>
  <si>
    <t>Vivan Data Cable VCC100 Black (SKU RJA-VIVA-0441)</t>
  </si>
  <si>
    <t>RJA-VIVA-0065</t>
  </si>
  <si>
    <t>Vivan Data Cable VCC100 Black (SKU RJA-VIVA-0442)</t>
  </si>
  <si>
    <t>RJA-VIVA-0066</t>
  </si>
  <si>
    <t>VIVAN Data Cable VDCC120 Black</t>
  </si>
  <si>
    <t>RJA-VIVA-0067</t>
  </si>
  <si>
    <t>VIVAN Data Cable VDCL120 Black</t>
  </si>
  <si>
    <t>RJA-VIVA-0068</t>
  </si>
  <si>
    <t>VIVAN Data Cable VEC100 Purple</t>
  </si>
  <si>
    <t>RJA-VIVA-0069</t>
  </si>
  <si>
    <t>VIVAN Data Cable VECC100 Orange</t>
  </si>
  <si>
    <t>RJA-VIVA-0070</t>
  </si>
  <si>
    <t>Vivan Data Cable VIC100 Black (SKU RJA-VIVA-0459)</t>
  </si>
  <si>
    <t>RJA-VIVA-0071</t>
  </si>
  <si>
    <t>Vivan Data Cable VIC100 Black (SKU RJA-VIVA-0461)</t>
  </si>
  <si>
    <t>RJA-VIVA-0072</t>
  </si>
  <si>
    <t>VIVAN Data Cable VICL100S Gray</t>
  </si>
  <si>
    <t>RJA-VIVA-0073</t>
  </si>
  <si>
    <t>Vivan Data Cable VIL100 Black (SKU RJA-VIVA-0463)</t>
  </si>
  <si>
    <t>RJA-VIVA-0074</t>
  </si>
  <si>
    <t>Vivan Data Cable VIL100 Black (SKU RJA-VIVA-0464)</t>
  </si>
  <si>
    <t>RJA-VIVA-0075</t>
  </si>
  <si>
    <t>VIVAN Data Cable VKF-CL100,Fish line braid C To Lightnig 27W 3A,1m,</t>
  </si>
  <si>
    <t>RJA-VIVA-0076</t>
  </si>
  <si>
    <t>VIVAN Data Cable VRS01 White</t>
  </si>
  <si>
    <t>RJA-VIVA-0077</t>
  </si>
  <si>
    <t>VIVAN Data Cable VRS02 Blue</t>
  </si>
  <si>
    <t>RJA-VIVA-0078</t>
  </si>
  <si>
    <t>VIVAN Data Cable VRS02 Purple (SKU RJA-VIVA-0470)</t>
  </si>
  <si>
    <t>RJA-VIVA-0079</t>
  </si>
  <si>
    <t>VIVAN Data Cable VRS02 Purple (SKU RJA-VIVA-0471)</t>
  </si>
  <si>
    <t>RJA-VIVA-0080</t>
  </si>
  <si>
    <t>VIVAN Data Cable VSCC120S Blue</t>
  </si>
  <si>
    <t>RJA-VIVA-0081</t>
  </si>
  <si>
    <t>VIVAN Data Cable VSCL120S Blue</t>
  </si>
  <si>
    <t>RJA-VIVA-0082</t>
  </si>
  <si>
    <t>VIVAN Data Cable VXC100S Blue</t>
  </si>
  <si>
    <t>RJA-VIVA-0083</t>
  </si>
  <si>
    <t>VIVAN Data Cable VXL100S Green</t>
  </si>
  <si>
    <t>RJA-VIVA-0084</t>
  </si>
  <si>
    <t>VIVAN Data Cable VXM100S Silver</t>
  </si>
  <si>
    <t>RJA-VIVA-0085</t>
  </si>
  <si>
    <t>VIVAN Data Cable VYF120 White</t>
  </si>
  <si>
    <t>RJA-VIVA-0086</t>
  </si>
  <si>
    <t>VIVAN Data Cable VZC100S Green</t>
  </si>
  <si>
    <t>RJA-VIVA-0087</t>
  </si>
  <si>
    <t>VIVAN Data Cable VZCC100 Grey (SKU RJA-VIVA-0479)</t>
  </si>
  <si>
    <t>RJA-VIVA-0088</t>
  </si>
  <si>
    <t>VIVAN Data Cable VZCC100 Grey (SKU RJA-VIVA-0480)</t>
  </si>
  <si>
    <t>RJA-VIVA-0089</t>
  </si>
  <si>
    <t>VIVAN Data Cable VZCL100 Grey</t>
  </si>
  <si>
    <t>RJA-VIVA-0090</t>
  </si>
  <si>
    <t>VIVAN Data Cable VZL100S Blue</t>
  </si>
  <si>
    <t>RJA-VIVA-0091</t>
  </si>
  <si>
    <t>VIVAN durable data cable VDUCC100</t>
  </si>
  <si>
    <t>RJA-VIVA-0092</t>
  </si>
  <si>
    <t>VIVAN DURABLE DATA CABLE VDUCC200</t>
  </si>
  <si>
    <t>RJA-VIVA-0093</t>
  </si>
  <si>
    <t>VIVAN Durable Data Cable,PD3.0,100W,VDU100W,C to C 20V/5A,1m.</t>
  </si>
  <si>
    <t>RJA-VIVA-0094</t>
  </si>
  <si>
    <t>VIVAN KABEL DATA VGCL120 27W</t>
  </si>
  <si>
    <t>RJA-VIVA-0095</t>
  </si>
  <si>
    <t>VIVAN KABEL DATA VSM100</t>
  </si>
  <si>
    <t>RJA-VIVA-0096</t>
  </si>
  <si>
    <t>VIVAN KABEL DATA VTHAC100 15 W</t>
  </si>
  <si>
    <t>RJA-VIVA-0097</t>
  </si>
  <si>
    <t>VIVAN KABEL DATA VTHCC100</t>
  </si>
  <si>
    <t>RJA-VIVA-0098</t>
  </si>
  <si>
    <t>VIVAN SC30S Data Cable White</t>
  </si>
  <si>
    <t>RJA-VIVA-0099</t>
  </si>
  <si>
    <t>VIVAN SL200S 2A 200cm Apple Quick Charge SR</t>
  </si>
  <si>
    <t>RJA-VIVA-0100</t>
  </si>
  <si>
    <t>VIVAN SM30S Data Cable White</t>
  </si>
  <si>
    <t>RJA-VIVA-0101</t>
  </si>
  <si>
    <t>VIVAN Spiral protection data cable,3A,60W,stainless steel spiral ,VSPCC100,C TO C,1m, Black</t>
  </si>
  <si>
    <t>RJA-VIVA-0102</t>
  </si>
  <si>
    <t>VIVAN ultra-thin Aluminum housing data cable (SKU RJA-VIVA-0522)</t>
  </si>
  <si>
    <t>RJA-VIVA-0103</t>
  </si>
  <si>
    <t>VIVAN ultra-thin Aluminum housing data cable (SKU RJA-VIVA-0523)</t>
  </si>
  <si>
    <t>RJA-VIVA-0104</t>
  </si>
  <si>
    <t>VIVAN VARCC100 No knot,Soft to the touch,Durable Data Cable, C to C, 3A,60W,100cm,black (SKU RJA-VIVA-0524)</t>
  </si>
  <si>
    <t>RJA-VIVA-0105</t>
  </si>
  <si>
    <t>VIVAN VARCC100 No knot,Soft to the touch,Durable Data Cable, C to C, 3A,60W,100cm,black (SKU RJA-VIVA-0525)</t>
  </si>
  <si>
    <t>RJA-VIVA-0106</t>
  </si>
  <si>
    <t>VIVAN VARCL100 ,No knot,Soft to the touch,Durable Data Cable, C to Lightning 3A,27W,100cm White</t>
  </si>
  <si>
    <t>RJA-VIVA-0107</t>
  </si>
  <si>
    <t>Vivan VDC100 Data Cable Black</t>
  </si>
  <si>
    <t>RJA-VIVA-0108</t>
  </si>
  <si>
    <t>Vivan VDM100 Data Cable BLUE</t>
  </si>
  <si>
    <t>RJA-VIVA-0109</t>
  </si>
  <si>
    <t>VIVAN VDUAC200 durable data cable ,20000 times bending, A TO C,200cm,3A,15W</t>
  </si>
  <si>
    <t>RJA-VIVA-0110</t>
  </si>
  <si>
    <t>VIVAN VFC100 6A Type-C 100cm Data Cable Dark Blue</t>
  </si>
  <si>
    <t>RJA-VIVA-0111</t>
  </si>
  <si>
    <t>VIVAN VFCC120 60W Type-C To Type- C 120cm Data Cable Dark Blue</t>
  </si>
  <si>
    <t>RJA-VIVA-0112</t>
  </si>
  <si>
    <t>VIVAN VORCC100, iPhone15/16 kabel data kerajinan asli, tahan terhadap tekukan 10,000 kali</t>
  </si>
  <si>
    <t>RJA-VIVA-0113</t>
  </si>
  <si>
    <t>Vivan VQC100 Type-C 6.5A Flash Charging 100cm Data Cable White (SKU RJA-VIVA-0533)</t>
  </si>
  <si>
    <t>RJA-VIVA-0114</t>
  </si>
  <si>
    <t>Vivan VQC100 Type-C 6.5A Flash Charging 100cm Data Cable White (SKU RJA-VIVA-0534)</t>
  </si>
  <si>
    <t>RJA-VIVA-0115</t>
  </si>
  <si>
    <t>Vivan VSC100 3A Type-C Silicone Full SR Coverage Quick Charge Data Cable White</t>
  </si>
  <si>
    <t>RJA-VIVA-0116</t>
  </si>
  <si>
    <t>VIVAN VYT120 3 In1 Flash Charging Data Cable Black</t>
  </si>
  <si>
    <t>RJA-VIVA-0117</t>
  </si>
  <si>
    <t>VIVAN Mini Fan VF01 Pink (SKU RJA-VIVA-0545)</t>
  </si>
  <si>
    <t>RJA-VIVA-0118</t>
  </si>
  <si>
    <t>Vivan V64U10 64GB Class 10 Micro SD TF Card Black + Red</t>
  </si>
  <si>
    <t>RJA-VIVA-0119</t>
  </si>
  <si>
    <t>VIVAN VS32 32GB 90MB/S USB3.0 Waterproof High Speed TF Card (SD Card) Black</t>
  </si>
  <si>
    <t>RJA-VIVA-0120</t>
  </si>
  <si>
    <t>Vivan OTG Flashdisk VOC232 USB3.1 Sliver 32G</t>
  </si>
  <si>
    <t>RJA-VIVA-0121</t>
  </si>
  <si>
    <t>VIVAN Dual-wire Powerbank VPB-E10S 10000mAh 22.5W White</t>
  </si>
  <si>
    <t>RJA-VIVA-0122</t>
  </si>
  <si>
    <t>VIVAN Power Bank 20000mAh Power Bank VPB-W20 Blue</t>
  </si>
  <si>
    <t>RJA-VIVA-0144</t>
  </si>
  <si>
    <t>VIVAN Front Films VSP01T Basic2 1pcs Crystal Clear</t>
  </si>
  <si>
    <t>RJA-VIVA-0145</t>
  </si>
  <si>
    <t>VIVAN Front Films VSP01X Basic-1pcs Crystal Clear 1pcs</t>
  </si>
  <si>
    <t>RJA-VIVA-0146</t>
  </si>
  <si>
    <t>VIVAN Front Films VSP03T Pro 1pcs Anti-glare</t>
  </si>
  <si>
    <t>RJA-VIVA-0147</t>
  </si>
  <si>
    <t>VIVAN VSP04T Basic Privacy&amp;Anti-glare Front Film For Phone</t>
  </si>
  <si>
    <t>RJA-VIVA-0148</t>
  </si>
  <si>
    <t>VIVAN VSP03X BASIC2 Anti-glare Front Film For Phone</t>
  </si>
  <si>
    <t>RJA-VIVA-0149</t>
  </si>
  <si>
    <t>VIVAN VSP01T Basic Crystal Clear Front Film For Phone</t>
  </si>
  <si>
    <t>RJA-VIVA-0150</t>
  </si>
  <si>
    <t>VIVAN VSP03T Pro Anti-glare Front Film For Phone</t>
  </si>
  <si>
    <t>RJA-VIVA-0151</t>
  </si>
  <si>
    <t>VIVAN Charger Power C20C White</t>
  </si>
  <si>
    <t>RJA-VIVA-0152</t>
  </si>
  <si>
    <t>VIVAN Charger Power 30 White</t>
  </si>
  <si>
    <t>RJA-VIVA-0153</t>
  </si>
  <si>
    <t>VIVAN Charger Power C20C Black (SKU RJA-VIVA-0723)</t>
  </si>
  <si>
    <t>RJA-VIVA-0154</t>
  </si>
  <si>
    <t>VIVAN Charger Power C20C Black (SKU RJA-VIVA-0724)</t>
  </si>
  <si>
    <t>RJA-VIVA-0155</t>
  </si>
  <si>
    <t>VIVAN Charger Power C20L Black</t>
  </si>
  <si>
    <t>RJA-VIVA-0156</t>
  </si>
  <si>
    <t>VIVAN Charger Power ice 20 Blue</t>
  </si>
  <si>
    <t>RJA-VIVA-0157</t>
  </si>
  <si>
    <t>VIVAN Charger Power Nano 20 Green</t>
  </si>
  <si>
    <t>RJA-VIVA-0158</t>
  </si>
  <si>
    <t>VIVAN Charger Power Nano 20 Purple</t>
  </si>
  <si>
    <t>RJA-VIVA-0159</t>
  </si>
  <si>
    <t>VIVAN Charger Power oval 2S Black</t>
  </si>
  <si>
    <t>RJA-VIVA-0160</t>
  </si>
  <si>
    <t>VIVAN Charger Power Oval 3C Black</t>
  </si>
  <si>
    <t>RJA-VIVA-0161</t>
  </si>
  <si>
    <t>VIVAN Charger Power Oval 3L Black</t>
  </si>
  <si>
    <t>RJA-VIVA-0162</t>
  </si>
  <si>
    <t>VIVAN Charger Power Super 3 Black</t>
  </si>
  <si>
    <t>RJA-VIVA-0163</t>
  </si>
  <si>
    <t>VIVAN GAN CHARGER POWER C65 BLACK 65 W USB -A+2 USB C</t>
  </si>
  <si>
    <t>RJA-VIVA-0164</t>
  </si>
  <si>
    <t>VIVAN Power 20 Charger</t>
  </si>
  <si>
    <t>RJA-VIVA-0165</t>
  </si>
  <si>
    <t>VIVAN Power 35 Charger</t>
  </si>
  <si>
    <t>RJA-VIVA-0166</t>
  </si>
  <si>
    <t>VIVAN Power ice 30 charger Blue</t>
  </si>
  <si>
    <t>RJA-VIVA-0167</t>
  </si>
  <si>
    <t>VIVAN Power Oval 3.0 II 18W with a Quick Charging Cable</t>
  </si>
  <si>
    <t>RJA-VIVA-0168</t>
  </si>
  <si>
    <t>VIVAN Power Turbo 18 Charger White</t>
  </si>
  <si>
    <t>RJA-VIVA-0169</t>
  </si>
  <si>
    <t>VIVAN Smart Phone Charger Power 20T Blue</t>
  </si>
  <si>
    <t>RJA-VIVA-0170</t>
  </si>
  <si>
    <t>VIVAN Smart Phone Charger Power C18C Black</t>
  </si>
  <si>
    <t>RJA-VIVA-0171</t>
  </si>
  <si>
    <t>VIVAN Smart Phone Charger Power C20 White</t>
  </si>
  <si>
    <t>RJA-VIVA-0172</t>
  </si>
  <si>
    <t>VIVAN Smart Phone Charger Power C20SL Black</t>
  </si>
  <si>
    <t>RJA-VIVA-0173</t>
  </si>
  <si>
    <t>VIVAN Smart Phone Charger Power C20SL White</t>
  </si>
  <si>
    <t>RJA-VIVA-0174</t>
  </si>
  <si>
    <t>VIVAN Smart Phone Charger Power C30C Black</t>
  </si>
  <si>
    <t>RJA-VIVA-0175</t>
  </si>
  <si>
    <t>VIVAN Smart Phone Charger Power C30SL Black</t>
  </si>
  <si>
    <t>RJA-VIVA-0176</t>
  </si>
  <si>
    <t>VIVAN Smart Phone Charger Power C30SL Grey</t>
  </si>
  <si>
    <t>RJA-VIVA-0177</t>
  </si>
  <si>
    <t>VIVAN Smart Phone Charger Power C30SL White</t>
  </si>
  <si>
    <t>RJA-VIVA-0178</t>
  </si>
  <si>
    <t>VIVAN Smart Phone Charger Power X20 White</t>
  </si>
  <si>
    <t>RJA-VIVA-0179</t>
  </si>
  <si>
    <t>VIVAN Smart Phone Charger Power X20S White</t>
  </si>
  <si>
    <t>RJA-VIVA-0180</t>
  </si>
  <si>
    <t>VIVAN ENC TWS Infinity GT2s,Powerful Bass,Superior Comfort</t>
  </si>
  <si>
    <t>RJA-VIVA-0181</t>
  </si>
  <si>
    <t>VIVAN ENC TWS Liberty T100E, 42H playtime with Display POWERFUL BASS</t>
  </si>
  <si>
    <t>RJA-VIVA-0182</t>
  </si>
  <si>
    <t>VIVAN SPORT S OWS BLUETOOTH SPORT EARBUDS ULTRA COMFORT</t>
  </si>
  <si>
    <t>RJA-VIVA-0183</t>
  </si>
  <si>
    <t>VIVAN True Wireless Stereo Airbuds Infinity GT7 Black</t>
  </si>
  <si>
    <t>RJA-VIVA-0184</t>
  </si>
  <si>
    <t>VIVAN True Wireless Stereo Airbuds Space Mini Black</t>
  </si>
  <si>
    <t>RJA-VIVA-0185</t>
  </si>
  <si>
    <t>VIVAN True Wireless Stereo Airbuds Space Mini Blue</t>
  </si>
  <si>
    <t>RJA-VIVA-0186</t>
  </si>
  <si>
    <t>VIVAN True Wireless Stereo Airbuds Space Mini White</t>
  </si>
  <si>
    <t>RJA-VIVA-0187</t>
  </si>
  <si>
    <t>VIVAN TWS Infinity GT2 Midnight Blue</t>
  </si>
  <si>
    <t>RJA-VIVA-0188</t>
  </si>
  <si>
    <t>VIVAN TWS Infinity GT6 Black</t>
  </si>
  <si>
    <t>RJA-VIVA-0189</t>
  </si>
  <si>
    <t>VIVAN TWS Infinity GT6 Green</t>
  </si>
  <si>
    <t>RJA-VIVA-0190</t>
  </si>
  <si>
    <t>VIVAN TWS Infinity GT6 White</t>
  </si>
  <si>
    <t>RJA-VIVA-0191</t>
  </si>
  <si>
    <t>VIVAN TWS Liberty T330 Dual ENC TWS Black</t>
  </si>
  <si>
    <t>RJA-VIVA-0192</t>
  </si>
  <si>
    <t>VIVAN TWS Liberty T330 Dual ENC TWS Creamy-white</t>
  </si>
  <si>
    <t>RJA-VIVA-0193</t>
  </si>
  <si>
    <t>VIVAN TWS Life 100 Black</t>
  </si>
  <si>
    <t>RJA-VIVA-0194</t>
  </si>
  <si>
    <t>VIVAN TWS Life 110 Midnight Blue</t>
  </si>
  <si>
    <t>RJA-VIVA-0195</t>
  </si>
  <si>
    <t>VIVAN TWS Life 110 White</t>
  </si>
  <si>
    <t>RJA-VIVA-0196</t>
  </si>
  <si>
    <t>VIVAN TWS Life P1 Black</t>
  </si>
  <si>
    <t>RJA-VIVA-0197</t>
  </si>
  <si>
    <t>VIVAN TWS Life P1 White</t>
  </si>
  <si>
    <t>RJA-VIVA-0198</t>
  </si>
  <si>
    <t>VIVAN TWS Space T2 Black</t>
  </si>
  <si>
    <t>RJA-VIVA-0199</t>
  </si>
  <si>
    <t>VIVAN TWS Space T2 White</t>
  </si>
  <si>
    <t>RJA-VIVA-0200</t>
  </si>
  <si>
    <t>VIVAN Wireless Earphone Liberty T220 White</t>
  </si>
  <si>
    <t>RJA-VIVA-0201</t>
  </si>
  <si>
    <t>VIVAN POWER DISPLAY DATA CABLE A TO C 100W VKD-AC100</t>
  </si>
  <si>
    <t>RJA-NO B- 1191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</si>
</sst>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Rp&quot;\ #,##0"/>
    <numFmt numFmtId="165" formatCode="dd&quot; &quot;mmmm&quot; &quot;yyyy"/>
    <numFmt numFmtId="166" formatCode="[$Rp]#,##0"/>
    <numFmt numFmtId="167" formatCode="&quot;Rp&quot;#,##0"/>
    <numFmt numFmtId="168" formatCode="dddd&quot;, &quot;dd&quot; &quot;mmmm&quot; &quot;yyyy"/>
    <numFmt numFmtId="169" formatCode="_-* #,##0_-;\-* #,##0_-;_-* &quot;-&quot;_-;_-@"/>
    <numFmt numFmtId="170" formatCode="dd mmmm yyyy"/>
    <numFmt numFmtId="171" formatCode="yyyy-mm-dd"/>
    <numFmt numFmtId="172" formatCode="_(* #,##0_);_(* \(#,##0\);_(* &quot;-&quot;_);_(@_)"/>
    <numFmt numFmtId="173" formatCode="0.0%"/>
  </numFmts>
  <fonts count="47">
    <font>
      <sz val="11.0"/>
      <color theme="1"/>
      <name val="Arial"/>
      <scheme val="minor"/>
    </font>
    <font>
      <color theme="1"/>
      <name val="Poppins"/>
    </font>
    <font>
      <b/>
      <sz val="24.0"/>
      <color rgb="FF425D90"/>
      <name val="Montserrat"/>
    </font>
    <font>
      <b/>
      <sz val="11.0"/>
      <color rgb="FFFFFFFF"/>
      <name val="Poppins"/>
    </font>
    <font>
      <b/>
      <sz val="11.0"/>
      <color rgb="FF1A1B20"/>
      <name val="Poppins"/>
    </font>
    <font>
      <sz val="12.0"/>
      <color rgb="FF1A1B20"/>
      <name val="Poppins"/>
    </font>
    <font>
      <sz val="11.0"/>
      <color rgb="FF000000"/>
      <name val="Poppins"/>
    </font>
    <font>
      <b/>
      <sz val="11.0"/>
      <color theme="1"/>
      <name val="Poppins"/>
    </font>
    <font>
      <sz val="11.0"/>
      <color theme="1"/>
      <name val="Poppins"/>
    </font>
    <font>
      <sz val="12.0"/>
      <color theme="1"/>
      <name val="Poppins"/>
    </font>
    <font>
      <i/>
      <sz val="9.0"/>
      <color rgb="FF999999"/>
      <name val="Poppins"/>
    </font>
    <font/>
    <font>
      <i/>
      <sz val="9.0"/>
      <color rgb="FF666666"/>
      <name val="Poppins"/>
    </font>
    <font>
      <b/>
      <sz val="11.0"/>
      <color rgb="FFFFFFFF"/>
      <name val="Arial"/>
      <scheme val="minor"/>
    </font>
    <font>
      <sz val="11.0"/>
      <color rgb="FFFF0000"/>
      <name val="Poppins"/>
    </font>
    <font>
      <color theme="1"/>
      <name val="Arial"/>
      <scheme val="minor"/>
    </font>
    <font>
      <b/>
      <sz val="16.0"/>
      <color rgb="FF465D92"/>
      <name val="Montserrat"/>
    </font>
    <font>
      <b/>
      <sz val="10.0"/>
      <color rgb="FFFFFFFF"/>
      <name val="Poppins"/>
    </font>
    <font>
      <sz val="10.0"/>
      <color rgb="FF1A1B1F"/>
      <name val="Poppins"/>
    </font>
    <font>
      <sz val="10.0"/>
      <color theme="1"/>
      <name val="Poppins"/>
    </font>
    <font>
      <color rgb="FF434343"/>
      <name val="Poppins"/>
    </font>
    <font>
      <sz val="11.0"/>
      <color rgb="FF1A1B20"/>
      <name val="Poppins"/>
    </font>
    <font>
      <color rgb="FF1A1B20"/>
      <name val="Poppins"/>
    </font>
    <font>
      <color rgb="FF3D3D3D"/>
      <name val="Poppins"/>
    </font>
    <font>
      <sz val="10.0"/>
      <color rgb="FF38761D"/>
      <name val="Poppins"/>
    </font>
    <font>
      <b/>
      <sz val="10.0"/>
      <color rgb="FF1A1B1F"/>
      <name val="Poppins"/>
    </font>
    <font>
      <sz val="11.0"/>
      <color rgb="FF434343"/>
      <name val="Poppins"/>
    </font>
    <font>
      <color rgb="FF0A53A8"/>
      <name val="Poppins"/>
    </font>
    <font>
      <color rgb="FFB10202"/>
      <name val="Poppins"/>
    </font>
    <font>
      <color rgb="FF215A6C"/>
      <name val="Poppins"/>
    </font>
    <font>
      <b/>
      <sz val="10.0"/>
      <color rgb="FF999999"/>
      <name val="Poppins"/>
    </font>
    <font>
      <b/>
      <color rgb="FFB45F06"/>
      <name val="Poppins"/>
    </font>
    <font>
      <b/>
      <sz val="11.0"/>
      <color rgb="FF000000"/>
      <name val="Poppins"/>
    </font>
    <font>
      <b/>
      <sz val="10.0"/>
      <color rgb="FFB45F06"/>
      <name val="Poppins"/>
    </font>
    <font>
      <sz val="10.0"/>
      <color rgb="FF1A1B20"/>
      <name val="Poppins"/>
    </font>
    <font>
      <sz val="10.0"/>
      <color rgb="FF434343"/>
      <name val="Poppins"/>
    </font>
    <font>
      <b/>
      <sz val="10.0"/>
      <color theme="1"/>
      <name val="Poppins"/>
    </font>
    <font>
      <b/>
      <color theme="1"/>
      <name val="Poppins"/>
    </font>
    <font>
      <sz val="10.0"/>
      <color rgb="FF181C1F"/>
      <name val="Poppins"/>
    </font>
    <font>
      <sz val="11.0"/>
      <color theme="1"/>
      <name val="Calibri"/>
    </font>
    <font>
      <b/>
      <color theme="1"/>
      <name val="Arial"/>
      <scheme val="minor"/>
    </font>
    <font>
      <color rgb="FF2B4678"/>
      <name val="Arial"/>
      <scheme val="minor"/>
    </font>
    <font>
      <color rgb="FF573D5B"/>
      <name val="Arial"/>
      <scheme val="minor"/>
    </font>
    <font>
      <color rgb="FF3E4658"/>
      <name val="Arial"/>
      <scheme val="minor"/>
    </font>
    <font>
      <color rgb="FF102E5F"/>
      <name val="Arial"/>
      <scheme val="minor"/>
    </font>
    <font>
      <color rgb="FF402843"/>
      <name val="Arial"/>
      <scheme val="minor"/>
    </font>
    <font>
      <sz val="11.0"/>
      <color theme="5"/>
      <name val="Poppins"/>
    </font>
  </fonts>
  <fills count="33">
    <fill>
      <patternFill patternType="none"/>
    </fill>
    <fill>
      <patternFill patternType="lightGray"/>
    </fill>
    <fill>
      <patternFill patternType="solid">
        <fgColor rgb="FF465D92"/>
        <bgColor rgb="FF465D92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  <fill>
      <patternFill patternType="solid">
        <fgColor rgb="FFF9F8FF"/>
        <bgColor rgb="FFF9F8FF"/>
      </patternFill>
    </fill>
    <fill>
      <patternFill patternType="solid">
        <fgColor rgb="FFE9ECF2"/>
        <bgColor rgb="FFE9EC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DECF4"/>
        <bgColor rgb="FFEDECF4"/>
      </patternFill>
    </fill>
    <fill>
      <patternFill patternType="solid">
        <fgColor rgb="FF425D90"/>
        <bgColor rgb="FF425D90"/>
      </patternFill>
    </fill>
    <fill>
      <patternFill patternType="solid">
        <fgColor rgb="FFD0E0E3"/>
        <bgColor rgb="FFD0E0E3"/>
      </patternFill>
    </fill>
    <fill>
      <patternFill patternType="solid">
        <fgColor rgb="FFF9F9FF"/>
        <bgColor rgb="FFF9F9FF"/>
      </patternFill>
    </fill>
    <fill>
      <patternFill patternType="solid">
        <fgColor rgb="FFE6E6E6"/>
        <bgColor rgb="FFE6E6E6"/>
      </patternFill>
    </fill>
    <fill>
      <patternFill patternType="solid">
        <fgColor rgb="FFCFE2F3"/>
        <bgColor rgb="FFCFE2F3"/>
      </patternFill>
    </fill>
    <fill>
      <patternFill patternType="solid">
        <fgColor rgb="FFBFE1F6"/>
        <bgColor rgb="FFBFE1F6"/>
      </patternFill>
    </fill>
    <fill>
      <patternFill patternType="solid">
        <fgColor rgb="FFFFCFC9"/>
        <bgColor rgb="FFFFCFC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6DBE1"/>
        <bgColor rgb="FFC6DBE1"/>
      </patternFill>
    </fill>
    <fill>
      <patternFill patternType="solid">
        <fgColor rgb="FFA4C2F4"/>
        <bgColor rgb="FFA4C2F4"/>
      </patternFill>
    </fill>
    <fill>
      <patternFill patternType="solid">
        <fgColor rgb="FF2F618B"/>
        <bgColor rgb="FF2F618B"/>
      </patternFill>
    </fill>
    <fill>
      <patternFill patternType="solid">
        <fgColor rgb="FFD4E3F7"/>
        <bgColor rgb="FFD4E3F7"/>
      </patternFill>
    </fill>
    <fill>
      <patternFill patternType="solid">
        <fgColor rgb="FFFF0000"/>
        <bgColor rgb="FFFF0000"/>
      </patternFill>
    </fill>
    <fill>
      <patternFill patternType="solid">
        <fgColor rgb="FF475D91"/>
        <bgColor rgb="FF475D91"/>
      </patternFill>
    </fill>
    <fill>
      <patternFill patternType="solid">
        <fgColor rgb="FFD7E1FF"/>
        <bgColor rgb="FFD7E1FF"/>
      </patternFill>
    </fill>
    <fill>
      <patternFill patternType="solid">
        <fgColor rgb="FFFAD6FB"/>
        <bgColor rgb="FFFAD6FB"/>
      </patternFill>
    </fill>
    <fill>
      <patternFill patternType="solid">
        <fgColor rgb="FFDBE1F8"/>
        <bgColor rgb="FFDBE1F8"/>
      </patternFill>
    </fill>
    <fill>
      <patternFill patternType="solid">
        <fgColor rgb="FF91ABE2"/>
        <bgColor rgb="FF91ABE2"/>
      </patternFill>
    </fill>
    <fill>
      <patternFill patternType="solid">
        <fgColor rgb="FFC2A0C3"/>
        <bgColor rgb="FFC2A0C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9">
    <border/>
    <border>
      <bottom style="thin">
        <color rgb="FFD9E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3777E"/>
      </left>
      <right style="thin">
        <color rgb="FF73777E"/>
      </right>
      <top style="thin">
        <color rgb="FF73777E"/>
      </top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3777E"/>
      </left>
      <right style="thin">
        <color rgb="FF73777E"/>
      </right>
      <bottom style="thin">
        <color rgb="FF73777E"/>
      </bottom>
    </border>
    <border>
      <left style="thin">
        <color rgb="FF405E9B"/>
      </left>
      <top style="thin">
        <color rgb="FF405E9B"/>
      </top>
    </border>
    <border>
      <top style="thin">
        <color rgb="FF405E9B"/>
      </top>
    </border>
    <border>
      <right style="thin">
        <color rgb="FF405E9B"/>
      </right>
      <top style="thin">
        <color rgb="FF405E9B"/>
      </top>
    </border>
    <border>
      <left style="thin">
        <color rgb="FF405E9B"/>
      </left>
    </border>
    <border>
      <right style="thin">
        <color rgb="FF405E9B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2F618B"/>
      </left>
      <top style="thin">
        <color rgb="FF2F618B"/>
      </top>
      <bottom style="thin">
        <color rgb="FF2F618B"/>
      </bottom>
    </border>
    <border>
      <right style="thin">
        <color rgb="FF2F618B"/>
      </right>
      <top style="thin">
        <color rgb="FF2F618B"/>
      </top>
      <bottom style="thin">
        <color rgb="FF2F618B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49" xfId="0" applyAlignment="1" applyBorder="1" applyFill="1" applyFont="1" applyNumberFormat="1">
      <alignment horizontal="center" vertical="center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ill="1" applyFont="1" applyNumberFormat="1">
      <alignment horizontal="center" vertical="center"/>
    </xf>
    <xf borderId="3" fillId="4" fontId="5" numFmtId="0" xfId="0" applyAlignment="1" applyBorder="1" applyFill="1" applyFont="1">
      <alignment horizontal="center" readingOrder="0" shrinkToFit="0" vertical="center" wrapText="1"/>
    </xf>
    <xf borderId="4" fillId="4" fontId="5" numFmtId="165" xfId="0" applyAlignment="1" applyBorder="1" applyFill="1" applyFont="1" applyNumberForma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vertical="center"/>
    </xf>
    <xf borderId="2" fillId="6" fontId="7" numFmtId="0" xfId="0" applyAlignment="1" applyBorder="1" applyFill="1" applyFont="1">
      <alignment horizontal="center" readingOrder="0" vertical="center"/>
    </xf>
    <xf borderId="2" fillId="5" fontId="8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readingOrder="0" shrinkToFit="0" vertical="center" wrapText="1"/>
    </xf>
    <xf borderId="2" fillId="4" fontId="8" numFmtId="166" xfId="0" applyAlignment="1" applyBorder="1" applyFill="1" applyFont="1" applyNumberFormat="1">
      <alignment horizontal="center" readingOrder="0" vertical="center"/>
    </xf>
    <xf borderId="2" fillId="5" fontId="8" numFmtId="0" xfId="0" applyAlignment="1" applyBorder="1" applyFill="1" applyFont="1">
      <alignment horizontal="left" vertical="center"/>
    </xf>
    <xf borderId="5" fillId="6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5" fontId="8" numFmtId="167" xfId="0" applyAlignment="1" applyBorder="1" applyFill="1" applyFont="1" applyNumberFormat="1">
      <alignment horizontal="center" vertical="center"/>
    </xf>
    <xf borderId="2" fillId="0" fontId="9" numFmtId="167" xfId="0" applyAlignment="1" applyBorder="1" applyFont="1" applyNumberFormat="1">
      <alignment horizontal="center" readingOrder="0" shrinkToFit="0" vertical="center" wrapText="1"/>
    </xf>
    <xf borderId="4" fillId="4" fontId="5" numFmtId="167" xfId="0" applyAlignment="1" applyBorder="1" applyFill="1" applyFont="1" applyNumberFormat="1">
      <alignment horizontal="center" readingOrder="0" shrinkToFit="0" vertical="center" wrapText="1"/>
    </xf>
    <xf borderId="2" fillId="5" fontId="6" numFmtId="167" xfId="0" applyAlignment="1" applyBorder="1" applyFill="1" applyFont="1" applyNumberFormat="1">
      <alignment horizontal="center" vertical="center"/>
    </xf>
    <xf borderId="5" fillId="6" fontId="4" numFmtId="0" xfId="0" applyAlignment="1" applyBorder="1" applyFill="1" applyFont="1">
      <alignment horizontal="center" readingOrder="0" shrinkToFit="0" vertical="center" wrapText="1"/>
    </xf>
    <xf borderId="2" fillId="4" fontId="5" numFmtId="167" xfId="0" applyAlignment="1" applyBorder="1" applyFill="1" applyFont="1" applyNumberForma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3" fillId="4" fontId="5" numFmtId="167" xfId="0" applyAlignment="1" applyBorder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2" fillId="4" fontId="5" numFmtId="166" xfId="0" applyAlignment="1" applyBorder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right" readingOrder="0" vertical="center"/>
    </xf>
    <xf borderId="6" fillId="0" fontId="11" numFmtId="0" xfId="0" applyBorder="1" applyFont="1"/>
    <xf borderId="7" fillId="4" fontId="12" numFmtId="167" xfId="0" applyAlignment="1" applyBorder="1" applyFill="1" applyFont="1" applyNumberForma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readingOrder="0" vertical="center"/>
    </xf>
    <xf borderId="1" fillId="7" fontId="13" numFmtId="0" xfId="0" applyAlignment="1" applyBorder="1" applyFill="1" applyFont="1">
      <alignment horizontal="center" readingOrder="0" shrinkToFit="0" vertical="center" wrapText="0"/>
    </xf>
    <xf borderId="9" fillId="4" fontId="5" numFmtId="167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8" numFmtId="0" xfId="0" applyFont="1"/>
    <xf borderId="1" fillId="7" fontId="13" numFmtId="49" xfId="0" applyAlignment="1" applyBorder="1" applyFill="1" applyFont="1" applyNumberFormat="1">
      <alignment horizontal="center" readingOrder="0" shrinkToFit="0" vertical="center" wrapText="0"/>
    </xf>
    <xf borderId="4" fillId="4" fontId="5" numFmtId="166" xfId="0" applyAlignment="1" applyBorder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/>
    </xf>
    <xf borderId="1" fillId="7" fontId="13" numFmtId="164" xfId="0" applyAlignment="1" applyBorder="1" applyFill="1" applyFont="1" applyNumberFormat="1">
      <alignment horizontal="center" readingOrder="0" shrinkToFit="0" vertical="center" wrapText="0"/>
    </xf>
    <xf borderId="2" fillId="8" fontId="6" numFmtId="0" xfId="0" applyAlignment="1" applyBorder="1" applyFill="1" applyFont="1">
      <alignment horizontal="center" shrinkToFit="0" vertical="center" wrapText="0"/>
    </xf>
    <xf borderId="2" fillId="8" fontId="6" numFmtId="0" xfId="0" applyAlignment="1" applyBorder="1" applyFill="1" applyFont="1">
      <alignment horizontal="center" shrinkToFit="0" vertical="center" wrapText="0"/>
    </xf>
    <xf borderId="2" fillId="8" fontId="6" numFmtId="0" xfId="0" applyAlignment="1" applyBorder="1" applyFill="1" applyFont="1">
      <alignment horizontal="left" readingOrder="0" shrinkToFit="0" vertical="center" wrapText="0"/>
    </xf>
    <xf borderId="2" fillId="8" fontId="6" numFmtId="0" xfId="0" applyAlignment="1" applyBorder="1" applyFill="1" applyFont="1">
      <alignment horizontal="center" readingOrder="0" shrinkToFit="0" vertical="center" wrapText="1"/>
    </xf>
    <xf borderId="2" fillId="5" fontId="6" numFmtId="9" xfId="0" applyAlignment="1" applyBorder="1" applyFill="1" applyFont="1" applyNumberFormat="1">
      <alignment horizontal="center" vertical="center"/>
    </xf>
    <xf borderId="2" fillId="4" fontId="6" numFmtId="0" xfId="0" applyAlignment="1" applyBorder="1" applyFill="1" applyFont="1">
      <alignment horizontal="center" vertical="center"/>
    </xf>
    <xf borderId="2" fillId="4" fontId="8" numFmtId="0" xfId="0" applyAlignment="1" applyBorder="1" applyFill="1" applyFont="1">
      <alignment horizontal="center" vertical="center"/>
    </xf>
    <xf borderId="2" fillId="8" fontId="6" numFmtId="0" xfId="0" applyAlignment="1" applyBorder="1" applyFill="1" applyFont="1">
      <alignment horizontal="center" readingOrder="0" shrinkToFit="0" vertical="center" wrapText="0"/>
    </xf>
    <xf borderId="2" fillId="4" fontId="8" numFmtId="0" xfId="0" applyAlignment="1" applyBorder="1" applyFill="1" applyFont="1">
      <alignment horizontal="left" vertical="center"/>
    </xf>
    <xf borderId="2" fillId="8" fontId="6" numFmtId="167" xfId="0" applyAlignment="1" applyBorder="1" applyFill="1" applyFont="1" applyNumberFormat="1">
      <alignment horizontal="center" shrinkToFit="0" vertical="center" wrapText="0"/>
    </xf>
    <xf borderId="2" fillId="4" fontId="8" numFmtId="167" xfId="0" applyAlignment="1" applyBorder="1" applyFill="1" applyFont="1" applyNumberFormat="1">
      <alignment horizontal="center" vertical="center"/>
    </xf>
    <xf borderId="2" fillId="4" fontId="6" numFmtId="167" xfId="0" applyAlignment="1" applyBorder="1" applyFill="1" applyFont="1" applyNumberFormat="1">
      <alignment horizontal="center" vertical="center"/>
    </xf>
    <xf borderId="2" fillId="4" fontId="6" numFmtId="9" xfId="0" applyAlignment="1" applyBorder="1" applyFill="1" applyFont="1" applyNumberFormat="1">
      <alignment horizontal="center" vertical="center"/>
    </xf>
    <xf borderId="2" fillId="8" fontId="6" numFmtId="9" xfId="0" applyAlignment="1" applyBorder="1" applyFill="1" applyFont="1" applyNumberForma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167" xfId="0" applyAlignment="1" applyBorder="1" applyFont="1" applyNumberFormat="1">
      <alignment horizontal="center" shrinkToFit="0" vertical="center" wrapText="0"/>
    </xf>
    <xf borderId="2" fillId="0" fontId="6" numFmtId="9" xfId="0" applyAlignment="1" applyBorder="1" applyFont="1" applyNumberFormat="1">
      <alignment horizontal="center" shrinkToFit="0" vertical="center" wrapText="0"/>
    </xf>
    <xf borderId="2" fillId="9" fontId="6" numFmtId="0" xfId="0" applyAlignment="1" applyBorder="1" applyFill="1" applyFont="1">
      <alignment horizontal="left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14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2" fillId="0" fontId="6" numFmtId="167" xfId="0" applyAlignment="1" applyBorder="1" applyFont="1" applyNumberFormat="1">
      <alignment horizontal="center" readingOrder="0" shrinkToFit="0" vertical="center" wrapText="0"/>
    </xf>
    <xf borderId="2" fillId="0" fontId="6" numFmtId="10" xfId="0" applyAlignment="1" applyBorder="1" applyFont="1" applyNumberFormat="1">
      <alignment horizontal="center" readingOrder="0" shrinkToFit="0" vertical="center" wrapText="0"/>
    </xf>
    <xf borderId="2" fillId="0" fontId="6" numFmtId="0" xfId="0" applyAlignment="1" applyBorder="1" applyFont="1">
      <alignment horizontal="center" shrinkToFit="0" vertical="center" wrapText="1"/>
    </xf>
    <xf borderId="0" fillId="10" fontId="15" numFmtId="0" xfId="0" applyFill="1" applyFont="1"/>
    <xf borderId="0" fillId="10" fontId="16" numFmtId="0" xfId="0" applyAlignment="1" applyFill="1" applyFont="1">
      <alignment horizontal="center" readingOrder="0" vertical="center"/>
    </xf>
    <xf borderId="0" fillId="10" fontId="1" numFmtId="0" xfId="0" applyFill="1" applyFont="1"/>
    <xf borderId="2" fillId="11" fontId="17" numFmtId="49" xfId="0" applyAlignment="1" applyBorder="1" applyFill="1" applyFont="1" applyNumberFormat="1">
      <alignment horizontal="center" readingOrder="0" shrinkToFit="0" vertical="center" wrapText="0"/>
    </xf>
    <xf borderId="10" fillId="2" fontId="3" numFmtId="0" xfId="0" applyAlignment="1" applyBorder="1" applyFill="1" applyFont="1">
      <alignment horizontal="center" readingOrder="0" vertical="center"/>
    </xf>
    <xf borderId="2" fillId="0" fontId="7" numFmtId="49" xfId="0" applyAlignment="1" applyBorder="1" applyFont="1" applyNumberFormat="1">
      <alignment horizontal="left" readingOrder="0" shrinkToFit="0" vertical="center" wrapText="0"/>
    </xf>
    <xf borderId="11" fillId="2" fontId="3" numFmtId="0" xfId="0" applyAlignment="1" applyBorder="1" applyFill="1" applyFont="1">
      <alignment horizontal="center" readingOrder="0" vertical="center"/>
    </xf>
    <xf borderId="2" fillId="0" fontId="3" numFmtId="49" xfId="0" applyAlignment="1" applyBorder="1" applyFont="1" applyNumberFormat="1">
      <alignment horizontal="center" readingOrder="0" shrinkToFit="0" vertical="center" wrapText="0"/>
    </xf>
    <xf borderId="12" fillId="2" fontId="3" numFmtId="0" xfId="0" applyAlignment="1" applyBorder="1" applyFill="1" applyFont="1">
      <alignment horizontal="center" readingOrder="0" vertical="center"/>
    </xf>
    <xf borderId="2" fillId="0" fontId="17" numFmtId="49" xfId="0" applyAlignment="1" applyBorder="1" applyFont="1" applyNumberFormat="1">
      <alignment horizontal="center" readingOrder="0" shrinkToFit="0" vertical="center" wrapText="0"/>
    </xf>
    <xf borderId="13" fillId="12" fontId="18" numFmtId="0" xfId="0" applyAlignment="1" applyBorder="1" applyFill="1" applyFont="1">
      <alignment horizontal="center" readingOrder="0" vertical="center"/>
    </xf>
    <xf borderId="2" fillId="0" fontId="17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horizontal="center"/>
    </xf>
    <xf borderId="2" fillId="13" fontId="20" numFmtId="168" xfId="0" applyAlignment="1" applyBorder="1" applyFill="1" applyFont="1" applyNumberFormat="1">
      <alignment horizontal="center" readingOrder="0" shrinkToFit="0" vertical="center" wrapText="0"/>
    </xf>
    <xf borderId="2" fillId="13" fontId="6" numFmtId="0" xfId="0" applyAlignment="1" applyBorder="1" applyFill="1" applyFont="1">
      <alignment horizontal="left" readingOrder="0" shrinkToFit="0" vertical="center" wrapText="0"/>
    </xf>
    <xf borderId="2" fillId="13" fontId="21" numFmtId="0" xfId="0" applyAlignment="1" applyBorder="1" applyFill="1" applyFont="1">
      <alignment readingOrder="0" shrinkToFit="0" vertical="center" wrapText="0"/>
    </xf>
    <xf borderId="2" fillId="13" fontId="22" numFmtId="0" xfId="0" applyAlignment="1" applyBorder="1" applyFill="1" applyFont="1">
      <alignment horizontal="center" readingOrder="0" shrinkToFit="0" vertical="center" wrapText="0"/>
    </xf>
    <xf borderId="2" fillId="13" fontId="22" numFmtId="169" xfId="0" applyAlignment="1" applyBorder="1" applyFill="1" applyFont="1" applyNumberFormat="1">
      <alignment horizontal="center" readingOrder="0" shrinkToFit="0" vertical="center" wrapText="0"/>
    </xf>
    <xf borderId="2" fillId="13" fontId="8" numFmtId="0" xfId="0" applyAlignment="1" applyBorder="1" applyFill="1" applyFont="1">
      <alignment horizontal="center" readingOrder="0" shrinkToFit="0" vertical="center" wrapText="0"/>
    </xf>
    <xf borderId="2" fillId="13" fontId="22" numFmtId="166" xfId="0" applyAlignment="1" applyBorder="1" applyFill="1" applyFont="1" applyNumberFormat="1">
      <alignment horizontal="center" readingOrder="0" shrinkToFit="0" vertical="center" wrapText="0"/>
    </xf>
    <xf borderId="2" fillId="14" fontId="23" numFmtId="0" xfId="0" applyAlignment="1" applyBorder="1" applyFill="1" applyFont="1">
      <alignment readingOrder="0" shrinkToFit="0" vertical="center" wrapText="0"/>
    </xf>
    <xf borderId="2" fillId="13" fontId="20" numFmtId="0" xfId="0" applyAlignment="1" applyBorder="1" applyFill="1" applyFont="1">
      <alignment readingOrder="0" shrinkToFit="0" vertical="center" wrapText="0"/>
    </xf>
    <xf borderId="2" fillId="13" fontId="24" numFmtId="0" xfId="0" applyAlignment="1" applyBorder="1" applyFill="1" applyFont="1">
      <alignment readingOrder="0" shrinkToFit="0" vertical="center" wrapText="0"/>
    </xf>
    <xf borderId="0" fillId="0" fontId="19" numFmtId="0" xfId="0" applyFont="1"/>
    <xf borderId="0" fillId="12" fontId="18" numFmtId="166" xfId="0" applyAlignment="1" applyFill="1" applyFont="1" applyNumberFormat="1">
      <alignment horizontal="center" readingOrder="0" vertical="center"/>
    </xf>
    <xf borderId="2" fillId="4" fontId="20" numFmtId="168" xfId="0" applyAlignment="1" applyBorder="1" applyFill="1" applyFont="1" applyNumberFormat="1">
      <alignment horizontal="center" readingOrder="0" shrinkToFit="0" vertical="center" wrapText="0"/>
    </xf>
    <xf borderId="2" fillId="4" fontId="6" numFmtId="0" xfId="0" applyAlignment="1" applyBorder="1" applyFill="1" applyFont="1">
      <alignment horizontal="left" readingOrder="0" shrinkToFit="0" vertical="center" wrapText="0"/>
    </xf>
    <xf borderId="2" fillId="4" fontId="21" numFmtId="0" xfId="0" applyAlignment="1" applyBorder="1" applyFill="1" applyFont="1">
      <alignment readingOrder="0" shrinkToFit="0" vertical="center" wrapText="0"/>
    </xf>
    <xf borderId="2" fillId="4" fontId="22" numFmtId="0" xfId="0" applyAlignment="1" applyBorder="1" applyFill="1" applyFont="1">
      <alignment horizontal="center" readingOrder="0" shrinkToFit="0" vertical="center" wrapText="0"/>
    </xf>
    <xf borderId="2" fillId="4" fontId="22" numFmtId="169" xfId="0" applyAlignment="1" applyBorder="1" applyFill="1" applyFont="1" applyNumberFormat="1">
      <alignment horizontal="center" readingOrder="0" shrinkToFit="0" vertical="center" wrapText="0"/>
    </xf>
    <xf borderId="2" fillId="4" fontId="8" numFmtId="0" xfId="0" applyAlignment="1" applyBorder="1" applyFill="1" applyFont="1">
      <alignment horizontal="center" readingOrder="0" shrinkToFit="0" vertical="center" wrapText="0"/>
    </xf>
    <xf borderId="2" fillId="4" fontId="22" numFmtId="166" xfId="0" applyAlignment="1" applyBorder="1" applyFill="1" applyFont="1" applyNumberFormat="1">
      <alignment horizontal="center" readingOrder="0" shrinkToFit="0" vertical="center" wrapText="0"/>
    </xf>
    <xf borderId="2" fillId="4" fontId="20" numFmtId="0" xfId="0" applyAlignment="1" applyBorder="1" applyFill="1" applyFont="1">
      <alignment readingOrder="0" shrinkToFit="0" vertical="center" wrapText="0"/>
    </xf>
    <xf borderId="2" fillId="4" fontId="24" numFmtId="0" xfId="0" applyAlignment="1" applyBorder="1" applyFill="1" applyFont="1">
      <alignment readingOrder="0" shrinkToFit="0" vertical="center" wrapText="0"/>
    </xf>
    <xf borderId="14" fillId="12" fontId="25" numFmtId="166" xfId="0" applyAlignment="1" applyBorder="1" applyFill="1" applyFont="1" applyNumberFormat="1">
      <alignment horizontal="center" vertical="center"/>
    </xf>
    <xf borderId="0" fillId="10" fontId="15" numFmtId="0" xfId="0" applyAlignment="1" applyFill="1" applyFont="1">
      <alignment readingOrder="0"/>
    </xf>
    <xf borderId="2" fillId="13" fontId="26" numFmtId="0" xfId="0" applyAlignment="1" applyBorder="1" applyFill="1" applyFont="1">
      <alignment readingOrder="0" shrinkToFit="0" vertical="center" wrapText="0"/>
    </xf>
    <xf borderId="13" fillId="15" fontId="18" numFmtId="0" xfId="0" applyAlignment="1" applyBorder="1" applyFill="1" applyFont="1">
      <alignment horizontal="center" readingOrder="0" vertical="center"/>
    </xf>
    <xf borderId="2" fillId="4" fontId="8" numFmtId="0" xfId="0" applyAlignment="1" applyBorder="1" applyFill="1" applyFont="1">
      <alignment horizontal="center" readingOrder="0" shrinkToFit="0" vertical="center" wrapText="0"/>
    </xf>
    <xf borderId="2" fillId="4" fontId="22" numFmtId="0" xfId="0" applyAlignment="1" applyBorder="1" applyFill="1" applyFont="1">
      <alignment horizontal="center" readingOrder="0" shrinkToFit="0" vertical="center" wrapText="0"/>
    </xf>
    <xf borderId="2" fillId="16" fontId="27" numFmtId="0" xfId="0" applyAlignment="1" applyBorder="1" applyFill="1" applyFont="1">
      <alignment readingOrder="0" shrinkToFit="0" vertical="center" wrapText="0"/>
    </xf>
    <xf borderId="0" fillId="15" fontId="18" numFmtId="166" xfId="0" applyAlignment="1" applyFill="1" applyFont="1" applyNumberFormat="1">
      <alignment horizontal="center" readingOrder="0" vertical="center"/>
    </xf>
    <xf borderId="2" fillId="13" fontId="8" numFmtId="0" xfId="0" applyAlignment="1" applyBorder="1" applyFill="1" applyFont="1">
      <alignment horizontal="center" readingOrder="0" shrinkToFit="0" vertical="center" wrapText="0"/>
    </xf>
    <xf borderId="2" fillId="13" fontId="22" numFmtId="0" xfId="0" applyAlignment="1" applyBorder="1" applyFill="1" applyFont="1">
      <alignment horizontal="center" readingOrder="0" shrinkToFit="0" vertical="center" wrapText="0"/>
    </xf>
    <xf borderId="2" fillId="17" fontId="28" numFmtId="0" xfId="0" applyAlignment="1" applyBorder="1" applyFill="1" applyFont="1">
      <alignment readingOrder="0" shrinkToFit="0" vertical="center" wrapText="0"/>
    </xf>
    <xf borderId="14" fillId="15" fontId="25" numFmtId="166" xfId="0" applyAlignment="1" applyBorder="1" applyFill="1" applyFont="1" applyNumberFormat="1">
      <alignment horizontal="center" vertical="center"/>
    </xf>
    <xf borderId="13" fillId="18" fontId="18" numFmtId="0" xfId="0" applyAlignment="1" applyBorder="1" applyFill="1" applyFont="1">
      <alignment horizontal="center" readingOrder="0" vertical="center"/>
    </xf>
    <xf borderId="0" fillId="18" fontId="18" numFmtId="166" xfId="0" applyAlignment="1" applyFill="1" applyFont="1" applyNumberFormat="1">
      <alignment horizontal="center" readingOrder="0" vertical="center"/>
    </xf>
    <xf borderId="14" fillId="18" fontId="25" numFmtId="166" xfId="0" applyAlignment="1" applyBorder="1" applyFill="1" applyFont="1" applyNumberFormat="1">
      <alignment horizontal="center" vertical="center"/>
    </xf>
    <xf borderId="13" fillId="8" fontId="18" numFmtId="0" xfId="0" applyAlignment="1" applyBorder="1" applyFill="1" applyFont="1">
      <alignment horizontal="center" readingOrder="0" vertical="center"/>
    </xf>
    <xf borderId="0" fillId="8" fontId="18" numFmtId="166" xfId="0" applyAlignment="1" applyFill="1" applyFont="1" applyNumberFormat="1">
      <alignment horizontal="center" readingOrder="0" vertical="center"/>
    </xf>
    <xf borderId="0" fillId="8" fontId="18" numFmtId="166" xfId="0" applyAlignment="1" applyFill="1" applyFont="1" applyNumberFormat="1">
      <alignment horizontal="center" vertical="center"/>
    </xf>
    <xf borderId="14" fillId="8" fontId="25" numFmtId="166" xfId="0" applyAlignment="1" applyBorder="1" applyFill="1" applyFont="1" applyNumberFormat="1">
      <alignment horizontal="center" vertical="center"/>
    </xf>
    <xf borderId="13" fillId="19" fontId="18" numFmtId="0" xfId="0" applyAlignment="1" applyBorder="1" applyFill="1" applyFont="1">
      <alignment horizontal="center" readingOrder="0" vertical="center"/>
    </xf>
    <xf borderId="2" fillId="20" fontId="29" numFmtId="0" xfId="0" applyAlignment="1" applyBorder="1" applyFill="1" applyFont="1">
      <alignment readingOrder="0" shrinkToFit="0" vertical="center" wrapText="0"/>
    </xf>
    <xf borderId="0" fillId="19" fontId="18" numFmtId="166" xfId="0" applyAlignment="1" applyFill="1" applyFont="1" applyNumberFormat="1">
      <alignment horizontal="center" readingOrder="0" vertical="center"/>
    </xf>
    <xf borderId="0" fillId="19" fontId="18" numFmtId="166" xfId="0" applyAlignment="1" applyFill="1" applyFont="1" applyNumberFormat="1">
      <alignment horizontal="center" vertical="center"/>
    </xf>
    <xf borderId="2" fillId="13" fontId="8" numFmtId="0" xfId="0" applyAlignment="1" applyBorder="1" applyFill="1" applyFont="1">
      <alignment readingOrder="0" shrinkToFit="0" vertical="center" wrapText="0"/>
    </xf>
    <xf borderId="14" fillId="19" fontId="25" numFmtId="166" xfId="0" applyAlignment="1" applyBorder="1" applyFill="1" applyFont="1" applyNumberFormat="1">
      <alignment horizontal="center" vertical="center"/>
    </xf>
    <xf borderId="15" fillId="21" fontId="18" numFmtId="0" xfId="0" applyAlignment="1" applyBorder="1" applyFill="1" applyFont="1">
      <alignment horizontal="center" readingOrder="0" vertical="center"/>
    </xf>
    <xf borderId="16" fillId="21" fontId="18" numFmtId="166" xfId="0" applyAlignment="1" applyBorder="1" applyFill="1" applyFont="1" applyNumberFormat="1">
      <alignment horizontal="center" readingOrder="0" vertical="center"/>
    </xf>
    <xf borderId="16" fillId="21" fontId="18" numFmtId="166" xfId="0" applyAlignment="1" applyBorder="1" applyFill="1" applyFont="1" applyNumberFormat="1">
      <alignment horizontal="center" vertical="center"/>
    </xf>
    <xf borderId="7" fillId="21" fontId="25" numFmtId="166" xfId="0" applyAlignment="1" applyBorder="1" applyFill="1" applyFont="1" applyNumberFormat="1">
      <alignment horizontal="center" vertical="center"/>
    </xf>
    <xf borderId="0" fillId="10" fontId="15" numFmtId="166" xfId="0" applyFill="1" applyFont="1" applyNumberFormat="1"/>
    <xf borderId="17" fillId="22" fontId="3" numFmtId="0" xfId="0" applyAlignment="1" applyBorder="1" applyFill="1" applyFont="1">
      <alignment horizontal="center" readingOrder="0" vertical="center"/>
    </xf>
    <xf borderId="18" fillId="0" fontId="11" numFmtId="0" xfId="0" applyBorder="1" applyFont="1"/>
    <xf borderId="17" fillId="23" fontId="30" numFmtId="170" xfId="0" applyAlignment="1" applyBorder="1" applyFill="1" applyFont="1" applyNumberFormat="1">
      <alignment horizontal="center" readingOrder="0" vertical="center"/>
    </xf>
    <xf borderId="2" fillId="4" fontId="8" numFmtId="0" xfId="0" applyAlignment="1" applyBorder="1" applyFill="1" applyFont="1">
      <alignment readingOrder="0" shrinkToFit="0" vertical="center" wrapText="0"/>
    </xf>
    <xf borderId="2" fillId="4" fontId="26" numFmtId="0" xfId="0" applyAlignment="1" applyBorder="1" applyFill="1" applyFont="1">
      <alignment readingOrder="0" shrinkToFit="0" vertical="center" wrapText="0"/>
    </xf>
    <xf borderId="2" fillId="4" fontId="31" numFmtId="168" xfId="0" applyAlignment="1" applyBorder="1" applyFill="1" applyFont="1" applyNumberFormat="1">
      <alignment horizontal="center" shrinkToFit="0" vertical="center" wrapText="0"/>
    </xf>
    <xf borderId="2" fillId="4" fontId="32" numFmtId="0" xfId="0" applyAlignment="1" applyBorder="1" applyFill="1" applyFont="1">
      <alignment horizontal="left" shrinkToFit="0" vertical="center" wrapText="0"/>
    </xf>
    <xf borderId="2" fillId="4" fontId="6" numFmtId="0" xfId="0" applyAlignment="1" applyBorder="1" applyFill="1" applyFont="1">
      <alignment horizontal="center" readingOrder="0" shrinkToFit="0" vertical="center" wrapText="0"/>
    </xf>
    <xf borderId="2" fillId="4" fontId="31" numFmtId="0" xfId="0" applyAlignment="1" applyBorder="1" applyFill="1" applyFont="1">
      <alignment horizontal="center" shrinkToFit="0" vertical="center" wrapText="0"/>
    </xf>
    <xf borderId="2" fillId="4" fontId="31" numFmtId="169" xfId="0" applyAlignment="1" applyBorder="1" applyFill="1" applyFont="1" applyNumberFormat="1">
      <alignment horizontal="center" shrinkToFit="0" vertical="center" wrapText="0"/>
    </xf>
    <xf borderId="2" fillId="4" fontId="31" numFmtId="0" xfId="0" applyAlignment="1" applyBorder="1" applyFill="1" applyFont="1">
      <alignment horizontal="center" shrinkToFit="0" vertical="center" wrapText="0"/>
    </xf>
    <xf borderId="2" fillId="4" fontId="31" numFmtId="166" xfId="0" applyAlignment="1" applyBorder="1" applyFill="1" applyFont="1" applyNumberFormat="1">
      <alignment horizontal="center" shrinkToFit="0" vertical="center" wrapText="0"/>
    </xf>
    <xf borderId="2" fillId="4" fontId="31" numFmtId="0" xfId="0" applyAlignment="1" applyBorder="1" applyFill="1" applyFont="1">
      <alignment horizontal="center" shrinkToFit="0" vertical="center" wrapText="0"/>
    </xf>
    <xf borderId="2" fillId="4" fontId="33" numFmtId="0" xfId="0" applyAlignment="1" applyBorder="1" applyFill="1" applyFont="1">
      <alignment readingOrder="0" shrinkToFit="0" vertical="center" wrapText="0"/>
    </xf>
    <xf borderId="2" fillId="4" fontId="19" numFmtId="168" xfId="0" applyAlignment="1" applyBorder="1" applyFill="1" applyFont="1" applyNumberFormat="1">
      <alignment horizontal="center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2" fillId="0" fontId="21" numFmtId="0" xfId="0" applyAlignment="1" applyBorder="1" applyFont="1">
      <alignment readingOrder="0" shrinkToFit="0" vertical="center" wrapText="0"/>
    </xf>
    <xf borderId="2" fillId="0" fontId="34" numFmtId="0" xfId="0" applyAlignment="1" applyBorder="1" applyFont="1">
      <alignment horizontal="center" readingOrder="0" shrinkToFit="0" vertical="center" wrapText="0"/>
    </xf>
    <xf borderId="2" fillId="0" fontId="34" numFmtId="169" xfId="0" applyAlignment="1" applyBorder="1" applyFont="1" applyNumberFormat="1">
      <alignment horizontal="center" readingOrder="0" shrinkToFit="0" vertical="center" wrapText="0"/>
    </xf>
    <xf borderId="2" fillId="0" fontId="34" numFmtId="0" xfId="0" applyAlignment="1" applyBorder="1" applyFont="1">
      <alignment horizontal="center" readingOrder="0" shrinkToFit="0" vertical="center" wrapText="0"/>
    </xf>
    <xf borderId="2" fillId="0" fontId="34" numFmtId="166" xfId="0" applyAlignment="1" applyBorder="1" applyFont="1" applyNumberFormat="1">
      <alignment horizontal="center" readingOrder="0" shrinkToFit="0" vertical="center" wrapText="0"/>
    </xf>
    <xf borderId="2" fillId="0" fontId="34" numFmtId="0" xfId="0" applyAlignment="1" applyBorder="1" applyFont="1">
      <alignment readingOrder="0" shrinkToFit="0" vertical="center" wrapText="0"/>
    </xf>
    <xf borderId="2" fillId="0" fontId="35" numFmtId="0" xfId="0" applyAlignment="1" applyBorder="1" applyFont="1">
      <alignment readingOrder="0" shrinkToFit="0" vertical="center" wrapText="0"/>
    </xf>
    <xf borderId="2" fillId="0" fontId="24" numFmtId="0" xfId="0" applyAlignment="1" applyBorder="1" applyFont="1">
      <alignment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1"/>
    </xf>
    <xf borderId="2" fillId="5" fontId="6" numFmtId="167" xfId="0" applyAlignment="1" applyBorder="1" applyFill="1" applyFont="1" applyNumberFormat="1">
      <alignment horizontal="center" readingOrder="0" vertical="center"/>
    </xf>
    <xf borderId="2" fillId="0" fontId="24" numFmtId="0" xfId="0" applyAlignment="1" applyBorder="1" applyFont="1">
      <alignment readingOrder="0" shrinkToFit="0" vertical="center" wrapText="0"/>
    </xf>
    <xf borderId="2" fillId="24" fontId="19" numFmtId="168" xfId="0" applyAlignment="1" applyBorder="1" applyFill="1" applyFont="1" applyNumberFormat="1">
      <alignment horizontal="center" readingOrder="0" shrinkToFit="0" vertical="center" wrapText="0"/>
    </xf>
    <xf borderId="2" fillId="24" fontId="6" numFmtId="0" xfId="0" applyAlignment="1" applyBorder="1" applyFill="1" applyFont="1">
      <alignment horizontal="left" readingOrder="0" shrinkToFit="0" vertical="center" wrapText="0"/>
    </xf>
    <xf borderId="2" fillId="24" fontId="21" numFmtId="0" xfId="0" applyAlignment="1" applyBorder="1" applyFill="1" applyFont="1">
      <alignment readingOrder="0" shrinkToFit="0" vertical="center" wrapText="0"/>
    </xf>
    <xf borderId="2" fillId="24" fontId="34" numFmtId="0" xfId="0" applyAlignment="1" applyBorder="1" applyFill="1" applyFont="1">
      <alignment horizontal="center" shrinkToFit="0" vertical="center" wrapText="0"/>
    </xf>
    <xf borderId="2" fillId="24" fontId="34" numFmtId="169" xfId="0" applyAlignment="1" applyBorder="1" applyFill="1" applyFont="1" applyNumberFormat="1">
      <alignment horizontal="center" shrinkToFit="0" vertical="center" wrapText="0"/>
    </xf>
    <xf borderId="2" fillId="24" fontId="34" numFmtId="0" xfId="0" applyAlignment="1" applyBorder="1" applyFill="1" applyFont="1">
      <alignment horizontal="center" shrinkToFit="0" vertical="center" wrapText="0"/>
    </xf>
    <xf borderId="2" fillId="24" fontId="34" numFmtId="166" xfId="0" applyAlignment="1" applyBorder="1" applyFill="1" applyFont="1" applyNumberFormat="1">
      <alignment horizontal="center" shrinkToFit="0" vertical="center" wrapText="0"/>
    </xf>
    <xf borderId="2" fillId="24" fontId="34" numFmtId="0" xfId="0" applyAlignment="1" applyBorder="1" applyFill="1" applyFont="1">
      <alignment readingOrder="0" shrinkToFit="0" vertical="center" wrapText="0"/>
    </xf>
    <xf borderId="2" fillId="0" fontId="35" numFmtId="0" xfId="0" applyAlignment="1" applyBorder="1" applyFont="1">
      <alignment shrinkToFit="0" vertical="center" wrapText="0"/>
    </xf>
    <xf borderId="2" fillId="0" fontId="24" numFmtId="0" xfId="0" applyAlignment="1" applyBorder="1" applyFont="1">
      <alignment shrinkToFit="0" vertical="center" wrapText="0"/>
    </xf>
    <xf borderId="2" fillId="25" fontId="3" numFmtId="0" xfId="0" applyAlignment="1" applyBorder="1" applyFill="1" applyFont="1">
      <alignment horizontal="center" readingOrder="0" shrinkToFit="0" vertical="center" wrapText="1"/>
    </xf>
    <xf borderId="2" fillId="25" fontId="3" numFmtId="0" xfId="0" applyAlignment="1" applyBorder="1" applyFill="1" applyFont="1">
      <alignment horizontal="left" readingOrder="0" shrinkToFit="0" vertical="center" wrapText="1"/>
    </xf>
    <xf borderId="2" fillId="0" fontId="8" numFmtId="170" xfId="0" applyAlignment="1" applyBorder="1" applyFont="1" applyNumberFormat="1">
      <alignment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8" numFmtId="167" xfId="0" applyAlignment="1" applyBorder="1" applyFont="1" applyNumberFormat="1">
      <alignment readingOrder="0" shrinkToFit="0" vertical="center" wrapText="1"/>
    </xf>
    <xf borderId="0" fillId="0" fontId="15" numFmtId="171" xfId="0" applyFont="1" applyNumberFormat="1"/>
    <xf borderId="0" fillId="0" fontId="15" numFmtId="171" xfId="0" applyAlignment="1" applyFont="1" applyNumberFormat="1">
      <alignment horizontal="right"/>
    </xf>
    <xf borderId="2" fillId="0" fontId="8" numFmtId="49" xfId="0" applyAlignment="1" applyBorder="1" applyFont="1" applyNumberFormat="1">
      <alignment horizontal="left" readingOrder="0" shrinkToFit="0" vertical="center" wrapText="1"/>
    </xf>
    <xf borderId="2" fillId="9" fontId="6" numFmtId="0" xfId="0" applyAlignment="1" applyBorder="1" applyFill="1" applyFont="1">
      <alignment horizontal="center" readingOrder="0" shrinkToFit="0" vertical="center" wrapText="0"/>
    </xf>
    <xf borderId="2" fillId="24" fontId="6" numFmtId="0" xfId="0" applyAlignment="1" applyBorder="1" applyFill="1" applyFont="1">
      <alignment horizontal="left" shrinkToFit="0" vertical="center" wrapText="0"/>
    </xf>
    <xf borderId="2" fillId="4" fontId="14" numFmtId="167" xfId="0" applyAlignment="1" applyBorder="1" applyFill="1" applyFont="1" applyNumberFormat="1">
      <alignment horizontal="center" vertical="center"/>
    </xf>
    <xf borderId="2" fillId="0" fontId="8" numFmtId="170" xfId="0" applyAlignment="1" applyBorder="1" applyFont="1" applyNumberFormat="1">
      <alignment shrinkToFit="0" vertical="center" wrapText="1"/>
    </xf>
    <xf borderId="2" fillId="4" fontId="14" numFmtId="9" xfId="0" applyAlignment="1" applyBorder="1" applyFill="1" applyFont="1" applyNumberFormat="1">
      <alignment horizontal="center" vertical="center"/>
    </xf>
    <xf borderId="2" fillId="0" fontId="8" numFmtId="49" xfId="0" applyAlignment="1" applyBorder="1" applyFont="1" applyNumberForma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5" fontId="14" numFmtId="167" xfId="0" applyAlignment="1" applyBorder="1" applyFill="1" applyFont="1" applyNumberFormat="1">
      <alignment horizontal="center" vertical="center"/>
    </xf>
    <xf borderId="2" fillId="0" fontId="8" numFmtId="167" xfId="0" applyAlignment="1" applyBorder="1" applyFont="1" applyNumberFormat="1">
      <alignment shrinkToFit="0" vertical="center" wrapText="1"/>
    </xf>
    <xf borderId="2" fillId="5" fontId="14" numFmtId="9" xfId="0" applyAlignment="1" applyBorder="1" applyFill="1" applyFont="1" applyNumberFormat="1">
      <alignment horizontal="center" vertical="center"/>
    </xf>
    <xf borderId="2" fillId="5" fontId="26" numFmtId="167" xfId="0" applyAlignment="1" applyBorder="1" applyFill="1" applyFont="1" applyNumberFormat="1">
      <alignment horizontal="center" vertical="center"/>
    </xf>
    <xf borderId="2" fillId="5" fontId="26" numFmtId="9" xfId="0" applyAlignment="1" applyBorder="1" applyFill="1" applyFont="1" applyNumberFormat="1">
      <alignment horizontal="center" vertical="center"/>
    </xf>
    <xf borderId="2" fillId="4" fontId="26" numFmtId="167" xfId="0" applyAlignment="1" applyBorder="1" applyFill="1" applyFont="1" applyNumberFormat="1">
      <alignment horizontal="center" vertical="center"/>
    </xf>
    <xf borderId="2" fillId="4" fontId="26" numFmtId="9" xfId="0" applyAlignment="1" applyBorder="1" applyFill="1" applyFont="1" applyNumberFormat="1">
      <alignment horizontal="center" vertical="center"/>
    </xf>
    <xf borderId="2" fillId="0" fontId="21" numFmtId="0" xfId="0" applyAlignment="1" applyBorder="1" applyFont="1">
      <alignment readingOrder="0" shrinkToFit="0" vertical="center" wrapText="0"/>
    </xf>
    <xf borderId="2" fillId="0" fontId="34" numFmtId="0" xfId="0" applyAlignment="1" applyBorder="1" applyFont="1">
      <alignment horizontal="center" shrinkToFit="0" vertical="center" wrapText="0"/>
    </xf>
    <xf borderId="2" fillId="0" fontId="34" numFmtId="169" xfId="0" applyAlignment="1" applyBorder="1" applyFont="1" applyNumberFormat="1">
      <alignment horizontal="center" shrinkToFit="0" vertical="center" wrapText="0"/>
    </xf>
    <xf borderId="2" fillId="0" fontId="34" numFmtId="0" xfId="0" applyAlignment="1" applyBorder="1" applyFont="1">
      <alignment horizontal="center" shrinkToFit="0" vertical="center" wrapText="0"/>
    </xf>
    <xf borderId="2" fillId="0" fontId="34" numFmtId="166" xfId="0" applyAlignment="1" applyBorder="1" applyFont="1" applyNumberFormat="1">
      <alignment horizontal="center" shrinkToFit="0" vertical="center" wrapText="0"/>
    </xf>
    <xf borderId="2" fillId="0" fontId="3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49" xfId="0" applyAlignment="1" applyFont="1" applyNumberFormat="1">
      <alignment horizontal="center" readingOrder="0" shrinkToFit="0" vertical="center" wrapText="1"/>
    </xf>
    <xf borderId="0" fillId="0" fontId="17" numFmtId="172" xfId="0" applyAlignment="1" applyFont="1" applyNumberFormat="1">
      <alignment horizontal="center" readingOrder="0" shrinkToFit="0" vertical="center" wrapText="1"/>
    </xf>
    <xf borderId="0" fillId="0" fontId="36" numFmtId="172" xfId="0" applyAlignment="1" applyFont="1" applyNumberFormat="1">
      <alignment horizontal="center" readingOrder="0" shrinkToFit="0" vertical="center" wrapText="1"/>
    </xf>
    <xf borderId="0" fillId="0" fontId="37" numFmtId="172" xfId="0" applyAlignment="1" applyFont="1" applyNumberFormat="1">
      <alignment horizontal="center" readingOrder="0" shrinkToFit="0" vertical="center" wrapText="1"/>
    </xf>
    <xf borderId="2" fillId="0" fontId="38" numFmtId="165" xfId="0" applyAlignment="1" applyBorder="1" applyFont="1" applyNumberFormat="1">
      <alignment horizontal="center" readingOrder="0" shrinkToFit="0" vertical="center" wrapText="0"/>
    </xf>
    <xf borderId="2" fillId="0" fontId="38" numFmtId="172" xfId="0" applyAlignment="1" applyBorder="1" applyFont="1" applyNumberFormat="1">
      <alignment horizontal="center" shrinkToFit="0" vertical="center" wrapText="0"/>
    </xf>
    <xf borderId="2" fillId="0" fontId="38" numFmtId="166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/>
    </xf>
    <xf borderId="2" fillId="0" fontId="38" numFmtId="165" xfId="0" applyAlignment="1" applyBorder="1" applyFont="1" applyNumberFormat="1">
      <alignment horizontal="center" shrinkToFit="0" vertical="center" wrapText="0"/>
    </xf>
    <xf borderId="2" fillId="0" fontId="8" numFmtId="16" xfId="0" applyAlignment="1" applyBorder="1" applyFont="1" applyNumberFormat="1">
      <alignment horizontal="left"/>
    </xf>
    <xf borderId="2" fillId="0" fontId="8" numFmtId="172" xfId="0" applyAlignment="1" applyBorder="1" applyFont="1" applyNumberFormat="1">
      <alignment horizontal="center"/>
    </xf>
    <xf borderId="2" fillId="0" fontId="38" numFmtId="166" xfId="0" applyAlignment="1" applyBorder="1" applyFont="1" applyNumberFormat="1">
      <alignment shrinkToFit="0" vertical="center" wrapText="0"/>
    </xf>
    <xf borderId="2" fillId="0" fontId="39" numFmtId="166" xfId="0" applyAlignment="1" applyBorder="1" applyFont="1" applyNumberFormat="1">
      <alignment shrinkToFit="0" vertical="bottom" wrapText="0"/>
    </xf>
    <xf borderId="0" fillId="0" fontId="1" numFmtId="0" xfId="0" applyAlignment="1" applyFont="1">
      <alignment horizontal="left"/>
    </xf>
    <xf borderId="0" fillId="0" fontId="8" numFmtId="172" xfId="0" applyAlignment="1" applyFont="1" applyNumberFormat="1">
      <alignment horizontal="center"/>
    </xf>
    <xf borderId="0" fillId="0" fontId="8" numFmtId="172" xfId="0" applyFont="1" applyNumberFormat="1"/>
    <xf borderId="0" fillId="0" fontId="38" numFmtId="172" xfId="0" applyFont="1" applyNumberFormat="1"/>
    <xf borderId="0" fillId="0" fontId="39" numFmtId="172" xfId="0" applyAlignment="1" applyFont="1" applyNumberFormat="1">
      <alignment vertical="bottom"/>
    </xf>
    <xf borderId="2" fillId="9" fontId="6" numFmtId="0" xfId="0" applyAlignment="1" applyBorder="1" applyFill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2" fillId="0" fontId="38" numFmtId="0" xfId="0" applyAlignment="1" applyBorder="1" applyFont="1">
      <alignment shrinkToFit="0" vertical="center" wrapText="0"/>
    </xf>
    <xf borderId="2" fillId="0" fontId="38" numFmtId="166" xfId="0" applyAlignment="1" applyBorder="1" applyFont="1" applyNumberFormat="1">
      <alignment shrinkToFit="0" vertical="center" wrapText="0"/>
    </xf>
    <xf borderId="0" fillId="0" fontId="15" numFmtId="0" xfId="0" applyAlignment="1" applyFont="1">
      <alignment horizontal="righ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4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0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26" fontId="41" numFmtId="0" xfId="0" applyFill="1" applyFont="1"/>
    <xf borderId="0" fillId="27" fontId="42" numFmtId="0" xfId="0" applyFill="1" applyFont="1"/>
    <xf borderId="0" fillId="28" fontId="43" numFmtId="0" xfId="0" applyFill="1" applyFont="1"/>
    <xf borderId="0" fillId="29" fontId="44" numFmtId="0" xfId="0" applyFill="1" applyFont="1"/>
    <xf borderId="0" fillId="30" fontId="45" numFmtId="0" xfId="0" applyFill="1" applyFont="1"/>
    <xf borderId="2" fillId="31" fontId="37" numFmtId="0" xfId="0" applyAlignment="1" applyBorder="1" applyFill="1" applyFont="1">
      <alignment horizontal="center" readingOrder="0" shrinkToFit="0" vertical="center" wrapText="1"/>
    </xf>
    <xf borderId="2" fillId="31" fontId="7" numFmtId="166" xfId="0" applyAlignment="1" applyBorder="1" applyFill="1" applyFont="1" applyNumberFormat="1">
      <alignment horizontal="center" shrinkToFit="0" vertical="center" wrapText="1"/>
    </xf>
    <xf borderId="2" fillId="31" fontId="37" numFmtId="166" xfId="0" applyAlignment="1" applyBorder="1" applyFill="1" applyFont="1" applyNumberFormat="1">
      <alignment horizontal="center" shrinkToFit="0" vertical="center" wrapText="1"/>
    </xf>
    <xf borderId="2" fillId="9" fontId="6" numFmtId="167" xfId="0" applyAlignment="1" applyBorder="1" applyFill="1" applyFont="1" applyNumberFormat="1">
      <alignment horizontal="center" shrinkToFit="0" vertical="center" wrapText="0"/>
    </xf>
    <xf borderId="2" fillId="0" fontId="6" numFmtId="0" xfId="0" applyAlignment="1" applyBorder="1" applyFont="1">
      <alignment horizontal="left" shrinkToFit="0" vertical="center" wrapText="0"/>
    </xf>
    <xf borderId="2" fillId="32" fontId="14" numFmtId="0" xfId="0" applyAlignment="1" applyBorder="1" applyFill="1" applyFont="1">
      <alignment horizontal="center" shrinkToFit="0" vertical="center" wrapText="0"/>
    </xf>
    <xf borderId="2" fillId="0" fontId="46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2" fillId="4" fontId="26" numFmtId="0" xfId="0" applyAlignment="1" applyBorder="1" applyFill="1" applyFont="1">
      <alignment horizontal="left" shrinkToFit="0" vertical="center" wrapText="0"/>
    </xf>
    <xf borderId="2" fillId="0" fontId="8" numFmtId="0" xfId="0" applyAlignment="1" applyBorder="1" applyFont="1">
      <alignment shrinkToFit="0" vertical="center" wrapText="0"/>
    </xf>
    <xf borderId="2" fillId="0" fontId="26" numFmtId="167" xfId="0" applyAlignment="1" applyBorder="1" applyFont="1" applyNumberFormat="1">
      <alignment horizontal="center" shrinkToFit="0" vertical="center" wrapText="0"/>
    </xf>
    <xf borderId="2" fillId="0" fontId="26" numFmtId="173" xfId="0" applyAlignment="1" applyBorder="1" applyFont="1" applyNumberForma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32">
    <dxf>
      <font/>
      <fill>
        <patternFill patternType="none"/>
      </fill>
      <border/>
    </dxf>
    <dxf>
      <font/>
      <fill>
        <patternFill patternType="solid">
          <fgColor rgb="FF465D92"/>
          <bgColor rgb="FF465D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65D92"/>
        </left>
        <right style="thin">
          <color rgb="FF465D92"/>
        </right>
        <top style="thin">
          <color rgb="FF465D92"/>
        </top>
        <bottom style="thin">
          <color rgb="FF465D92"/>
        </bottom>
      </border>
    </dxf>
    <dxf>
      <font/>
      <fill>
        <patternFill patternType="solid">
          <fgColor rgb="FF3B6939"/>
          <bgColor rgb="FF3B6939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>
        <color rgb="FF999999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>
        <color rgb="FFC53929"/>
      </font>
      <fill>
        <patternFill patternType="solid">
          <fgColor rgb="FFFBE8E6"/>
          <bgColor rgb="FFFBE8E6"/>
        </patternFill>
      </fill>
      <border/>
    </dxf>
    <dxf>
      <font>
        <color rgb="FFAF5F00"/>
      </font>
      <fill>
        <patternFill patternType="solid">
          <fgColor rgb="FFFDF7DF"/>
          <bgColor rgb="FFFDF7DF"/>
        </patternFill>
      </fill>
      <border/>
    </dxf>
    <dxf>
      <font>
        <color rgb="FF333333"/>
      </font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>
        <color rgb="FF7F0000"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3F5F8F"/>
          <bgColor rgb="FF3F5F8F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D600"/>
          <bgColor rgb="FFFFD6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3823"/>
      </font>
      <fill>
        <patternFill patternType="solid">
          <fgColor rgb="FF3EC08A"/>
          <bgColor rgb="FF3EC08A"/>
        </patternFill>
      </fill>
      <border/>
    </dxf>
    <dxf>
      <font>
        <color rgb="FF670022"/>
      </font>
      <fill>
        <patternFill patternType="solid">
          <fgColor rgb="FFFF859A"/>
          <bgColor rgb="FFFF859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>
        <b/>
        <color rgb="FFCC0000"/>
      </font>
      <fill>
        <patternFill patternType="solid">
          <fgColor rgb="FFF4CCCC"/>
          <bgColor rgb="FFF4CCCC"/>
        </patternFill>
      </fill>
      <border/>
    </dxf>
    <dxf>
      <font>
        <b/>
        <color rgb="FFB45F06"/>
      </font>
      <fill>
        <patternFill patternType="solid">
          <fgColor rgb="FFFFF1CC"/>
          <bgColor rgb="FFFFF1CC"/>
        </patternFill>
      </fill>
      <border/>
    </dxf>
    <dxf>
      <font>
        <b/>
        <color rgb="FF38761D"/>
      </font>
      <fill>
        <patternFill patternType="solid">
          <fgColor rgb="FFD9EAD2"/>
          <bgColor rgb="FFD9EAD2"/>
        </patternFill>
      </fill>
      <border/>
    </dxf>
    <dxf>
      <font>
        <b/>
        <color rgb="FF77281E"/>
      </font>
      <fill>
        <patternFill patternType="solid">
          <fgColor rgb="FFF9DBD8"/>
          <bgColor rgb="FFF9DBD8"/>
        </patternFill>
      </fill>
      <border/>
    </dxf>
    <dxf>
      <font>
        <b/>
        <color rgb="FF7C510A"/>
      </font>
      <fill>
        <patternFill patternType="solid">
          <fgColor rgb="FFFCF2CE"/>
          <bgColor rgb="FFFCF2CE"/>
        </patternFill>
      </fill>
      <border/>
    </dxf>
  </dxfs>
  <tableStyles count="8">
    <tableStyle count="4" pivot="0" name="Stok Fis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aldo-style">
      <tableStyleElement dxfId="5" type="headerRow"/>
      <tableStyleElement dxfId="6" type="firstRowStripe"/>
      <tableStyleElement dxfId="3" type="secondRowStripe"/>
    </tableStyle>
    <tableStyle count="4" pivot="0" name="Transaksi Harian-style">
      <tableStyleElement dxfId="7" type="headerRow"/>
      <tableStyleElement dxfId="8" type="firstRowStripe"/>
      <tableStyleElement dxfId="3" type="secondRowStripe"/>
      <tableStyleElement dxfId="4" size="0" type="wholeTable"/>
    </tableStyle>
    <tableStyle count="4" pivot="0" name="Saldo (Transaksi)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Laporan Harian-style">
      <tableStyleElement dxfId="18" type="headerRow"/>
      <tableStyleElement dxfId="19" type="firstRowStripe"/>
      <tableStyleElement dxfId="3" type="secondRowStripe"/>
      <tableStyleElement dxfId="4" size="0" type="wholeTable"/>
    </tableStyle>
    <tableStyle count="4" pivot="0" name="Laporan Harian-style 2">
      <tableStyleElement dxfId="18" type="headerRow"/>
      <tableStyleElement dxfId="19" type="firstRowStripe"/>
      <tableStyleElement dxfId="3" type="secondRowStripe"/>
      <tableStyleElement dxfId="4" size="0" type="wholeTable"/>
    </tableStyle>
    <tableStyle count="4" pivot="0" name="Laporan Bulanan-style">
      <tableStyleElement dxfId="18" type="headerRow"/>
      <tableStyleElement dxfId="19" type="firstRowStripe"/>
      <tableStyleElement dxfId="3" type="secondRowStripe"/>
      <tableStyleElement dxfId="4" size="0" type="wholeTable"/>
    </tableStyle>
    <tableStyle count="4" pivot="0" name="Form Responses 1-style">
      <tableStyleElement dxfId="24" type="headerRow"/>
      <tableStyleElement dxfId="3" type="firstRowStripe"/>
      <tableStyleElement dxfId="2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4</xdr:row>
      <xdr:rowOff>228600</xdr:rowOff>
    </xdr:from>
    <xdr:ext cx="1257300" cy="371475"/>
    <xdr:grpSp>
      <xdr:nvGrpSpPr>
        <xdr:cNvPr id="2" name="Shape 2" title="Gambar"/>
        <xdr:cNvGrpSpPr/>
      </xdr:nvGrpSpPr>
      <xdr:grpSpPr>
        <a:xfrm>
          <a:off x="2052525" y="1433325"/>
          <a:ext cx="3837000" cy="1116600"/>
          <a:chOff x="2052525" y="1433325"/>
          <a:chExt cx="3837000" cy="1116600"/>
        </a:xfrm>
      </xdr:grpSpPr>
      <xdr:sp>
        <xdr:nvSpPr>
          <xdr:cNvPr id="3" name="Shape 3"/>
          <xdr:cNvSpPr/>
        </xdr:nvSpPr>
        <xdr:spPr>
          <a:xfrm>
            <a:off x="2052525" y="1433325"/>
            <a:ext cx="3837000" cy="1116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79275" y="1600725"/>
            <a:ext cx="3583500" cy="781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800">
                <a:solidFill>
                  <a:srgbClr val="1C4587"/>
                </a:solidFill>
                <a:latin typeface="Poppins"/>
                <a:ea typeface="Poppins"/>
                <a:cs typeface="Poppins"/>
                <a:sym typeface="Poppins"/>
              </a:rPr>
              <a:t>SUBMIT</a:t>
            </a:r>
            <a:endParaRPr b="1" sz="3800">
              <a:solidFill>
                <a:srgbClr val="1C4587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1838325</xdr:colOff>
      <xdr:row>9</xdr:row>
      <xdr:rowOff>190500</xdr:rowOff>
    </xdr:from>
    <xdr:ext cx="1257300" cy="371475"/>
    <xdr:grpSp>
      <xdr:nvGrpSpPr>
        <xdr:cNvPr id="2" name="Shape 2" title="Gambar"/>
        <xdr:cNvGrpSpPr/>
      </xdr:nvGrpSpPr>
      <xdr:grpSpPr>
        <a:xfrm>
          <a:off x="2052525" y="1433325"/>
          <a:ext cx="3837000" cy="1116600"/>
          <a:chOff x="2052525" y="1433325"/>
          <a:chExt cx="3837000" cy="1116600"/>
        </a:xfrm>
      </xdr:grpSpPr>
      <xdr:sp>
        <xdr:nvSpPr>
          <xdr:cNvPr id="3" name="Shape 3"/>
          <xdr:cNvSpPr/>
        </xdr:nvSpPr>
        <xdr:spPr>
          <a:xfrm>
            <a:off x="2052525" y="1433325"/>
            <a:ext cx="3837000" cy="1116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79275" y="1600725"/>
            <a:ext cx="3583500" cy="781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800">
                <a:solidFill>
                  <a:srgbClr val="1C4587"/>
                </a:solidFill>
                <a:latin typeface="Poppins"/>
                <a:ea typeface="Poppins"/>
                <a:cs typeface="Poppins"/>
                <a:sym typeface="Poppins"/>
              </a:rPr>
              <a:t>SUBMIT</a:t>
            </a:r>
            <a:endParaRPr b="1" sz="3800">
              <a:solidFill>
                <a:srgbClr val="1C4587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001" displayName="Table_StokFisik" name="Table_StokFisik" id="1">
  <tableColumns count="11">
    <tableColumn name="Kode Produk" id="1"/>
    <tableColumn name="Kategori" id="2"/>
    <tableColumn name="Nama Barang" id="3"/>
    <tableColumn name="Merk" id="4"/>
    <tableColumn name="Jenis" id="5"/>
    <tableColumn name="Status" id="6"/>
    <tableColumn name="Stok" id="7"/>
    <tableColumn name="Harga Modal" id="8"/>
    <tableColumn name="Harga Jual" id="9"/>
    <tableColumn name="Margin" id="10"/>
    <tableColumn name="Margin (%)" id="11"/>
  </tableColumns>
  <tableStyleInfo name="Stok Fisik-style" showColumnStripes="0" showFirstColumn="1" showLastColumn="1" showRowStripes="1"/>
</table>
</file>

<file path=xl/tables/table2.xml><?xml version="1.0" encoding="utf-8"?>
<table xmlns="http://schemas.openxmlformats.org/spreadsheetml/2006/main" ref="D4:G10" displayName="Table_1" name="Table_1" id="2">
  <tableColumns count="4">
    <tableColumn name="Akun Saldo" id="1"/>
    <tableColumn name="Saldo Masuk" id="2"/>
    <tableColumn name="Saldo Keluar" id="3"/>
    <tableColumn name="Saldo Aktual" id="4"/>
  </tableColumns>
  <tableStyleInfo name="Saldo-style" showColumnStripes="0" showFirstColumn="1" showLastColumn="1" showRowStripes="1"/>
</table>
</file>

<file path=xl/tables/table3.xml><?xml version="1.0" encoding="utf-8"?>
<table xmlns="http://schemas.openxmlformats.org/spreadsheetml/2006/main" ref="A1:L1120" displayName="Transaksi_Harian" name="Transaksi_Harian" id="3">
  <tableColumns count="12">
    <tableColumn name="Tanggal" id="1"/>
    <tableColumn name="Kode Produk" id="2"/>
    <tableColumn name="Nama Barang/Layanan" id="3"/>
    <tableColumn name="Kategori" id="4"/>
    <tableColumn name="Jenis" id="5"/>
    <tableColumn name="Merk" id="6"/>
    <tableColumn name="QTY" id="7"/>
    <tableColumn name="Harga Modal" id="8"/>
    <tableColumn name="Modal Via" id="9"/>
    <tableColumn name="Harga Jual" id="10"/>
    <tableColumn name="Metode Pembayaran" id="11"/>
    <tableColumn name="Status Transaksi" id="12"/>
  </tableColumns>
  <tableStyleInfo name="Transaksi Harian-style" showColumnStripes="0" showFirstColumn="1" showLastColumn="1" showRowStripes="1"/>
</table>
</file>

<file path=xl/tables/table4.xml><?xml version="1.0" encoding="utf-8"?>
<table xmlns="http://schemas.openxmlformats.org/spreadsheetml/2006/main" ref="A1:F997" displayName="Table_SaldoTransaksi" name="Table_SaldoTransaksi" id="4">
  <tableColumns count="6">
    <tableColumn name="Tanggal" id="1"/>
    <tableColumn name="Nama Transaksi" id="2"/>
    <tableColumn name="Jenis" id="3"/>
    <tableColumn name="Akun Tujuan" id="4"/>
    <tableColumn name="Akun Asal" id="5"/>
    <tableColumn name="Nominal" id="6"/>
  </tableColumns>
  <tableStyleInfo name="Saldo (Transaksi)-style" showColumnStripes="0" showFirstColumn="1" showLastColumn="1" showRowStripes="1"/>
</table>
</file>

<file path=xl/tables/table5.xml><?xml version="1.0" encoding="utf-8"?>
<table xmlns="http://schemas.openxmlformats.org/spreadsheetml/2006/main" ref="B1:F32" displayName="DataLaporanHarian" name="DataLaporanHarian" id="5">
  <tableColumns count="5">
    <tableColumn name="Tanggal" id="1"/>
    <tableColumn name="Total Transaksi" id="2"/>
    <tableColumn name="Total Modal" id="3"/>
    <tableColumn name="Total Penjualan" id="4"/>
    <tableColumn name="Total Margin" id="5"/>
  </tableColumns>
  <tableStyleInfo name="Laporan Harian-style" showColumnStripes="0" showFirstColumn="1" showLastColumn="1" showRowStripes="1"/>
</table>
</file>

<file path=xl/tables/table6.xml><?xml version="1.0" encoding="utf-8"?>
<table xmlns="http://schemas.openxmlformats.org/spreadsheetml/2006/main" ref="H1:K33" displayName="Uang_Masuk" name="Uang_Masuk" id="6">
  <tableColumns count="4">
    <tableColumn name="Cash" id="1"/>
    <tableColumn name="Dana" id="2"/>
    <tableColumn name="Transfer (BCA)" id="3"/>
    <tableColumn name="QRIS" id="4"/>
  </tableColumns>
  <tableStyleInfo name="Laporan Harian-style 2" showColumnStripes="0" showFirstColumn="1" showLastColumn="1" showRowStripes="1"/>
</table>
</file>

<file path=xl/tables/table7.xml><?xml version="1.0" encoding="utf-8"?>
<table xmlns="http://schemas.openxmlformats.org/spreadsheetml/2006/main" ref="B1:H32" displayName="Laporan_Bulanan" name="Laporan_Bulanan" id="7">
  <tableColumns count="7">
    <tableColumn name="Tanggal" id="1"/>
    <tableColumn name="Total Transaksi" id="2"/>
    <tableColumn name="Aksesoris" id="3"/>
    <tableColumn name="Multi" id="4"/>
    <tableColumn name="Transfer" id="5"/>
    <tableColumn name="Lain-lain" id="6"/>
    <tableColumn name="Margin Penjualan" id="7"/>
  </tableColumns>
  <tableStyleInfo name="Laporan Bulanan-style" showColumnStripes="0" showFirstColumn="1" showLastColumn="1" showRowStripes="1"/>
</table>
</file>

<file path=xl/tables/table8.xml><?xml version="1.0" encoding="utf-8"?>
<table xmlns="http://schemas.openxmlformats.org/spreadsheetml/2006/main" headerRowCount="0" ref="A1:B1" displayName="Form_Responses" name="Form_Responses" id="8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5"/>
    <col customWidth="1" min="2" max="2" width="18.63"/>
    <col customWidth="1" min="3" max="3" width="42.13"/>
    <col customWidth="1" min="4" max="4" width="16.13"/>
    <col customWidth="1" min="5" max="5" width="23.5"/>
    <col customWidth="1" min="6" max="6" width="16.88"/>
    <col customWidth="1" min="7" max="7" width="9.5"/>
    <col customWidth="1" min="8" max="8" width="17.88"/>
    <col customWidth="1" min="9" max="9" width="16.0"/>
    <col customWidth="1" min="10" max="10" width="12.63"/>
    <col customWidth="1" min="11" max="11" width="16.38"/>
  </cols>
  <sheetData>
    <row r="1" ht="27.75" customHeight="1">
      <c r="A1" s="34" t="s">
        <v>2</v>
      </c>
      <c r="B1" s="34" t="s">
        <v>3</v>
      </c>
      <c r="C1" s="34" t="s">
        <v>28</v>
      </c>
      <c r="D1" s="38" t="s">
        <v>5</v>
      </c>
      <c r="E1" s="38" t="s">
        <v>6</v>
      </c>
      <c r="F1" s="34" t="s">
        <v>8</v>
      </c>
      <c r="G1" s="34" t="s">
        <v>26</v>
      </c>
      <c r="H1" s="41" t="s">
        <v>10</v>
      </c>
      <c r="I1" s="41" t="s">
        <v>11</v>
      </c>
      <c r="J1" s="34" t="s">
        <v>12</v>
      </c>
      <c r="K1" s="34" t="s">
        <v>13</v>
      </c>
    </row>
    <row r="2" ht="27.75" customHeight="1">
      <c r="A2" s="42" t="s">
        <v>30</v>
      </c>
      <c r="B2" s="43" t="s">
        <v>31</v>
      </c>
      <c r="C2" s="44" t="s">
        <v>32</v>
      </c>
      <c r="D2" s="43" t="s">
        <v>33</v>
      </c>
      <c r="E2" s="45" t="s">
        <v>34</v>
      </c>
      <c r="F2" s="43" t="str">
        <f t="shared" ref="F2:F51" si="1">IF(G2="", "", IF(G2&lt;=0, "Habis", IF(G2&lt;=3, "Menipis", "Tersedia")))</f>
        <v>Tersedia</v>
      </c>
      <c r="G2" s="49">
        <v>5.0</v>
      </c>
      <c r="H2" s="51">
        <v>45000.0</v>
      </c>
      <c r="I2" s="51">
        <v>60000.0</v>
      </c>
      <c r="J2" s="51">
        <f t="shared" ref="J2:J16" si="2">I2-H2</f>
        <v>15000</v>
      </c>
      <c r="K2" s="55">
        <f t="shared" ref="K2:K16" si="3">J2/H2*100%</f>
        <v>0.3333333333</v>
      </c>
    </row>
    <row r="3" ht="27.75" customHeight="1">
      <c r="A3" s="56" t="s">
        <v>59</v>
      </c>
      <c r="B3" s="57" t="s">
        <v>31</v>
      </c>
      <c r="C3" s="58" t="s">
        <v>62</v>
      </c>
      <c r="D3" s="57" t="s">
        <v>64</v>
      </c>
      <c r="E3" s="59" t="s">
        <v>66</v>
      </c>
      <c r="F3" s="57" t="str">
        <f t="shared" si="1"/>
        <v>Menipis</v>
      </c>
      <c r="G3" s="56">
        <v>2.0</v>
      </c>
      <c r="H3" s="60">
        <v>145000.0</v>
      </c>
      <c r="I3" s="60">
        <v>220000.0</v>
      </c>
      <c r="J3" s="60">
        <f t="shared" si="2"/>
        <v>75000</v>
      </c>
      <c r="K3" s="61">
        <f t="shared" si="3"/>
        <v>0.5172413793</v>
      </c>
    </row>
    <row r="4" ht="27.75" customHeight="1">
      <c r="A4" s="56" t="s">
        <v>85</v>
      </c>
      <c r="B4" s="57" t="s">
        <v>31</v>
      </c>
      <c r="C4" s="62" t="s">
        <v>88</v>
      </c>
      <c r="D4" s="57" t="s">
        <v>64</v>
      </c>
      <c r="E4" s="59" t="s">
        <v>91</v>
      </c>
      <c r="F4" s="57" t="str">
        <f t="shared" si="1"/>
        <v>Menipis</v>
      </c>
      <c r="G4" s="63">
        <v>1.0</v>
      </c>
      <c r="H4" s="60">
        <v>87898.0</v>
      </c>
      <c r="I4" s="60">
        <v>170000.0</v>
      </c>
      <c r="J4" s="60">
        <f t="shared" si="2"/>
        <v>82102</v>
      </c>
      <c r="K4" s="61">
        <f t="shared" si="3"/>
        <v>0.9340599331</v>
      </c>
    </row>
    <row r="5" ht="27.75" customHeight="1">
      <c r="A5" s="56" t="s">
        <v>111</v>
      </c>
      <c r="B5" s="57" t="s">
        <v>31</v>
      </c>
      <c r="C5" s="58" t="s">
        <v>113</v>
      </c>
      <c r="D5" s="57" t="s">
        <v>64</v>
      </c>
      <c r="E5" s="59" t="s">
        <v>116</v>
      </c>
      <c r="F5" s="57" t="str">
        <f t="shared" si="1"/>
        <v>Menipis</v>
      </c>
      <c r="G5" s="64">
        <v>1.0</v>
      </c>
      <c r="H5" s="60">
        <v>41766.0</v>
      </c>
      <c r="I5" s="60">
        <v>75179.0</v>
      </c>
      <c r="J5" s="60">
        <f t="shared" si="2"/>
        <v>33413</v>
      </c>
      <c r="K5" s="61">
        <f t="shared" si="3"/>
        <v>0.8000047886</v>
      </c>
    </row>
    <row r="6" ht="27.75" customHeight="1">
      <c r="A6" s="56" t="s">
        <v>133</v>
      </c>
      <c r="B6" s="57" t="s">
        <v>31</v>
      </c>
      <c r="C6" s="58" t="s">
        <v>136</v>
      </c>
      <c r="D6" s="57" t="s">
        <v>64</v>
      </c>
      <c r="E6" s="59" t="s">
        <v>137</v>
      </c>
      <c r="F6" s="57" t="str">
        <f t="shared" si="1"/>
        <v>Menipis</v>
      </c>
      <c r="G6" s="64">
        <v>2.0</v>
      </c>
      <c r="H6" s="60">
        <v>40000.0</v>
      </c>
      <c r="I6" s="60">
        <v>80000.0</v>
      </c>
      <c r="J6" s="60">
        <f t="shared" si="2"/>
        <v>40000</v>
      </c>
      <c r="K6" s="61">
        <f t="shared" si="3"/>
        <v>1</v>
      </c>
    </row>
    <row r="7" ht="27.75" customHeight="1">
      <c r="A7" s="56" t="s">
        <v>155</v>
      </c>
      <c r="B7" s="57" t="s">
        <v>31</v>
      </c>
      <c r="C7" s="58" t="s">
        <v>158</v>
      </c>
      <c r="D7" s="57" t="s">
        <v>64</v>
      </c>
      <c r="E7" s="59" t="s">
        <v>137</v>
      </c>
      <c r="F7" s="57" t="str">
        <f t="shared" si="1"/>
        <v>Menipis</v>
      </c>
      <c r="G7" s="64">
        <v>1.0</v>
      </c>
      <c r="H7" s="60">
        <v>38899.0</v>
      </c>
      <c r="I7" s="60">
        <v>70018.0</v>
      </c>
      <c r="J7" s="60">
        <f t="shared" si="2"/>
        <v>31119</v>
      </c>
      <c r="K7" s="61">
        <f t="shared" si="3"/>
        <v>0.7999948585</v>
      </c>
    </row>
    <row r="8" ht="27.75" customHeight="1">
      <c r="A8" s="56" t="s">
        <v>173</v>
      </c>
      <c r="B8" s="57" t="s">
        <v>31</v>
      </c>
      <c r="C8" s="58" t="s">
        <v>175</v>
      </c>
      <c r="D8" s="57" t="s">
        <v>64</v>
      </c>
      <c r="E8" s="59" t="s">
        <v>177</v>
      </c>
      <c r="F8" s="57" t="str">
        <f t="shared" si="1"/>
        <v>Menipis</v>
      </c>
      <c r="G8" s="64">
        <v>2.0</v>
      </c>
      <c r="H8" s="60">
        <v>170000.0</v>
      </c>
      <c r="I8" s="60">
        <v>260000.0</v>
      </c>
      <c r="J8" s="60">
        <f t="shared" si="2"/>
        <v>90000</v>
      </c>
      <c r="K8" s="61">
        <f t="shared" si="3"/>
        <v>0.5294117647</v>
      </c>
    </row>
    <row r="9" ht="27.75" customHeight="1">
      <c r="A9" s="56" t="s">
        <v>194</v>
      </c>
      <c r="B9" s="57" t="s">
        <v>31</v>
      </c>
      <c r="C9" s="58" t="s">
        <v>196</v>
      </c>
      <c r="D9" s="57" t="s">
        <v>64</v>
      </c>
      <c r="E9" s="59" t="s">
        <v>177</v>
      </c>
      <c r="F9" s="57" t="str">
        <f t="shared" si="1"/>
        <v>Menipis</v>
      </c>
      <c r="G9" s="64">
        <v>1.0</v>
      </c>
      <c r="H9" s="60">
        <v>140530.0</v>
      </c>
      <c r="I9" s="60">
        <v>200000.0</v>
      </c>
      <c r="J9" s="60">
        <f t="shared" si="2"/>
        <v>59470</v>
      </c>
      <c r="K9" s="61">
        <f t="shared" si="3"/>
        <v>0.4231836619</v>
      </c>
    </row>
    <row r="10" ht="27.75" customHeight="1">
      <c r="A10" s="56" t="s">
        <v>214</v>
      </c>
      <c r="B10" s="57" t="s">
        <v>31</v>
      </c>
      <c r="C10" s="58" t="s">
        <v>215</v>
      </c>
      <c r="D10" s="57" t="s">
        <v>64</v>
      </c>
      <c r="E10" s="59" t="s">
        <v>177</v>
      </c>
      <c r="F10" s="57" t="str">
        <f t="shared" si="1"/>
        <v>Menipis</v>
      </c>
      <c r="G10" s="64">
        <v>1.0</v>
      </c>
      <c r="H10" s="60">
        <v>125000.0</v>
      </c>
      <c r="I10" s="60">
        <v>185000.0</v>
      </c>
      <c r="J10" s="60">
        <f t="shared" si="2"/>
        <v>60000</v>
      </c>
      <c r="K10" s="61">
        <f t="shared" si="3"/>
        <v>0.48</v>
      </c>
    </row>
    <row r="11" ht="27.75" customHeight="1">
      <c r="A11" s="56" t="s">
        <v>233</v>
      </c>
      <c r="B11" s="57" t="s">
        <v>31</v>
      </c>
      <c r="C11" s="58" t="s">
        <v>235</v>
      </c>
      <c r="D11" s="57" t="s">
        <v>64</v>
      </c>
      <c r="E11" s="59" t="s">
        <v>177</v>
      </c>
      <c r="F11" s="57" t="str">
        <f t="shared" si="1"/>
        <v>Menipis</v>
      </c>
      <c r="G11" s="64">
        <v>1.0</v>
      </c>
      <c r="H11" s="60">
        <v>145000.0</v>
      </c>
      <c r="I11" s="60">
        <v>200000.0</v>
      </c>
      <c r="J11" s="60">
        <f t="shared" si="2"/>
        <v>55000</v>
      </c>
      <c r="K11" s="61">
        <f t="shared" si="3"/>
        <v>0.3793103448</v>
      </c>
    </row>
    <row r="12" ht="27.75" customHeight="1">
      <c r="A12" s="56" t="s">
        <v>259</v>
      </c>
      <c r="B12" s="57" t="s">
        <v>31</v>
      </c>
      <c r="C12" s="58" t="s">
        <v>262</v>
      </c>
      <c r="D12" s="57" t="s">
        <v>64</v>
      </c>
      <c r="E12" s="59" t="s">
        <v>177</v>
      </c>
      <c r="F12" s="57" t="str">
        <f t="shared" si="1"/>
        <v>Menipis</v>
      </c>
      <c r="G12" s="64">
        <v>1.0</v>
      </c>
      <c r="H12" s="60">
        <v>117000.0</v>
      </c>
      <c r="I12" s="60">
        <v>163800.0</v>
      </c>
      <c r="J12" s="60">
        <f t="shared" si="2"/>
        <v>46800</v>
      </c>
      <c r="K12" s="61">
        <f t="shared" si="3"/>
        <v>0.4</v>
      </c>
    </row>
    <row r="13" ht="27.75" customHeight="1">
      <c r="A13" s="56" t="s">
        <v>278</v>
      </c>
      <c r="B13" s="57" t="s">
        <v>31</v>
      </c>
      <c r="C13" s="58" t="s">
        <v>280</v>
      </c>
      <c r="D13" s="57" t="s">
        <v>64</v>
      </c>
      <c r="E13" s="59" t="s">
        <v>177</v>
      </c>
      <c r="F13" s="57" t="str">
        <f t="shared" si="1"/>
        <v>Menipis</v>
      </c>
      <c r="G13" s="64">
        <v>1.0</v>
      </c>
      <c r="H13" s="60">
        <v>119365.0</v>
      </c>
      <c r="I13" s="60">
        <v>200000.0</v>
      </c>
      <c r="J13" s="60">
        <f t="shared" si="2"/>
        <v>80635</v>
      </c>
      <c r="K13" s="61">
        <f t="shared" si="3"/>
        <v>0.6755330289</v>
      </c>
    </row>
    <row r="14" ht="27.75" customHeight="1">
      <c r="A14" s="56" t="s">
        <v>297</v>
      </c>
      <c r="B14" s="57" t="s">
        <v>31</v>
      </c>
      <c r="C14" s="58" t="s">
        <v>298</v>
      </c>
      <c r="D14" s="57" t="s">
        <v>64</v>
      </c>
      <c r="E14" s="59" t="s">
        <v>177</v>
      </c>
      <c r="F14" s="57" t="str">
        <f t="shared" si="1"/>
        <v>Menipis</v>
      </c>
      <c r="G14" s="64">
        <v>1.0</v>
      </c>
      <c r="H14" s="60">
        <v>146464.0</v>
      </c>
      <c r="I14" s="60">
        <v>205050.0</v>
      </c>
      <c r="J14" s="60">
        <f t="shared" si="2"/>
        <v>58586</v>
      </c>
      <c r="K14" s="61">
        <f t="shared" si="3"/>
        <v>0.400002731</v>
      </c>
    </row>
    <row r="15" ht="27.75" customHeight="1">
      <c r="A15" s="56" t="s">
        <v>315</v>
      </c>
      <c r="B15" s="57" t="s">
        <v>31</v>
      </c>
      <c r="C15" s="58" t="s">
        <v>316</v>
      </c>
      <c r="D15" s="57" t="s">
        <v>64</v>
      </c>
      <c r="E15" s="59" t="s">
        <v>177</v>
      </c>
      <c r="F15" s="57" t="str">
        <f t="shared" si="1"/>
        <v>Menipis</v>
      </c>
      <c r="G15" s="64">
        <v>1.0</v>
      </c>
      <c r="H15" s="60">
        <v>170000.0</v>
      </c>
      <c r="I15" s="60">
        <v>306000.0</v>
      </c>
      <c r="J15" s="60">
        <f t="shared" si="2"/>
        <v>136000</v>
      </c>
      <c r="K15" s="61">
        <f t="shared" si="3"/>
        <v>0.8</v>
      </c>
    </row>
    <row r="16" ht="27.75" customHeight="1">
      <c r="A16" s="56" t="s">
        <v>336</v>
      </c>
      <c r="B16" s="57" t="s">
        <v>31</v>
      </c>
      <c r="C16" s="58" t="s">
        <v>338</v>
      </c>
      <c r="D16" s="65" t="s">
        <v>341</v>
      </c>
      <c r="E16" s="59" t="s">
        <v>343</v>
      </c>
      <c r="F16" s="57" t="str">
        <f t="shared" si="1"/>
        <v>Menipis</v>
      </c>
      <c r="G16" s="64">
        <v>1.0</v>
      </c>
      <c r="H16" s="60">
        <v>67375.0</v>
      </c>
      <c r="I16" s="60">
        <v>110000.0</v>
      </c>
      <c r="J16" s="60">
        <f t="shared" si="2"/>
        <v>42625</v>
      </c>
      <c r="K16" s="61">
        <f t="shared" si="3"/>
        <v>0.6326530612</v>
      </c>
    </row>
    <row r="17" ht="27.75" customHeight="1">
      <c r="A17" s="63" t="s">
        <v>25</v>
      </c>
      <c r="B17" s="66" t="s">
        <v>31</v>
      </c>
      <c r="C17" s="67" t="s">
        <v>361</v>
      </c>
      <c r="D17" s="66" t="s">
        <v>363</v>
      </c>
      <c r="E17" s="59" t="s">
        <v>364</v>
      </c>
      <c r="F17" s="57" t="str">
        <f t="shared" si="1"/>
        <v>Menipis</v>
      </c>
      <c r="G17" s="63">
        <v>1.0</v>
      </c>
      <c r="H17" s="68">
        <v>13500.0</v>
      </c>
      <c r="I17" s="68">
        <v>35000.0</v>
      </c>
      <c r="J17" s="68">
        <v>22500.0</v>
      </c>
      <c r="K17" s="69">
        <v>1.8</v>
      </c>
    </row>
    <row r="18" ht="27.75" customHeight="1">
      <c r="A18" s="56" t="s">
        <v>383</v>
      </c>
      <c r="B18" s="57" t="s">
        <v>31</v>
      </c>
      <c r="C18" s="58" t="s">
        <v>384</v>
      </c>
      <c r="D18" s="57" t="s">
        <v>363</v>
      </c>
      <c r="E18" s="59" t="s">
        <v>387</v>
      </c>
      <c r="F18" s="57" t="str">
        <f t="shared" si="1"/>
        <v>Menipis</v>
      </c>
      <c r="G18" s="56">
        <v>1.0</v>
      </c>
      <c r="H18" s="60">
        <v>10000.0</v>
      </c>
      <c r="I18" s="60">
        <v>20000.0</v>
      </c>
      <c r="J18" s="60">
        <f t="shared" ref="J18:J51" si="4">I18-H18</f>
        <v>10000</v>
      </c>
      <c r="K18" s="61">
        <f t="shared" ref="K18:K51" si="5">J18/H18*100%</f>
        <v>1</v>
      </c>
    </row>
    <row r="19" ht="27.75" customHeight="1">
      <c r="A19" s="56" t="s">
        <v>406</v>
      </c>
      <c r="B19" s="57" t="s">
        <v>31</v>
      </c>
      <c r="C19" s="58" t="s">
        <v>409</v>
      </c>
      <c r="D19" s="57" t="s">
        <v>363</v>
      </c>
      <c r="E19" s="70" t="s">
        <v>410</v>
      </c>
      <c r="F19" s="57" t="str">
        <f t="shared" si="1"/>
        <v>Menipis</v>
      </c>
      <c r="G19" s="56">
        <v>1.0</v>
      </c>
      <c r="H19" s="60">
        <v>12500.0</v>
      </c>
      <c r="I19" s="60">
        <v>25000.0</v>
      </c>
      <c r="J19" s="60">
        <f t="shared" si="4"/>
        <v>12500</v>
      </c>
      <c r="K19" s="61">
        <f t="shared" si="5"/>
        <v>1</v>
      </c>
    </row>
    <row r="20" ht="27.75" customHeight="1">
      <c r="A20" s="56" t="s">
        <v>427</v>
      </c>
      <c r="B20" s="57" t="s">
        <v>31</v>
      </c>
      <c r="C20" s="58" t="s">
        <v>430</v>
      </c>
      <c r="D20" s="57" t="s">
        <v>363</v>
      </c>
      <c r="E20" s="59" t="s">
        <v>387</v>
      </c>
      <c r="F20" s="57" t="str">
        <f t="shared" si="1"/>
        <v>Menipis</v>
      </c>
      <c r="G20" s="56">
        <v>3.0</v>
      </c>
      <c r="H20" s="60">
        <v>7000.0</v>
      </c>
      <c r="I20" s="60">
        <v>20000.0</v>
      </c>
      <c r="J20" s="60">
        <f t="shared" si="4"/>
        <v>13000</v>
      </c>
      <c r="K20" s="61">
        <f t="shared" si="5"/>
        <v>1.857142857</v>
      </c>
    </row>
    <row r="21" ht="27.75" customHeight="1">
      <c r="A21" s="56" t="s">
        <v>442</v>
      </c>
      <c r="B21" s="57" t="s">
        <v>31</v>
      </c>
      <c r="C21" s="58" t="s">
        <v>444</v>
      </c>
      <c r="D21" s="57" t="s">
        <v>363</v>
      </c>
      <c r="E21" s="59" t="s">
        <v>387</v>
      </c>
      <c r="F21" s="57" t="str">
        <f t="shared" si="1"/>
        <v>Menipis</v>
      </c>
      <c r="G21" s="56">
        <v>3.0</v>
      </c>
      <c r="H21" s="60">
        <v>6000.0</v>
      </c>
      <c r="I21" s="60">
        <v>15000.0</v>
      </c>
      <c r="J21" s="60">
        <f t="shared" si="4"/>
        <v>9000</v>
      </c>
      <c r="K21" s="61">
        <f t="shared" si="5"/>
        <v>1.5</v>
      </c>
    </row>
    <row r="22" ht="27.75" customHeight="1">
      <c r="A22" s="56" t="s">
        <v>463</v>
      </c>
      <c r="B22" s="57" t="s">
        <v>31</v>
      </c>
      <c r="C22" s="58" t="s">
        <v>466</v>
      </c>
      <c r="D22" s="57" t="s">
        <v>363</v>
      </c>
      <c r="E22" s="59" t="s">
        <v>387</v>
      </c>
      <c r="F22" s="57" t="str">
        <f t="shared" si="1"/>
        <v>Tersedia</v>
      </c>
      <c r="G22" s="56">
        <v>8.0</v>
      </c>
      <c r="H22" s="60">
        <v>6000.0</v>
      </c>
      <c r="I22" s="60">
        <v>25000.0</v>
      </c>
      <c r="J22" s="60">
        <f t="shared" si="4"/>
        <v>19000</v>
      </c>
      <c r="K22" s="61">
        <f t="shared" si="5"/>
        <v>3.166666667</v>
      </c>
    </row>
    <row r="23" ht="27.75" customHeight="1">
      <c r="A23" s="56" t="s">
        <v>484</v>
      </c>
      <c r="B23" s="57" t="s">
        <v>31</v>
      </c>
      <c r="C23" s="58" t="s">
        <v>485</v>
      </c>
      <c r="D23" s="57" t="s">
        <v>363</v>
      </c>
      <c r="E23" s="59" t="s">
        <v>387</v>
      </c>
      <c r="F23" s="57" t="str">
        <f t="shared" si="1"/>
        <v>Tersedia</v>
      </c>
      <c r="G23" s="56">
        <v>4.0</v>
      </c>
      <c r="H23" s="60">
        <v>7000.0</v>
      </c>
      <c r="I23" s="60">
        <v>20000.0</v>
      </c>
      <c r="J23" s="60">
        <f t="shared" si="4"/>
        <v>13000</v>
      </c>
      <c r="K23" s="61">
        <f t="shared" si="5"/>
        <v>1.857142857</v>
      </c>
    </row>
    <row r="24" ht="27.75" customHeight="1">
      <c r="A24" s="56" t="s">
        <v>506</v>
      </c>
      <c r="B24" s="57" t="s">
        <v>31</v>
      </c>
      <c r="C24" s="58" t="s">
        <v>508</v>
      </c>
      <c r="D24" s="66" t="s">
        <v>510</v>
      </c>
      <c r="E24" s="59" t="s">
        <v>387</v>
      </c>
      <c r="F24" s="57" t="str">
        <f t="shared" si="1"/>
        <v>Tersedia</v>
      </c>
      <c r="G24" s="56">
        <v>5.0</v>
      </c>
      <c r="H24" s="60">
        <v>7500.0</v>
      </c>
      <c r="I24" s="60">
        <v>20000.0</v>
      </c>
      <c r="J24" s="60">
        <f t="shared" si="4"/>
        <v>12500</v>
      </c>
      <c r="K24" s="61">
        <f t="shared" si="5"/>
        <v>1.666666667</v>
      </c>
    </row>
    <row r="25" ht="27.75" customHeight="1">
      <c r="A25" s="56" t="s">
        <v>520</v>
      </c>
      <c r="B25" s="57" t="s">
        <v>31</v>
      </c>
      <c r="C25" s="58" t="s">
        <v>521</v>
      </c>
      <c r="D25" s="57" t="s">
        <v>363</v>
      </c>
      <c r="E25" s="59" t="s">
        <v>522</v>
      </c>
      <c r="F25" s="57" t="str">
        <f t="shared" si="1"/>
        <v>Menipis</v>
      </c>
      <c r="G25" s="56">
        <v>2.0</v>
      </c>
      <c r="H25" s="60">
        <v>5000.0</v>
      </c>
      <c r="I25" s="60">
        <v>15000.0</v>
      </c>
      <c r="J25" s="60">
        <f t="shared" si="4"/>
        <v>10000</v>
      </c>
      <c r="K25" s="61">
        <f t="shared" si="5"/>
        <v>2</v>
      </c>
    </row>
    <row r="26" ht="27.75" customHeight="1">
      <c r="A26" s="56" t="s">
        <v>525</v>
      </c>
      <c r="B26" s="57" t="s">
        <v>31</v>
      </c>
      <c r="C26" s="58" t="s">
        <v>527</v>
      </c>
      <c r="D26" s="57" t="s">
        <v>363</v>
      </c>
      <c r="E26" s="59" t="s">
        <v>522</v>
      </c>
      <c r="F26" s="57" t="str">
        <f t="shared" si="1"/>
        <v>Menipis</v>
      </c>
      <c r="G26" s="56">
        <v>2.0</v>
      </c>
      <c r="H26" s="60">
        <v>5000.0</v>
      </c>
      <c r="I26" s="60">
        <v>15000.0</v>
      </c>
      <c r="J26" s="60">
        <f t="shared" si="4"/>
        <v>10000</v>
      </c>
      <c r="K26" s="61">
        <f t="shared" si="5"/>
        <v>2</v>
      </c>
    </row>
    <row r="27" ht="27.75" customHeight="1">
      <c r="A27" s="56" t="s">
        <v>540</v>
      </c>
      <c r="B27" s="57" t="s">
        <v>31</v>
      </c>
      <c r="C27" s="58" t="s">
        <v>541</v>
      </c>
      <c r="D27" s="57" t="s">
        <v>542</v>
      </c>
      <c r="E27" s="59" t="s">
        <v>387</v>
      </c>
      <c r="F27" s="57" t="str">
        <f t="shared" si="1"/>
        <v>Menipis</v>
      </c>
      <c r="G27" s="56">
        <v>1.0</v>
      </c>
      <c r="H27" s="60">
        <v>20000.0</v>
      </c>
      <c r="I27" s="60">
        <v>35000.0</v>
      </c>
      <c r="J27" s="60">
        <f t="shared" si="4"/>
        <v>15000</v>
      </c>
      <c r="K27" s="61">
        <f t="shared" si="5"/>
        <v>0.75</v>
      </c>
    </row>
    <row r="28" ht="27.75" customHeight="1">
      <c r="A28" s="56" t="s">
        <v>555</v>
      </c>
      <c r="B28" s="57" t="s">
        <v>31</v>
      </c>
      <c r="C28" s="58" t="s">
        <v>558</v>
      </c>
      <c r="D28" s="57" t="s">
        <v>542</v>
      </c>
      <c r="E28" s="59" t="s">
        <v>387</v>
      </c>
      <c r="F28" s="57" t="str">
        <f t="shared" si="1"/>
        <v>Menipis</v>
      </c>
      <c r="G28" s="56">
        <v>1.0</v>
      </c>
      <c r="H28" s="60">
        <v>24000.0</v>
      </c>
      <c r="I28" s="60">
        <v>40000.0</v>
      </c>
      <c r="J28" s="60">
        <f t="shared" si="4"/>
        <v>16000</v>
      </c>
      <c r="K28" s="61">
        <f t="shared" si="5"/>
        <v>0.6666666667</v>
      </c>
    </row>
    <row r="29" ht="27.75" customHeight="1">
      <c r="A29" s="56" t="s">
        <v>576</v>
      </c>
      <c r="B29" s="57" t="s">
        <v>31</v>
      </c>
      <c r="C29" s="58" t="s">
        <v>577</v>
      </c>
      <c r="D29" s="57" t="s">
        <v>542</v>
      </c>
      <c r="E29" s="59" t="s">
        <v>387</v>
      </c>
      <c r="F29" s="57" t="str">
        <f t="shared" si="1"/>
        <v>Menipis</v>
      </c>
      <c r="G29" s="56">
        <v>2.0</v>
      </c>
      <c r="H29" s="60">
        <v>21500.0</v>
      </c>
      <c r="I29" s="60">
        <v>35000.0</v>
      </c>
      <c r="J29" s="60">
        <f t="shared" si="4"/>
        <v>13500</v>
      </c>
      <c r="K29" s="61">
        <f t="shared" si="5"/>
        <v>0.6279069767</v>
      </c>
    </row>
    <row r="30" ht="27.75" customHeight="1">
      <c r="A30" s="56" t="s">
        <v>594</v>
      </c>
      <c r="B30" s="57" t="s">
        <v>31</v>
      </c>
      <c r="C30" s="58" t="s">
        <v>596</v>
      </c>
      <c r="D30" s="57" t="s">
        <v>542</v>
      </c>
      <c r="E30" s="59" t="s">
        <v>387</v>
      </c>
      <c r="F30" s="57" t="str">
        <f t="shared" si="1"/>
        <v>Menipis</v>
      </c>
      <c r="G30" s="56">
        <v>2.0</v>
      </c>
      <c r="H30" s="60">
        <v>35500.0</v>
      </c>
      <c r="I30" s="60">
        <v>60000.0</v>
      </c>
      <c r="J30" s="60">
        <f t="shared" si="4"/>
        <v>24500</v>
      </c>
      <c r="K30" s="61">
        <f t="shared" si="5"/>
        <v>0.6901408451</v>
      </c>
    </row>
    <row r="31" ht="27.75" customHeight="1">
      <c r="A31" s="56" t="s">
        <v>610</v>
      </c>
      <c r="B31" s="57" t="s">
        <v>31</v>
      </c>
      <c r="C31" s="58" t="s">
        <v>612</v>
      </c>
      <c r="D31" s="57" t="s">
        <v>542</v>
      </c>
      <c r="E31" s="59" t="s">
        <v>387</v>
      </c>
      <c r="F31" s="57" t="str">
        <f t="shared" si="1"/>
        <v>Menipis</v>
      </c>
      <c r="G31" s="56">
        <v>2.0</v>
      </c>
      <c r="H31" s="60">
        <v>30500.0</v>
      </c>
      <c r="I31" s="60">
        <v>55000.0</v>
      </c>
      <c r="J31" s="60">
        <f t="shared" si="4"/>
        <v>24500</v>
      </c>
      <c r="K31" s="61">
        <f t="shared" si="5"/>
        <v>0.8032786885</v>
      </c>
    </row>
    <row r="32" ht="27.75" customHeight="1">
      <c r="A32" s="56" t="s">
        <v>624</v>
      </c>
      <c r="B32" s="57" t="s">
        <v>31</v>
      </c>
      <c r="C32" s="58" t="s">
        <v>625</v>
      </c>
      <c r="D32" s="57" t="s">
        <v>542</v>
      </c>
      <c r="E32" s="59" t="s">
        <v>387</v>
      </c>
      <c r="F32" s="57" t="str">
        <f t="shared" si="1"/>
        <v>Menipis</v>
      </c>
      <c r="G32" s="56">
        <v>1.0</v>
      </c>
      <c r="H32" s="60">
        <v>29000.0</v>
      </c>
      <c r="I32" s="60">
        <v>50000.0</v>
      </c>
      <c r="J32" s="60">
        <f t="shared" si="4"/>
        <v>21000</v>
      </c>
      <c r="K32" s="61">
        <f t="shared" si="5"/>
        <v>0.724137931</v>
      </c>
    </row>
    <row r="33" ht="27.75" customHeight="1">
      <c r="A33" s="56" t="s">
        <v>642</v>
      </c>
      <c r="B33" s="57" t="s">
        <v>31</v>
      </c>
      <c r="C33" s="58" t="s">
        <v>645</v>
      </c>
      <c r="D33" s="57" t="s">
        <v>542</v>
      </c>
      <c r="E33" s="59" t="s">
        <v>387</v>
      </c>
      <c r="F33" s="57" t="str">
        <f t="shared" si="1"/>
        <v>Menipis</v>
      </c>
      <c r="G33" s="56">
        <v>1.0</v>
      </c>
      <c r="H33" s="60">
        <v>20500.0</v>
      </c>
      <c r="I33" s="60">
        <v>40000.0</v>
      </c>
      <c r="J33" s="60">
        <f t="shared" si="4"/>
        <v>19500</v>
      </c>
      <c r="K33" s="61">
        <f t="shared" si="5"/>
        <v>0.9512195122</v>
      </c>
    </row>
    <row r="34" ht="27.75" customHeight="1">
      <c r="A34" s="56" t="s">
        <v>662</v>
      </c>
      <c r="B34" s="57" t="s">
        <v>31</v>
      </c>
      <c r="C34" s="58" t="s">
        <v>664</v>
      </c>
      <c r="D34" s="57" t="s">
        <v>363</v>
      </c>
      <c r="E34" s="59" t="s">
        <v>387</v>
      </c>
      <c r="F34" s="57" t="str">
        <f t="shared" si="1"/>
        <v>Menipis</v>
      </c>
      <c r="G34" s="56">
        <v>2.0</v>
      </c>
      <c r="H34" s="60">
        <v>7500.0</v>
      </c>
      <c r="I34" s="60">
        <v>20000.0</v>
      </c>
      <c r="J34" s="60">
        <f t="shared" si="4"/>
        <v>12500</v>
      </c>
      <c r="K34" s="61">
        <f t="shared" si="5"/>
        <v>1.666666667</v>
      </c>
    </row>
    <row r="35" ht="27.75" customHeight="1">
      <c r="A35" s="56" t="s">
        <v>684</v>
      </c>
      <c r="B35" s="57" t="s">
        <v>31</v>
      </c>
      <c r="C35" s="58" t="s">
        <v>685</v>
      </c>
      <c r="D35" s="57" t="s">
        <v>363</v>
      </c>
      <c r="E35" s="59" t="s">
        <v>387</v>
      </c>
      <c r="F35" s="57" t="str">
        <f t="shared" si="1"/>
        <v>Menipis</v>
      </c>
      <c r="G35" s="56">
        <v>1.0</v>
      </c>
      <c r="H35" s="60">
        <v>5000.0</v>
      </c>
      <c r="I35" s="60">
        <v>15000.0</v>
      </c>
      <c r="J35" s="60">
        <f t="shared" si="4"/>
        <v>10000</v>
      </c>
      <c r="K35" s="61">
        <f t="shared" si="5"/>
        <v>2</v>
      </c>
    </row>
    <row r="36" ht="27.75" customHeight="1">
      <c r="A36" s="56" t="s">
        <v>697</v>
      </c>
      <c r="B36" s="57" t="s">
        <v>31</v>
      </c>
      <c r="C36" s="58" t="s">
        <v>699</v>
      </c>
      <c r="D36" s="57" t="s">
        <v>363</v>
      </c>
      <c r="E36" s="59" t="s">
        <v>387</v>
      </c>
      <c r="F36" s="57" t="str">
        <f t="shared" si="1"/>
        <v>Menipis</v>
      </c>
      <c r="G36" s="56">
        <v>3.0</v>
      </c>
      <c r="H36" s="60">
        <v>5000.0</v>
      </c>
      <c r="I36" s="60">
        <v>15000.0</v>
      </c>
      <c r="J36" s="60">
        <f t="shared" si="4"/>
        <v>10000</v>
      </c>
      <c r="K36" s="61">
        <f t="shared" si="5"/>
        <v>2</v>
      </c>
    </row>
    <row r="37" ht="27.75" customHeight="1">
      <c r="A37" s="56" t="s">
        <v>720</v>
      </c>
      <c r="B37" s="57" t="s">
        <v>31</v>
      </c>
      <c r="C37" s="58" t="s">
        <v>721</v>
      </c>
      <c r="D37" s="57" t="s">
        <v>33</v>
      </c>
      <c r="E37" s="59" t="s">
        <v>34</v>
      </c>
      <c r="F37" s="57" t="str">
        <f t="shared" si="1"/>
        <v>Tersedia</v>
      </c>
      <c r="G37" s="64">
        <v>11.0</v>
      </c>
      <c r="H37" s="60">
        <v>15000.0</v>
      </c>
      <c r="I37" s="60">
        <v>25000.0</v>
      </c>
      <c r="J37" s="60">
        <f t="shared" si="4"/>
        <v>10000</v>
      </c>
      <c r="K37" s="61">
        <f t="shared" si="5"/>
        <v>0.6666666667</v>
      </c>
    </row>
    <row r="38" ht="27.75" customHeight="1">
      <c r="A38" s="56" t="s">
        <v>749</v>
      </c>
      <c r="B38" s="57" t="s">
        <v>31</v>
      </c>
      <c r="C38" s="58" t="s">
        <v>752</v>
      </c>
      <c r="D38" s="57" t="s">
        <v>363</v>
      </c>
      <c r="E38" s="59" t="s">
        <v>753</v>
      </c>
      <c r="F38" s="57" t="str">
        <f t="shared" si="1"/>
        <v>Menipis</v>
      </c>
      <c r="G38" s="56">
        <v>2.0</v>
      </c>
      <c r="H38" s="60">
        <v>20000.0</v>
      </c>
      <c r="I38" s="60">
        <v>40000.0</v>
      </c>
      <c r="J38" s="60">
        <f t="shared" si="4"/>
        <v>20000</v>
      </c>
      <c r="K38" s="61">
        <f t="shared" si="5"/>
        <v>1</v>
      </c>
    </row>
    <row r="39" ht="27.75" customHeight="1">
      <c r="A39" s="56" t="s">
        <v>766</v>
      </c>
      <c r="B39" s="57" t="s">
        <v>31</v>
      </c>
      <c r="C39" s="58" t="s">
        <v>767</v>
      </c>
      <c r="D39" s="57" t="s">
        <v>363</v>
      </c>
      <c r="E39" s="59" t="s">
        <v>773</v>
      </c>
      <c r="F39" s="57" t="str">
        <f t="shared" si="1"/>
        <v>Menipis</v>
      </c>
      <c r="G39" s="56">
        <v>1.0</v>
      </c>
      <c r="H39" s="60">
        <v>30000.0</v>
      </c>
      <c r="I39" s="60">
        <v>60000.0</v>
      </c>
      <c r="J39" s="60">
        <f t="shared" si="4"/>
        <v>30000</v>
      </c>
      <c r="K39" s="61">
        <f t="shared" si="5"/>
        <v>1</v>
      </c>
    </row>
    <row r="40" ht="27.75" customHeight="1">
      <c r="A40" s="56" t="s">
        <v>807</v>
      </c>
      <c r="B40" s="57" t="s">
        <v>31</v>
      </c>
      <c r="C40" s="58" t="s">
        <v>810</v>
      </c>
      <c r="D40" s="57" t="s">
        <v>363</v>
      </c>
      <c r="E40" s="59" t="s">
        <v>773</v>
      </c>
      <c r="F40" s="57" t="str">
        <f t="shared" si="1"/>
        <v>Menipis</v>
      </c>
      <c r="G40" s="56">
        <v>1.0</v>
      </c>
      <c r="H40" s="60">
        <v>15000.0</v>
      </c>
      <c r="I40" s="60">
        <v>35000.0</v>
      </c>
      <c r="J40" s="60">
        <f t="shared" si="4"/>
        <v>20000</v>
      </c>
      <c r="K40" s="61">
        <f t="shared" si="5"/>
        <v>1.333333333</v>
      </c>
    </row>
    <row r="41" ht="27.75" customHeight="1">
      <c r="A41" s="56" t="s">
        <v>840</v>
      </c>
      <c r="B41" s="57" t="s">
        <v>31</v>
      </c>
      <c r="C41" s="58" t="s">
        <v>843</v>
      </c>
      <c r="D41" s="57" t="s">
        <v>845</v>
      </c>
      <c r="E41" s="59" t="s">
        <v>846</v>
      </c>
      <c r="F41" s="57" t="str">
        <f t="shared" si="1"/>
        <v>Menipis</v>
      </c>
      <c r="G41" s="56">
        <v>3.0</v>
      </c>
      <c r="H41" s="60">
        <v>35000.0</v>
      </c>
      <c r="I41" s="60">
        <v>70000.0</v>
      </c>
      <c r="J41" s="60">
        <f t="shared" si="4"/>
        <v>35000</v>
      </c>
      <c r="K41" s="61">
        <f t="shared" si="5"/>
        <v>1</v>
      </c>
    </row>
    <row r="42" ht="27.75" customHeight="1">
      <c r="A42" s="56" t="s">
        <v>872</v>
      </c>
      <c r="B42" s="57" t="s">
        <v>31</v>
      </c>
      <c r="C42" s="58" t="s">
        <v>875</v>
      </c>
      <c r="D42" s="57" t="s">
        <v>845</v>
      </c>
      <c r="E42" s="59" t="s">
        <v>846</v>
      </c>
      <c r="F42" s="57" t="str">
        <f t="shared" si="1"/>
        <v>Menipis</v>
      </c>
      <c r="G42" s="56">
        <v>1.0</v>
      </c>
      <c r="H42" s="60">
        <v>21500.0</v>
      </c>
      <c r="I42" s="60">
        <v>45000.0</v>
      </c>
      <c r="J42" s="60">
        <f t="shared" si="4"/>
        <v>23500</v>
      </c>
      <c r="K42" s="61">
        <f t="shared" si="5"/>
        <v>1.093023256</v>
      </c>
    </row>
    <row r="43" ht="27.75" customHeight="1">
      <c r="A43" s="56" t="s">
        <v>908</v>
      </c>
      <c r="B43" s="57" t="s">
        <v>31</v>
      </c>
      <c r="C43" s="58" t="s">
        <v>912</v>
      </c>
      <c r="D43" s="57" t="s">
        <v>845</v>
      </c>
      <c r="E43" s="59" t="s">
        <v>846</v>
      </c>
      <c r="F43" s="57" t="str">
        <f t="shared" si="1"/>
        <v>Menipis</v>
      </c>
      <c r="G43" s="56">
        <v>1.0</v>
      </c>
      <c r="H43" s="60">
        <v>40000.0</v>
      </c>
      <c r="I43" s="60">
        <v>80000.0</v>
      </c>
      <c r="J43" s="60">
        <f t="shared" si="4"/>
        <v>40000</v>
      </c>
      <c r="K43" s="61">
        <f t="shared" si="5"/>
        <v>1</v>
      </c>
    </row>
    <row r="44" ht="27.75" customHeight="1">
      <c r="A44" s="56" t="s">
        <v>941</v>
      </c>
      <c r="B44" s="57" t="s">
        <v>31</v>
      </c>
      <c r="C44" s="58" t="s">
        <v>943</v>
      </c>
      <c r="D44" s="57" t="s">
        <v>945</v>
      </c>
      <c r="E44" s="59" t="s">
        <v>846</v>
      </c>
      <c r="F44" s="57" t="str">
        <f t="shared" si="1"/>
        <v>Menipis</v>
      </c>
      <c r="G44" s="56">
        <v>1.0</v>
      </c>
      <c r="H44" s="60">
        <v>25000.0</v>
      </c>
      <c r="I44" s="60">
        <v>50000.0</v>
      </c>
      <c r="J44" s="60">
        <f t="shared" si="4"/>
        <v>25000</v>
      </c>
      <c r="K44" s="61">
        <f t="shared" si="5"/>
        <v>1</v>
      </c>
    </row>
    <row r="45" ht="27.75" customHeight="1">
      <c r="A45" s="56" t="s">
        <v>968</v>
      </c>
      <c r="B45" s="57" t="s">
        <v>31</v>
      </c>
      <c r="C45" s="58" t="s">
        <v>971</v>
      </c>
      <c r="D45" s="57" t="s">
        <v>845</v>
      </c>
      <c r="E45" s="59" t="s">
        <v>846</v>
      </c>
      <c r="F45" s="57" t="str">
        <f t="shared" si="1"/>
        <v>Menipis</v>
      </c>
      <c r="G45" s="56">
        <v>1.0</v>
      </c>
      <c r="H45" s="60">
        <v>22500.0</v>
      </c>
      <c r="I45" s="60">
        <v>55000.0</v>
      </c>
      <c r="J45" s="60">
        <f t="shared" si="4"/>
        <v>32500</v>
      </c>
      <c r="K45" s="61">
        <f t="shared" si="5"/>
        <v>1.444444444</v>
      </c>
    </row>
    <row r="46" ht="27.75" customHeight="1">
      <c r="A46" s="56" t="s">
        <v>1011</v>
      </c>
      <c r="B46" s="57" t="s">
        <v>31</v>
      </c>
      <c r="C46" s="58" t="s">
        <v>1014</v>
      </c>
      <c r="D46" s="57" t="s">
        <v>945</v>
      </c>
      <c r="E46" s="59" t="s">
        <v>846</v>
      </c>
      <c r="F46" s="57" t="str">
        <f t="shared" si="1"/>
        <v>Menipis</v>
      </c>
      <c r="G46" s="56">
        <v>1.0</v>
      </c>
      <c r="H46" s="60">
        <v>47500.0</v>
      </c>
      <c r="I46" s="60">
        <v>100000.0</v>
      </c>
      <c r="J46" s="60">
        <f t="shared" si="4"/>
        <v>52500</v>
      </c>
      <c r="K46" s="61">
        <f t="shared" si="5"/>
        <v>1.105263158</v>
      </c>
    </row>
    <row r="47" ht="27.75" customHeight="1">
      <c r="A47" s="56" t="s">
        <v>1041</v>
      </c>
      <c r="B47" s="57" t="s">
        <v>31</v>
      </c>
      <c r="C47" s="58" t="s">
        <v>1043</v>
      </c>
      <c r="D47" s="57" t="s">
        <v>945</v>
      </c>
      <c r="E47" s="59" t="s">
        <v>846</v>
      </c>
      <c r="F47" s="57" t="str">
        <f t="shared" si="1"/>
        <v>Menipis</v>
      </c>
      <c r="G47" s="56">
        <v>1.0</v>
      </c>
      <c r="H47" s="60">
        <v>25000.0</v>
      </c>
      <c r="I47" s="60">
        <v>50000.0</v>
      </c>
      <c r="J47" s="60">
        <f t="shared" si="4"/>
        <v>25000</v>
      </c>
      <c r="K47" s="61">
        <f t="shared" si="5"/>
        <v>1</v>
      </c>
    </row>
    <row r="48" ht="27.75" customHeight="1">
      <c r="A48" s="56" t="s">
        <v>1067</v>
      </c>
      <c r="B48" s="57" t="s">
        <v>31</v>
      </c>
      <c r="C48" s="58" t="s">
        <v>1070</v>
      </c>
      <c r="D48" s="57" t="s">
        <v>945</v>
      </c>
      <c r="E48" s="59" t="s">
        <v>846</v>
      </c>
      <c r="F48" s="57" t="str">
        <f t="shared" si="1"/>
        <v>Menipis</v>
      </c>
      <c r="G48" s="56">
        <v>1.0</v>
      </c>
      <c r="H48" s="60">
        <v>47500.0</v>
      </c>
      <c r="I48" s="60">
        <v>95000.0</v>
      </c>
      <c r="J48" s="60">
        <f t="shared" si="4"/>
        <v>47500</v>
      </c>
      <c r="K48" s="61">
        <f t="shared" si="5"/>
        <v>1</v>
      </c>
    </row>
    <row r="49" ht="27.75" customHeight="1">
      <c r="A49" s="56" t="s">
        <v>1089</v>
      </c>
      <c r="B49" s="57" t="s">
        <v>31</v>
      </c>
      <c r="C49" s="58" t="s">
        <v>1091</v>
      </c>
      <c r="D49" s="57" t="s">
        <v>1093</v>
      </c>
      <c r="E49" s="59" t="s">
        <v>846</v>
      </c>
      <c r="F49" s="57" t="str">
        <f t="shared" si="1"/>
        <v>Menipis</v>
      </c>
      <c r="G49" s="56">
        <v>1.0</v>
      </c>
      <c r="H49" s="60">
        <v>42500.0</v>
      </c>
      <c r="I49" s="60">
        <v>85000.0</v>
      </c>
      <c r="J49" s="60">
        <f t="shared" si="4"/>
        <v>42500</v>
      </c>
      <c r="K49" s="61">
        <f t="shared" si="5"/>
        <v>1</v>
      </c>
    </row>
    <row r="50" ht="27.75" customHeight="1">
      <c r="A50" s="56" t="s">
        <v>1108</v>
      </c>
      <c r="B50" s="57" t="s">
        <v>31</v>
      </c>
      <c r="C50" s="58" t="s">
        <v>1111</v>
      </c>
      <c r="D50" s="57" t="s">
        <v>1112</v>
      </c>
      <c r="E50" s="59" t="s">
        <v>846</v>
      </c>
      <c r="F50" s="57" t="str">
        <f t="shared" si="1"/>
        <v>Tersedia</v>
      </c>
      <c r="G50" s="56">
        <v>5.0</v>
      </c>
      <c r="H50" s="60">
        <v>14500.0</v>
      </c>
      <c r="I50" s="60">
        <v>25000.0</v>
      </c>
      <c r="J50" s="60">
        <f t="shared" si="4"/>
        <v>10500</v>
      </c>
      <c r="K50" s="61">
        <f t="shared" si="5"/>
        <v>0.724137931</v>
      </c>
    </row>
    <row r="51" ht="27.75" customHeight="1">
      <c r="A51" s="56" t="s">
        <v>1142</v>
      </c>
      <c r="B51" s="57" t="s">
        <v>31</v>
      </c>
      <c r="C51" s="58" t="s">
        <v>1145</v>
      </c>
      <c r="D51" s="57" t="s">
        <v>363</v>
      </c>
      <c r="E51" s="59" t="s">
        <v>753</v>
      </c>
      <c r="F51" s="57" t="str">
        <f t="shared" si="1"/>
        <v>Menipis</v>
      </c>
      <c r="G51" s="56">
        <v>1.0</v>
      </c>
      <c r="H51" s="60">
        <v>75000.0</v>
      </c>
      <c r="I51" s="60">
        <v>150000.0</v>
      </c>
      <c r="J51" s="60">
        <f t="shared" si="4"/>
        <v>75000</v>
      </c>
      <c r="K51" s="61">
        <f t="shared" si="5"/>
        <v>1</v>
      </c>
    </row>
    <row r="52" ht="27.75" customHeight="1">
      <c r="A52" s="56" t="s">
        <v>1171</v>
      </c>
      <c r="B52" s="57" t="s">
        <v>1172</v>
      </c>
      <c r="C52" s="58" t="s">
        <v>1174</v>
      </c>
      <c r="D52" s="57" t="s">
        <v>1176</v>
      </c>
      <c r="E52" s="159" t="s">
        <v>1177</v>
      </c>
      <c r="F52" s="57" t="s">
        <v>1180</v>
      </c>
      <c r="G52" s="64">
        <v>2.0</v>
      </c>
      <c r="H52" s="60">
        <v>43500.0</v>
      </c>
      <c r="I52" s="60">
        <v>90000.0</v>
      </c>
      <c r="J52" s="60">
        <v>46500.0</v>
      </c>
      <c r="K52" s="61">
        <v>1.07</v>
      </c>
    </row>
    <row r="53" ht="27.75" customHeight="1">
      <c r="A53" s="56" t="s">
        <v>1199</v>
      </c>
      <c r="B53" s="57" t="s">
        <v>31</v>
      </c>
      <c r="C53" s="58" t="s">
        <v>1203</v>
      </c>
      <c r="D53" s="57" t="s">
        <v>363</v>
      </c>
      <c r="E53" s="59" t="s">
        <v>1205</v>
      </c>
      <c r="F53" s="57" t="str">
        <f>IF(G53="", "", IF(G53&lt;=0, "Habis", IF(G53&lt;=3, "Menipis", "Tersedia")))</f>
        <v>Menipis</v>
      </c>
      <c r="G53" s="64">
        <v>3.0</v>
      </c>
      <c r="H53" s="60">
        <v>9500.0</v>
      </c>
      <c r="I53" s="60">
        <v>25000.0</v>
      </c>
      <c r="J53" s="60">
        <f>I53-H53</f>
        <v>15500</v>
      </c>
      <c r="K53" s="61">
        <f>J53/H53*100%</f>
        <v>1.631578947</v>
      </c>
    </row>
    <row r="54" ht="27.75" customHeight="1">
      <c r="A54" s="56" t="s">
        <v>1226</v>
      </c>
      <c r="B54" s="57" t="s">
        <v>1172</v>
      </c>
      <c r="C54" s="58" t="s">
        <v>1229</v>
      </c>
      <c r="D54" s="57" t="s">
        <v>1230</v>
      </c>
      <c r="E54" s="159" t="s">
        <v>1232</v>
      </c>
      <c r="F54" s="57" t="s">
        <v>1180</v>
      </c>
      <c r="G54" s="64">
        <v>2.0</v>
      </c>
      <c r="H54" s="60">
        <v>13500.0</v>
      </c>
      <c r="I54" s="60">
        <v>30000.0</v>
      </c>
      <c r="J54" s="60">
        <v>16500.0</v>
      </c>
      <c r="K54" s="61">
        <v>1.22</v>
      </c>
    </row>
    <row r="55" ht="27.75" customHeight="1">
      <c r="A55" s="56" t="s">
        <v>1244</v>
      </c>
      <c r="B55" s="57" t="s">
        <v>1172</v>
      </c>
      <c r="C55" s="58" t="s">
        <v>1247</v>
      </c>
      <c r="D55" s="57" t="s">
        <v>1248</v>
      </c>
      <c r="E55" s="159" t="s">
        <v>1232</v>
      </c>
      <c r="F55" s="57" t="s">
        <v>1180</v>
      </c>
      <c r="G55" s="64">
        <v>1.0</v>
      </c>
      <c r="H55" s="60">
        <v>13500.0</v>
      </c>
      <c r="I55" s="60">
        <v>20000.0</v>
      </c>
      <c r="J55" s="60">
        <v>6500.0</v>
      </c>
      <c r="K55" s="61">
        <v>0.48</v>
      </c>
    </row>
    <row r="56" ht="27.75" customHeight="1">
      <c r="A56" s="56" t="s">
        <v>1268</v>
      </c>
      <c r="B56" s="57" t="s">
        <v>31</v>
      </c>
      <c r="C56" s="58" t="s">
        <v>1269</v>
      </c>
      <c r="D56" s="57" t="s">
        <v>845</v>
      </c>
      <c r="E56" s="59" t="s">
        <v>1272</v>
      </c>
      <c r="F56" s="57" t="str">
        <f t="shared" ref="F56:F66" si="6">IF(G56="", "", IF(G56&lt;=0, "Habis", IF(G56&lt;=3, "Menipis", "Tersedia")))</f>
        <v>Menipis</v>
      </c>
      <c r="G56" s="56">
        <v>2.0</v>
      </c>
      <c r="H56" s="60">
        <v>30000.0</v>
      </c>
      <c r="I56" s="60">
        <v>60000.0</v>
      </c>
      <c r="J56" s="60">
        <f t="shared" ref="J56:J66" si="7">I56-H56</f>
        <v>30000</v>
      </c>
      <c r="K56" s="61">
        <f t="shared" ref="K56:K66" si="8">J56/H56*100%</f>
        <v>1</v>
      </c>
    </row>
    <row r="57" ht="27.75" customHeight="1">
      <c r="A57" s="56" t="s">
        <v>1297</v>
      </c>
      <c r="B57" s="57" t="s">
        <v>31</v>
      </c>
      <c r="C57" s="58" t="s">
        <v>1300</v>
      </c>
      <c r="D57" s="57" t="s">
        <v>542</v>
      </c>
      <c r="E57" s="59" t="s">
        <v>1272</v>
      </c>
      <c r="F57" s="57" t="str">
        <f t="shared" si="6"/>
        <v>Menipis</v>
      </c>
      <c r="G57" s="56">
        <v>1.0</v>
      </c>
      <c r="H57" s="60">
        <v>58750.0</v>
      </c>
      <c r="I57" s="60">
        <v>95000.0</v>
      </c>
      <c r="J57" s="60">
        <f t="shared" si="7"/>
        <v>36250</v>
      </c>
      <c r="K57" s="61">
        <f t="shared" si="8"/>
        <v>0.6170212766</v>
      </c>
    </row>
    <row r="58" ht="27.75" customHeight="1">
      <c r="A58" s="56" t="s">
        <v>1319</v>
      </c>
      <c r="B58" s="57" t="s">
        <v>31</v>
      </c>
      <c r="C58" s="58" t="s">
        <v>1321</v>
      </c>
      <c r="D58" s="57" t="s">
        <v>542</v>
      </c>
      <c r="E58" s="59" t="s">
        <v>1272</v>
      </c>
      <c r="F58" s="57" t="str">
        <f t="shared" si="6"/>
        <v>Menipis</v>
      </c>
      <c r="G58" s="56">
        <v>1.0</v>
      </c>
      <c r="H58" s="60">
        <v>61500.0</v>
      </c>
      <c r="I58" s="60">
        <v>100000.0</v>
      </c>
      <c r="J58" s="60">
        <f t="shared" si="7"/>
        <v>38500</v>
      </c>
      <c r="K58" s="61">
        <f t="shared" si="8"/>
        <v>0.6260162602</v>
      </c>
    </row>
    <row r="59" ht="27.75" customHeight="1">
      <c r="A59" s="56" t="s">
        <v>1341</v>
      </c>
      <c r="B59" s="57" t="s">
        <v>31</v>
      </c>
      <c r="C59" s="58" t="s">
        <v>1342</v>
      </c>
      <c r="D59" s="57" t="s">
        <v>542</v>
      </c>
      <c r="E59" s="59" t="s">
        <v>1272</v>
      </c>
      <c r="F59" s="57" t="str">
        <f t="shared" si="6"/>
        <v>Menipis</v>
      </c>
      <c r="G59" s="56">
        <v>1.0</v>
      </c>
      <c r="H59" s="60">
        <v>61000.0</v>
      </c>
      <c r="I59" s="60">
        <v>110000.0</v>
      </c>
      <c r="J59" s="60">
        <f t="shared" si="7"/>
        <v>49000</v>
      </c>
      <c r="K59" s="61">
        <f t="shared" si="8"/>
        <v>0.8032786885</v>
      </c>
    </row>
    <row r="60" ht="27.75" customHeight="1">
      <c r="A60" s="56" t="s">
        <v>1371</v>
      </c>
      <c r="B60" s="57" t="s">
        <v>31</v>
      </c>
      <c r="C60" s="58" t="s">
        <v>1373</v>
      </c>
      <c r="D60" s="57" t="s">
        <v>363</v>
      </c>
      <c r="E60" s="59" t="s">
        <v>1272</v>
      </c>
      <c r="F60" s="57" t="str">
        <f t="shared" si="6"/>
        <v>Tersedia</v>
      </c>
      <c r="G60" s="56">
        <v>5.0</v>
      </c>
      <c r="H60" s="60">
        <v>46250.0</v>
      </c>
      <c r="I60" s="60">
        <v>70000.0</v>
      </c>
      <c r="J60" s="60">
        <f t="shared" si="7"/>
        <v>23750</v>
      </c>
      <c r="K60" s="61">
        <f t="shared" si="8"/>
        <v>0.5135135135</v>
      </c>
    </row>
    <row r="61" ht="27.75" customHeight="1">
      <c r="A61" s="56" t="s">
        <v>1389</v>
      </c>
      <c r="B61" s="57" t="s">
        <v>31</v>
      </c>
      <c r="C61" s="58" t="s">
        <v>1392</v>
      </c>
      <c r="D61" s="57" t="s">
        <v>363</v>
      </c>
      <c r="E61" s="59" t="s">
        <v>1272</v>
      </c>
      <c r="F61" s="57" t="str">
        <f t="shared" si="6"/>
        <v>Menipis</v>
      </c>
      <c r="G61" s="56">
        <v>1.0</v>
      </c>
      <c r="H61" s="60">
        <v>7500.0</v>
      </c>
      <c r="I61" s="60">
        <v>20000.0</v>
      </c>
      <c r="J61" s="60">
        <f t="shared" si="7"/>
        <v>12500</v>
      </c>
      <c r="K61" s="61">
        <f t="shared" si="8"/>
        <v>1.666666667</v>
      </c>
    </row>
    <row r="62" ht="27.75" customHeight="1">
      <c r="A62" s="56" t="s">
        <v>1415</v>
      </c>
      <c r="B62" s="57" t="s">
        <v>31</v>
      </c>
      <c r="C62" s="58" t="s">
        <v>1418</v>
      </c>
      <c r="D62" s="57" t="s">
        <v>363</v>
      </c>
      <c r="E62" s="59" t="s">
        <v>1272</v>
      </c>
      <c r="F62" s="57" t="str">
        <f t="shared" si="6"/>
        <v>Tersedia</v>
      </c>
      <c r="G62" s="56">
        <v>19.0</v>
      </c>
      <c r="H62" s="60">
        <v>14000.0</v>
      </c>
      <c r="I62" s="60">
        <v>30000.0</v>
      </c>
      <c r="J62" s="60">
        <f t="shared" si="7"/>
        <v>16000</v>
      </c>
      <c r="K62" s="61">
        <f t="shared" si="8"/>
        <v>1.142857143</v>
      </c>
    </row>
    <row r="63" ht="27.75" customHeight="1">
      <c r="A63" s="56" t="s">
        <v>1447</v>
      </c>
      <c r="B63" s="57" t="s">
        <v>31</v>
      </c>
      <c r="C63" s="58" t="s">
        <v>1450</v>
      </c>
      <c r="D63" s="57" t="s">
        <v>542</v>
      </c>
      <c r="E63" s="59" t="s">
        <v>1272</v>
      </c>
      <c r="F63" s="57" t="str">
        <f t="shared" si="6"/>
        <v>Habis</v>
      </c>
      <c r="G63" s="56">
        <v>0.0</v>
      </c>
      <c r="H63" s="60">
        <v>15000.0</v>
      </c>
      <c r="I63" s="60">
        <v>30000.0</v>
      </c>
      <c r="J63" s="60">
        <f t="shared" si="7"/>
        <v>15000</v>
      </c>
      <c r="K63" s="61">
        <f t="shared" si="8"/>
        <v>1</v>
      </c>
    </row>
    <row r="64" ht="27.75" customHeight="1">
      <c r="A64" s="56" t="s">
        <v>1478</v>
      </c>
      <c r="B64" s="57" t="s">
        <v>31</v>
      </c>
      <c r="C64" s="58" t="s">
        <v>1483</v>
      </c>
      <c r="D64" s="57" t="s">
        <v>1485</v>
      </c>
      <c r="E64" s="59" t="s">
        <v>1272</v>
      </c>
      <c r="F64" s="57" t="str">
        <f t="shared" si="6"/>
        <v>Menipis</v>
      </c>
      <c r="G64" s="56">
        <v>1.0</v>
      </c>
      <c r="H64" s="60">
        <v>25000.0</v>
      </c>
      <c r="I64" s="60">
        <v>45000.0</v>
      </c>
      <c r="J64" s="60">
        <f t="shared" si="7"/>
        <v>20000</v>
      </c>
      <c r="K64" s="61">
        <f t="shared" si="8"/>
        <v>0.8</v>
      </c>
    </row>
    <row r="65" ht="27.75" customHeight="1">
      <c r="A65" s="56" t="s">
        <v>1508</v>
      </c>
      <c r="B65" s="57" t="s">
        <v>31</v>
      </c>
      <c r="C65" s="58" t="s">
        <v>1510</v>
      </c>
      <c r="D65" s="57" t="s">
        <v>542</v>
      </c>
      <c r="E65" s="59" t="s">
        <v>1272</v>
      </c>
      <c r="F65" s="57" t="str">
        <f t="shared" si="6"/>
        <v>Menipis</v>
      </c>
      <c r="G65" s="56">
        <v>1.0</v>
      </c>
      <c r="H65" s="60">
        <v>58200.0</v>
      </c>
      <c r="I65" s="60">
        <v>120000.0</v>
      </c>
      <c r="J65" s="60">
        <f t="shared" si="7"/>
        <v>61800</v>
      </c>
      <c r="K65" s="61">
        <f t="shared" si="8"/>
        <v>1.06185567</v>
      </c>
    </row>
    <row r="66" ht="27.75" customHeight="1">
      <c r="A66" s="56" t="s">
        <v>1531</v>
      </c>
      <c r="B66" s="57" t="s">
        <v>31</v>
      </c>
      <c r="C66" s="58" t="s">
        <v>1533</v>
      </c>
      <c r="D66" s="57" t="s">
        <v>1536</v>
      </c>
      <c r="E66" s="59" t="s">
        <v>1272</v>
      </c>
      <c r="F66" s="57" t="str">
        <f t="shared" si="6"/>
        <v>Menipis</v>
      </c>
      <c r="G66" s="56">
        <v>1.0</v>
      </c>
      <c r="H66" s="60">
        <v>10000.0</v>
      </c>
      <c r="I66" s="60">
        <v>25000.0</v>
      </c>
      <c r="J66" s="60">
        <f t="shared" si="7"/>
        <v>15000</v>
      </c>
      <c r="K66" s="61">
        <f t="shared" si="8"/>
        <v>1.5</v>
      </c>
    </row>
    <row r="67" ht="27.75" customHeight="1">
      <c r="A67" s="56" t="s">
        <v>1553</v>
      </c>
      <c r="B67" s="57" t="s">
        <v>1172</v>
      </c>
      <c r="C67" s="58" t="s">
        <v>1555</v>
      </c>
      <c r="D67" s="57" t="s">
        <v>1248</v>
      </c>
      <c r="E67" s="159" t="s">
        <v>1272</v>
      </c>
      <c r="F67" s="57" t="s">
        <v>1180</v>
      </c>
      <c r="G67" s="64">
        <v>2.0</v>
      </c>
      <c r="H67" s="60">
        <v>15000.0</v>
      </c>
      <c r="I67" s="60">
        <v>35000.0</v>
      </c>
      <c r="J67" s="60">
        <v>20000.0</v>
      </c>
      <c r="K67" s="61">
        <v>1.33</v>
      </c>
    </row>
    <row r="68" ht="27.75" customHeight="1">
      <c r="A68" s="56" t="s">
        <v>1589</v>
      </c>
      <c r="B68" s="57" t="s">
        <v>1172</v>
      </c>
      <c r="C68" s="58" t="s">
        <v>1592</v>
      </c>
      <c r="D68" s="57" t="s">
        <v>542</v>
      </c>
      <c r="E68" s="159" t="s">
        <v>1272</v>
      </c>
      <c r="F68" s="57" t="s">
        <v>1597</v>
      </c>
      <c r="G68" s="64">
        <v>4.0</v>
      </c>
      <c r="H68" s="60">
        <v>15000.0</v>
      </c>
      <c r="I68" s="60">
        <v>30000.0</v>
      </c>
      <c r="J68" s="60">
        <v>15000.0</v>
      </c>
      <c r="K68" s="61">
        <v>1.0</v>
      </c>
    </row>
    <row r="69" ht="27.75" customHeight="1">
      <c r="A69" s="56" t="s">
        <v>1618</v>
      </c>
      <c r="B69" s="57" t="s">
        <v>1172</v>
      </c>
      <c r="C69" s="58" t="s">
        <v>1620</v>
      </c>
      <c r="D69" s="57" t="s">
        <v>1622</v>
      </c>
      <c r="E69" s="159" t="s">
        <v>1272</v>
      </c>
      <c r="F69" s="57" t="s">
        <v>1180</v>
      </c>
      <c r="G69" s="64">
        <v>1.0</v>
      </c>
      <c r="H69" s="60">
        <v>70000.0</v>
      </c>
      <c r="I69" s="60">
        <v>125000.0</v>
      </c>
      <c r="J69" s="60">
        <v>55000.0</v>
      </c>
      <c r="K69" s="61">
        <v>0.79</v>
      </c>
    </row>
    <row r="70" ht="27.75" customHeight="1">
      <c r="A70" s="56" t="s">
        <v>1644</v>
      </c>
      <c r="B70" s="57" t="s">
        <v>1172</v>
      </c>
      <c r="C70" s="58" t="s">
        <v>1646</v>
      </c>
      <c r="D70" s="57" t="s">
        <v>1648</v>
      </c>
      <c r="E70" s="159" t="s">
        <v>1649</v>
      </c>
      <c r="F70" s="57" t="s">
        <v>1180</v>
      </c>
      <c r="G70" s="64">
        <v>2.0</v>
      </c>
      <c r="H70" s="60">
        <v>14000.0</v>
      </c>
      <c r="I70" s="60">
        <v>25000.0</v>
      </c>
      <c r="J70" s="60">
        <v>11000.0</v>
      </c>
      <c r="K70" s="61">
        <v>0.79</v>
      </c>
    </row>
    <row r="71" ht="27.75" customHeight="1">
      <c r="A71" s="56" t="s">
        <v>1670</v>
      </c>
      <c r="B71" s="57" t="s">
        <v>1172</v>
      </c>
      <c r="C71" s="58" t="s">
        <v>1673</v>
      </c>
      <c r="D71" s="57" t="s">
        <v>1675</v>
      </c>
      <c r="E71" s="159" t="s">
        <v>1649</v>
      </c>
      <c r="F71" s="57" t="s">
        <v>1180</v>
      </c>
      <c r="G71" s="64">
        <v>3.0</v>
      </c>
      <c r="H71" s="60">
        <v>9000.0</v>
      </c>
      <c r="I71" s="60">
        <v>20000.0</v>
      </c>
      <c r="J71" s="60">
        <v>11000.0</v>
      </c>
      <c r="K71" s="61">
        <v>1.22</v>
      </c>
    </row>
    <row r="72" ht="27.75" customHeight="1">
      <c r="A72" s="56" t="s">
        <v>1695</v>
      </c>
      <c r="B72" s="57" t="s">
        <v>1172</v>
      </c>
      <c r="C72" s="58" t="s">
        <v>1697</v>
      </c>
      <c r="D72" s="57" t="s">
        <v>1699</v>
      </c>
      <c r="E72" s="159" t="s">
        <v>1649</v>
      </c>
      <c r="F72" s="57" t="s">
        <v>1180</v>
      </c>
      <c r="G72" s="64">
        <v>1.0</v>
      </c>
      <c r="H72" s="60">
        <v>18500.0</v>
      </c>
      <c r="I72" s="60">
        <v>35000.0</v>
      </c>
      <c r="J72" s="60">
        <v>16500.0</v>
      </c>
      <c r="K72" s="61">
        <v>0.89</v>
      </c>
    </row>
    <row r="73" ht="27.75" customHeight="1">
      <c r="A73" s="56" t="s">
        <v>1716</v>
      </c>
      <c r="B73" s="57" t="s">
        <v>31</v>
      </c>
      <c r="C73" s="58" t="s">
        <v>1717</v>
      </c>
      <c r="D73" s="57" t="s">
        <v>363</v>
      </c>
      <c r="E73" s="59" t="s">
        <v>1272</v>
      </c>
      <c r="F73" s="57" t="str">
        <f t="shared" ref="F73:F78" si="9">IF(G73="", "", IF(G73&lt;=0, "Habis", IF(G73&lt;=3, "Menipis", "Tersedia")))</f>
        <v>Menipis</v>
      </c>
      <c r="G73" s="56">
        <v>2.0</v>
      </c>
      <c r="H73" s="60">
        <v>15000.0</v>
      </c>
      <c r="I73" s="60">
        <v>30000.0</v>
      </c>
      <c r="J73" s="60">
        <f t="shared" ref="J73:J78" si="10">I73-H73</f>
        <v>15000</v>
      </c>
      <c r="K73" s="61">
        <f t="shared" ref="K73:K78" si="11">J73/H73*100%</f>
        <v>1</v>
      </c>
    </row>
    <row r="74" ht="27.75" customHeight="1">
      <c r="A74" s="56" t="s">
        <v>1744</v>
      </c>
      <c r="B74" s="57" t="s">
        <v>31</v>
      </c>
      <c r="C74" s="58" t="s">
        <v>1746</v>
      </c>
      <c r="D74" s="57" t="s">
        <v>363</v>
      </c>
      <c r="E74" s="59" t="s">
        <v>1272</v>
      </c>
      <c r="F74" s="57" t="str">
        <f t="shared" si="9"/>
        <v>Menipis</v>
      </c>
      <c r="G74" s="56">
        <v>1.0</v>
      </c>
      <c r="H74" s="60">
        <v>15000.0</v>
      </c>
      <c r="I74" s="60">
        <v>30000.0</v>
      </c>
      <c r="J74" s="60">
        <f t="shared" si="10"/>
        <v>15000</v>
      </c>
      <c r="K74" s="61">
        <f t="shared" si="11"/>
        <v>1</v>
      </c>
    </row>
    <row r="75" ht="27.75" customHeight="1">
      <c r="A75" s="56" t="s">
        <v>1766</v>
      </c>
      <c r="B75" s="57" t="s">
        <v>31</v>
      </c>
      <c r="C75" s="62" t="s">
        <v>1768</v>
      </c>
      <c r="D75" s="57" t="s">
        <v>363</v>
      </c>
      <c r="E75" s="59" t="s">
        <v>1272</v>
      </c>
      <c r="F75" s="57" t="str">
        <f t="shared" si="9"/>
        <v>Tersedia</v>
      </c>
      <c r="G75" s="56">
        <v>8.0</v>
      </c>
      <c r="H75" s="60">
        <v>13500.0</v>
      </c>
      <c r="I75" s="60">
        <v>30000.0</v>
      </c>
      <c r="J75" s="60">
        <f t="shared" si="10"/>
        <v>16500</v>
      </c>
      <c r="K75" s="61">
        <f t="shared" si="11"/>
        <v>1.222222222</v>
      </c>
    </row>
    <row r="76" ht="27.75" customHeight="1">
      <c r="A76" s="56" t="s">
        <v>1785</v>
      </c>
      <c r="B76" s="57" t="s">
        <v>31</v>
      </c>
      <c r="C76" s="58" t="s">
        <v>1787</v>
      </c>
      <c r="D76" s="57" t="s">
        <v>363</v>
      </c>
      <c r="E76" s="70" t="s">
        <v>410</v>
      </c>
      <c r="F76" s="57" t="str">
        <f t="shared" si="9"/>
        <v>Menipis</v>
      </c>
      <c r="G76" s="56">
        <v>2.0</v>
      </c>
      <c r="H76" s="60">
        <v>12500.0</v>
      </c>
      <c r="I76" s="60">
        <v>25000.0</v>
      </c>
      <c r="J76" s="60">
        <f t="shared" si="10"/>
        <v>12500</v>
      </c>
      <c r="K76" s="61">
        <f t="shared" si="11"/>
        <v>1</v>
      </c>
    </row>
    <row r="77" ht="27.75" customHeight="1">
      <c r="A77" s="56" t="s">
        <v>1808</v>
      </c>
      <c r="B77" s="57" t="s">
        <v>31</v>
      </c>
      <c r="C77" s="58" t="s">
        <v>1809</v>
      </c>
      <c r="D77" s="66" t="s">
        <v>945</v>
      </c>
      <c r="E77" s="59" t="s">
        <v>387</v>
      </c>
      <c r="F77" s="57" t="str">
        <f t="shared" si="9"/>
        <v>Menipis</v>
      </c>
      <c r="G77" s="182">
        <v>3.0</v>
      </c>
      <c r="H77" s="60">
        <v>8500.0</v>
      </c>
      <c r="I77" s="60">
        <v>25000.0</v>
      </c>
      <c r="J77" s="60">
        <f t="shared" si="10"/>
        <v>16500</v>
      </c>
      <c r="K77" s="61">
        <f t="shared" si="11"/>
        <v>1.941176471</v>
      </c>
    </row>
    <row r="78" ht="27.75" customHeight="1">
      <c r="A78" s="56" t="s">
        <v>1820</v>
      </c>
      <c r="B78" s="57" t="s">
        <v>31</v>
      </c>
      <c r="C78" s="58" t="s">
        <v>1821</v>
      </c>
      <c r="D78" s="57" t="s">
        <v>363</v>
      </c>
      <c r="E78" s="59" t="s">
        <v>1822</v>
      </c>
      <c r="F78" s="57" t="str">
        <f t="shared" si="9"/>
        <v>Tersedia</v>
      </c>
      <c r="G78" s="56">
        <v>5.0</v>
      </c>
      <c r="H78" s="60">
        <v>10000.0</v>
      </c>
      <c r="I78" s="60">
        <v>25000.0</v>
      </c>
      <c r="J78" s="60">
        <f t="shared" si="10"/>
        <v>15000</v>
      </c>
      <c r="K78" s="61">
        <f t="shared" si="11"/>
        <v>1.5</v>
      </c>
    </row>
    <row r="79" ht="27.75" customHeight="1">
      <c r="A79" s="56" t="s">
        <v>1834</v>
      </c>
      <c r="B79" s="57" t="s">
        <v>1172</v>
      </c>
      <c r="C79" s="58" t="s">
        <v>1836</v>
      </c>
      <c r="D79" s="57" t="s">
        <v>1248</v>
      </c>
      <c r="E79" s="159" t="s">
        <v>1232</v>
      </c>
      <c r="F79" s="57" t="s">
        <v>1180</v>
      </c>
      <c r="G79" s="64">
        <v>1.0</v>
      </c>
      <c r="H79" s="60">
        <v>17500.0</v>
      </c>
      <c r="I79" s="60">
        <v>35000.0</v>
      </c>
      <c r="J79" s="60">
        <v>17500.0</v>
      </c>
      <c r="K79" s="61">
        <v>1.0</v>
      </c>
    </row>
    <row r="80" ht="27.75" customHeight="1">
      <c r="A80" s="56" t="s">
        <v>1850</v>
      </c>
      <c r="B80" s="57" t="s">
        <v>31</v>
      </c>
      <c r="C80" s="58" t="s">
        <v>1852</v>
      </c>
      <c r="D80" s="57" t="s">
        <v>542</v>
      </c>
      <c r="E80" s="59" t="s">
        <v>1854</v>
      </c>
      <c r="F80" s="57" t="str">
        <f t="shared" ref="F80:F145" si="12">IF(G80="", "", IF(G80&lt;=0, "Habis", IF(G80&lt;=3, "Menipis", "Tersedia")))</f>
        <v>Menipis</v>
      </c>
      <c r="G80" s="64">
        <v>1.0</v>
      </c>
      <c r="H80" s="60">
        <v>15000.0</v>
      </c>
      <c r="I80" s="60">
        <v>25000.0</v>
      </c>
      <c r="J80" s="60">
        <f t="shared" ref="J80:J145" si="13">I80-H80</f>
        <v>10000</v>
      </c>
      <c r="K80" s="61">
        <f t="shared" ref="K80:K99" si="14">J80/H80*100%</f>
        <v>0.6666666667</v>
      </c>
    </row>
    <row r="81" ht="27.75" customHeight="1">
      <c r="A81" s="56" t="s">
        <v>1877</v>
      </c>
      <c r="B81" s="57" t="s">
        <v>31</v>
      </c>
      <c r="C81" s="58" t="s">
        <v>1879</v>
      </c>
      <c r="D81" s="57" t="s">
        <v>542</v>
      </c>
      <c r="E81" s="59" t="s">
        <v>1854</v>
      </c>
      <c r="F81" s="57" t="str">
        <f t="shared" si="12"/>
        <v>Tersedia</v>
      </c>
      <c r="G81" s="64">
        <v>5.0</v>
      </c>
      <c r="H81" s="60">
        <v>13000.0</v>
      </c>
      <c r="I81" s="60">
        <v>25000.0</v>
      </c>
      <c r="J81" s="60">
        <f t="shared" si="13"/>
        <v>12000</v>
      </c>
      <c r="K81" s="61">
        <f t="shared" si="14"/>
        <v>0.9230769231</v>
      </c>
    </row>
    <row r="82" ht="27.75" customHeight="1">
      <c r="A82" s="56" t="s">
        <v>1896</v>
      </c>
      <c r="B82" s="57" t="s">
        <v>31</v>
      </c>
      <c r="C82" s="58" t="s">
        <v>1898</v>
      </c>
      <c r="D82" s="57" t="s">
        <v>33</v>
      </c>
      <c r="E82" s="59" t="s">
        <v>1900</v>
      </c>
      <c r="F82" s="57" t="str">
        <f t="shared" si="12"/>
        <v>Menipis</v>
      </c>
      <c r="G82" s="64">
        <v>1.0</v>
      </c>
      <c r="H82" s="60">
        <v>86000.0</v>
      </c>
      <c r="I82" s="60">
        <v>140000.0</v>
      </c>
      <c r="J82" s="60">
        <f t="shared" si="13"/>
        <v>54000</v>
      </c>
      <c r="K82" s="61">
        <f t="shared" si="14"/>
        <v>0.6279069767</v>
      </c>
    </row>
    <row r="83" ht="27.75" customHeight="1">
      <c r="A83" s="56" t="s">
        <v>1913</v>
      </c>
      <c r="B83" s="57" t="s">
        <v>31</v>
      </c>
      <c r="C83" s="58" t="s">
        <v>1915</v>
      </c>
      <c r="D83" s="57" t="s">
        <v>33</v>
      </c>
      <c r="E83" s="59" t="s">
        <v>1900</v>
      </c>
      <c r="F83" s="57" t="str">
        <f t="shared" si="12"/>
        <v>Menipis</v>
      </c>
      <c r="G83" s="64">
        <v>1.0</v>
      </c>
      <c r="H83" s="60">
        <v>84405.0</v>
      </c>
      <c r="I83" s="60">
        <v>151929.0</v>
      </c>
      <c r="J83" s="60">
        <f t="shared" si="13"/>
        <v>67524</v>
      </c>
      <c r="K83" s="61">
        <f t="shared" si="14"/>
        <v>0.8</v>
      </c>
    </row>
    <row r="84" ht="27.75" customHeight="1">
      <c r="A84" s="56" t="s">
        <v>1925</v>
      </c>
      <c r="B84" s="57" t="s">
        <v>31</v>
      </c>
      <c r="C84" s="58" t="s">
        <v>1927</v>
      </c>
      <c r="D84" s="57" t="s">
        <v>1112</v>
      </c>
      <c r="E84" s="59" t="s">
        <v>1900</v>
      </c>
      <c r="F84" s="57" t="str">
        <f t="shared" si="12"/>
        <v>Menipis</v>
      </c>
      <c r="G84" s="64">
        <v>3.0</v>
      </c>
      <c r="H84" s="60">
        <v>20000.0</v>
      </c>
      <c r="I84" s="60">
        <v>35000.0</v>
      </c>
      <c r="J84" s="60">
        <f t="shared" si="13"/>
        <v>15000</v>
      </c>
      <c r="K84" s="61">
        <f t="shared" si="14"/>
        <v>0.75</v>
      </c>
    </row>
    <row r="85" ht="27.75" customHeight="1">
      <c r="A85" s="56" t="s">
        <v>1943</v>
      </c>
      <c r="B85" s="57" t="s">
        <v>31</v>
      </c>
      <c r="C85" s="58" t="s">
        <v>1946</v>
      </c>
      <c r="D85" s="57" t="s">
        <v>1947</v>
      </c>
      <c r="E85" s="59" t="s">
        <v>1900</v>
      </c>
      <c r="F85" s="57" t="str">
        <f t="shared" si="12"/>
        <v>Menipis</v>
      </c>
      <c r="G85" s="64">
        <v>2.0</v>
      </c>
      <c r="H85" s="60">
        <v>19000.0</v>
      </c>
      <c r="I85" s="60">
        <v>35000.0</v>
      </c>
      <c r="J85" s="60">
        <f t="shared" si="13"/>
        <v>16000</v>
      </c>
      <c r="K85" s="61">
        <f t="shared" si="14"/>
        <v>0.8421052632</v>
      </c>
    </row>
    <row r="86" ht="27.75" customHeight="1">
      <c r="A86" s="56" t="s">
        <v>1960</v>
      </c>
      <c r="B86" s="57" t="s">
        <v>31</v>
      </c>
      <c r="C86" s="58" t="s">
        <v>1963</v>
      </c>
      <c r="D86" s="57" t="s">
        <v>1112</v>
      </c>
      <c r="E86" s="59" t="s">
        <v>1900</v>
      </c>
      <c r="F86" s="57" t="str">
        <f t="shared" si="12"/>
        <v>Menipis</v>
      </c>
      <c r="G86" s="64">
        <v>2.0</v>
      </c>
      <c r="H86" s="60">
        <v>48000.0</v>
      </c>
      <c r="I86" s="60">
        <v>75000.0</v>
      </c>
      <c r="J86" s="60">
        <f t="shared" si="13"/>
        <v>27000</v>
      </c>
      <c r="K86" s="61">
        <f t="shared" si="14"/>
        <v>0.5625</v>
      </c>
    </row>
    <row r="87" ht="27.75" customHeight="1">
      <c r="A87" s="56" t="s">
        <v>1980</v>
      </c>
      <c r="B87" s="57" t="s">
        <v>31</v>
      </c>
      <c r="C87" s="58" t="s">
        <v>1982</v>
      </c>
      <c r="D87" s="57" t="s">
        <v>1112</v>
      </c>
      <c r="E87" s="59" t="s">
        <v>1900</v>
      </c>
      <c r="F87" s="57" t="str">
        <f t="shared" si="12"/>
        <v>Menipis</v>
      </c>
      <c r="G87" s="64">
        <v>1.0</v>
      </c>
      <c r="H87" s="60">
        <v>40000.0</v>
      </c>
      <c r="I87" s="60">
        <v>80000.0</v>
      </c>
      <c r="J87" s="60">
        <f t="shared" si="13"/>
        <v>40000</v>
      </c>
      <c r="K87" s="61">
        <f t="shared" si="14"/>
        <v>1</v>
      </c>
    </row>
    <row r="88" ht="27.75" customHeight="1">
      <c r="A88" s="56" t="s">
        <v>2002</v>
      </c>
      <c r="B88" s="57" t="s">
        <v>31</v>
      </c>
      <c r="C88" s="58" t="s">
        <v>2004</v>
      </c>
      <c r="D88" s="57" t="s">
        <v>1112</v>
      </c>
      <c r="E88" s="59" t="s">
        <v>1900</v>
      </c>
      <c r="F88" s="57" t="str">
        <f t="shared" si="12"/>
        <v>Menipis</v>
      </c>
      <c r="G88" s="64">
        <v>2.0</v>
      </c>
      <c r="H88" s="60">
        <v>45000.0</v>
      </c>
      <c r="I88" s="60">
        <v>80000.0</v>
      </c>
      <c r="J88" s="60">
        <f t="shared" si="13"/>
        <v>35000</v>
      </c>
      <c r="K88" s="61">
        <f t="shared" si="14"/>
        <v>0.7777777778</v>
      </c>
    </row>
    <row r="89" ht="27.75" customHeight="1">
      <c r="A89" s="56" t="s">
        <v>2019</v>
      </c>
      <c r="B89" s="57" t="s">
        <v>31</v>
      </c>
      <c r="C89" s="58" t="s">
        <v>2021</v>
      </c>
      <c r="D89" s="57" t="s">
        <v>1112</v>
      </c>
      <c r="E89" s="59" t="s">
        <v>1900</v>
      </c>
      <c r="F89" s="57" t="str">
        <f t="shared" si="12"/>
        <v>Tersedia</v>
      </c>
      <c r="G89" s="64">
        <v>14.0</v>
      </c>
      <c r="H89" s="60">
        <v>17000.0</v>
      </c>
      <c r="I89" s="60">
        <v>30000.0</v>
      </c>
      <c r="J89" s="60">
        <f t="shared" si="13"/>
        <v>13000</v>
      </c>
      <c r="K89" s="61">
        <f t="shared" si="14"/>
        <v>0.7647058824</v>
      </c>
    </row>
    <row r="90" ht="27.75" customHeight="1">
      <c r="A90" s="56" t="s">
        <v>2041</v>
      </c>
      <c r="B90" s="57" t="s">
        <v>31</v>
      </c>
      <c r="C90" s="58" t="s">
        <v>2043</v>
      </c>
      <c r="D90" s="57" t="s">
        <v>1112</v>
      </c>
      <c r="E90" s="59" t="s">
        <v>1900</v>
      </c>
      <c r="F90" s="57" t="str">
        <f t="shared" si="12"/>
        <v>Tersedia</v>
      </c>
      <c r="G90" s="64">
        <v>6.0</v>
      </c>
      <c r="H90" s="60">
        <v>13500.0</v>
      </c>
      <c r="I90" s="60">
        <v>25000.0</v>
      </c>
      <c r="J90" s="60">
        <f t="shared" si="13"/>
        <v>11500</v>
      </c>
      <c r="K90" s="61">
        <f t="shared" si="14"/>
        <v>0.8518518519</v>
      </c>
    </row>
    <row r="91" ht="27.75" customHeight="1">
      <c r="A91" s="56" t="s">
        <v>2059</v>
      </c>
      <c r="B91" s="57" t="s">
        <v>31</v>
      </c>
      <c r="C91" s="58" t="s">
        <v>2060</v>
      </c>
      <c r="D91" s="57" t="s">
        <v>1112</v>
      </c>
      <c r="E91" s="59" t="s">
        <v>1900</v>
      </c>
      <c r="F91" s="57" t="str">
        <f t="shared" si="12"/>
        <v>Menipis</v>
      </c>
      <c r="G91" s="64">
        <v>1.0</v>
      </c>
      <c r="H91" s="60">
        <v>32000.0</v>
      </c>
      <c r="I91" s="60">
        <v>60000.0</v>
      </c>
      <c r="J91" s="60">
        <f t="shared" si="13"/>
        <v>28000</v>
      </c>
      <c r="K91" s="61">
        <f t="shared" si="14"/>
        <v>0.875</v>
      </c>
    </row>
    <row r="92" ht="27.75" customHeight="1">
      <c r="A92" s="56" t="s">
        <v>2079</v>
      </c>
      <c r="B92" s="57" t="s">
        <v>31</v>
      </c>
      <c r="C92" s="58" t="s">
        <v>2083</v>
      </c>
      <c r="D92" s="57" t="s">
        <v>1112</v>
      </c>
      <c r="E92" s="59" t="s">
        <v>1900</v>
      </c>
      <c r="F92" s="57" t="str">
        <f t="shared" si="12"/>
        <v>Tersedia</v>
      </c>
      <c r="G92" s="64">
        <v>7.0</v>
      </c>
      <c r="H92" s="60">
        <v>6300.0</v>
      </c>
      <c r="I92" s="60">
        <v>15000.0</v>
      </c>
      <c r="J92" s="60">
        <f t="shared" si="13"/>
        <v>8700</v>
      </c>
      <c r="K92" s="61">
        <f t="shared" si="14"/>
        <v>1.380952381</v>
      </c>
    </row>
    <row r="93" ht="27.75" customHeight="1">
      <c r="A93" s="56" t="s">
        <v>2104</v>
      </c>
      <c r="B93" s="57" t="s">
        <v>31</v>
      </c>
      <c r="C93" s="58" t="s">
        <v>2107</v>
      </c>
      <c r="D93" s="57" t="s">
        <v>1112</v>
      </c>
      <c r="E93" s="59" t="s">
        <v>1900</v>
      </c>
      <c r="F93" s="57" t="str">
        <f t="shared" si="12"/>
        <v>Menipis</v>
      </c>
      <c r="G93" s="64">
        <v>1.0</v>
      </c>
      <c r="H93" s="60">
        <v>46905.0</v>
      </c>
      <c r="I93" s="60">
        <v>80000.0</v>
      </c>
      <c r="J93" s="60">
        <f t="shared" si="13"/>
        <v>33095</v>
      </c>
      <c r="K93" s="61">
        <f t="shared" si="14"/>
        <v>0.7055750986</v>
      </c>
    </row>
    <row r="94" ht="27.75" customHeight="1">
      <c r="A94" s="56" t="s">
        <v>2118</v>
      </c>
      <c r="B94" s="57" t="s">
        <v>31</v>
      </c>
      <c r="C94" s="58" t="s">
        <v>2120</v>
      </c>
      <c r="D94" s="57" t="s">
        <v>1112</v>
      </c>
      <c r="E94" s="59" t="s">
        <v>1900</v>
      </c>
      <c r="F94" s="57" t="str">
        <f t="shared" si="12"/>
        <v>Habis</v>
      </c>
      <c r="G94" s="64">
        <v>0.0</v>
      </c>
      <c r="H94" s="60">
        <v>46905.0</v>
      </c>
      <c r="I94" s="60">
        <v>80000.0</v>
      </c>
      <c r="J94" s="60">
        <f t="shared" si="13"/>
        <v>33095</v>
      </c>
      <c r="K94" s="61">
        <f t="shared" si="14"/>
        <v>0.7055750986</v>
      </c>
    </row>
    <row r="95" ht="27.75" customHeight="1">
      <c r="A95" s="56" t="s">
        <v>2138</v>
      </c>
      <c r="B95" s="57" t="s">
        <v>31</v>
      </c>
      <c r="C95" s="58" t="s">
        <v>2139</v>
      </c>
      <c r="D95" s="57" t="s">
        <v>1112</v>
      </c>
      <c r="E95" s="59" t="s">
        <v>1900</v>
      </c>
      <c r="F95" s="57" t="str">
        <f t="shared" si="12"/>
        <v>Tersedia</v>
      </c>
      <c r="G95" s="64">
        <v>4.0</v>
      </c>
      <c r="H95" s="60">
        <v>7000.0</v>
      </c>
      <c r="I95" s="60">
        <v>15000.0</v>
      </c>
      <c r="J95" s="60">
        <f t="shared" si="13"/>
        <v>8000</v>
      </c>
      <c r="K95" s="61">
        <f t="shared" si="14"/>
        <v>1.142857143</v>
      </c>
    </row>
    <row r="96" ht="27.75" customHeight="1">
      <c r="A96" s="56" t="s">
        <v>2157</v>
      </c>
      <c r="B96" s="57" t="s">
        <v>31</v>
      </c>
      <c r="C96" s="58" t="s">
        <v>2159</v>
      </c>
      <c r="D96" s="57" t="s">
        <v>1112</v>
      </c>
      <c r="E96" s="59" t="s">
        <v>1900</v>
      </c>
      <c r="F96" s="57" t="str">
        <f t="shared" si="12"/>
        <v>Habis</v>
      </c>
      <c r="G96" s="64">
        <v>0.0</v>
      </c>
      <c r="H96" s="60">
        <v>48901.0</v>
      </c>
      <c r="I96" s="60">
        <v>90000.0</v>
      </c>
      <c r="J96" s="60">
        <f t="shared" si="13"/>
        <v>41099</v>
      </c>
      <c r="K96" s="61">
        <f t="shared" si="14"/>
        <v>0.8404531605</v>
      </c>
    </row>
    <row r="97" ht="27.75" customHeight="1">
      <c r="A97" s="56" t="s">
        <v>2174</v>
      </c>
      <c r="B97" s="57" t="s">
        <v>31</v>
      </c>
      <c r="C97" s="58" t="s">
        <v>2177</v>
      </c>
      <c r="D97" s="57" t="s">
        <v>1112</v>
      </c>
      <c r="E97" s="59" t="s">
        <v>1900</v>
      </c>
      <c r="F97" s="57" t="str">
        <f t="shared" si="12"/>
        <v>Habis</v>
      </c>
      <c r="G97" s="64">
        <v>0.0</v>
      </c>
      <c r="H97" s="60">
        <v>53891.0</v>
      </c>
      <c r="I97" s="60">
        <v>100000.0</v>
      </c>
      <c r="J97" s="60">
        <f t="shared" si="13"/>
        <v>46109</v>
      </c>
      <c r="K97" s="61">
        <f t="shared" si="14"/>
        <v>0.8555974096</v>
      </c>
    </row>
    <row r="98" ht="27.75" customHeight="1">
      <c r="A98" s="56" t="s">
        <v>2190</v>
      </c>
      <c r="B98" s="57" t="s">
        <v>31</v>
      </c>
      <c r="C98" s="58" t="s">
        <v>2192</v>
      </c>
      <c r="D98" s="57" t="s">
        <v>1112</v>
      </c>
      <c r="E98" s="59" t="s">
        <v>1900</v>
      </c>
      <c r="F98" s="57" t="str">
        <f t="shared" si="12"/>
        <v>Habis</v>
      </c>
      <c r="G98" s="64">
        <v>0.0</v>
      </c>
      <c r="H98" s="60">
        <v>46165.0</v>
      </c>
      <c r="I98" s="60">
        <v>90000.0</v>
      </c>
      <c r="J98" s="60">
        <f t="shared" si="13"/>
        <v>43835</v>
      </c>
      <c r="K98" s="61">
        <f t="shared" si="14"/>
        <v>0.9495288639</v>
      </c>
    </row>
    <row r="99" ht="27.75" customHeight="1">
      <c r="A99" s="56" t="s">
        <v>2206</v>
      </c>
      <c r="B99" s="57" t="s">
        <v>31</v>
      </c>
      <c r="C99" s="58" t="s">
        <v>2208</v>
      </c>
      <c r="D99" s="57" t="s">
        <v>1112</v>
      </c>
      <c r="E99" s="59" t="s">
        <v>1900</v>
      </c>
      <c r="F99" s="57" t="str">
        <f t="shared" si="12"/>
        <v>Habis</v>
      </c>
      <c r="G99" s="64">
        <v>0.0</v>
      </c>
      <c r="H99" s="60">
        <v>39470.0</v>
      </c>
      <c r="I99" s="60">
        <v>71046.0</v>
      </c>
      <c r="J99" s="60">
        <f t="shared" si="13"/>
        <v>31576</v>
      </c>
      <c r="K99" s="61">
        <f t="shared" si="14"/>
        <v>0.8</v>
      </c>
    </row>
    <row r="100" ht="27.75" customHeight="1">
      <c r="A100" s="56" t="s">
        <v>2230</v>
      </c>
      <c r="B100" s="57" t="s">
        <v>31</v>
      </c>
      <c r="C100" s="58" t="s">
        <v>2233</v>
      </c>
      <c r="D100" s="57" t="s">
        <v>1112</v>
      </c>
      <c r="E100" s="59" t="s">
        <v>1900</v>
      </c>
      <c r="F100" s="57" t="str">
        <f t="shared" si="12"/>
        <v>Habis</v>
      </c>
      <c r="G100" s="64">
        <v>0.0</v>
      </c>
      <c r="H100" s="60">
        <v>43417.0</v>
      </c>
      <c r="I100" s="60">
        <v>78151.0</v>
      </c>
      <c r="J100" s="60">
        <f t="shared" si="13"/>
        <v>34734</v>
      </c>
      <c r="K100" s="61"/>
    </row>
    <row r="101" ht="27.75" customHeight="1">
      <c r="A101" s="56" t="s">
        <v>2250</v>
      </c>
      <c r="B101" s="57" t="s">
        <v>31</v>
      </c>
      <c r="C101" s="58" t="s">
        <v>2252</v>
      </c>
      <c r="D101" s="57" t="s">
        <v>1112</v>
      </c>
      <c r="E101" s="59" t="s">
        <v>1900</v>
      </c>
      <c r="F101" s="57" t="str">
        <f t="shared" si="12"/>
        <v>Habis</v>
      </c>
      <c r="G101" s="64">
        <v>0.0</v>
      </c>
      <c r="H101" s="60">
        <v>15150.0</v>
      </c>
      <c r="I101" s="60">
        <v>27270.0</v>
      </c>
      <c r="J101" s="60">
        <f t="shared" si="13"/>
        <v>12120</v>
      </c>
      <c r="K101" s="61"/>
    </row>
    <row r="102" ht="27.75" customHeight="1">
      <c r="A102" s="56" t="s">
        <v>2271</v>
      </c>
      <c r="B102" s="57" t="s">
        <v>31</v>
      </c>
      <c r="C102" s="58" t="s">
        <v>2274</v>
      </c>
      <c r="D102" s="57" t="s">
        <v>1112</v>
      </c>
      <c r="E102" s="59" t="s">
        <v>1900</v>
      </c>
      <c r="F102" s="57" t="str">
        <f t="shared" si="12"/>
        <v>Habis</v>
      </c>
      <c r="G102" s="64">
        <v>0.0</v>
      </c>
      <c r="H102" s="60">
        <v>13500.0</v>
      </c>
      <c r="I102" s="60">
        <v>24300.0</v>
      </c>
      <c r="J102" s="60">
        <f t="shared" si="13"/>
        <v>10800</v>
      </c>
      <c r="K102" s="61">
        <f t="shared" ref="K102:K145" si="15">J102/H102*100%</f>
        <v>0.8</v>
      </c>
    </row>
    <row r="103" ht="27.75" customHeight="1">
      <c r="A103" s="56" t="s">
        <v>2298</v>
      </c>
      <c r="B103" s="57" t="s">
        <v>31</v>
      </c>
      <c r="C103" s="58" t="s">
        <v>2299</v>
      </c>
      <c r="D103" s="57" t="s">
        <v>1112</v>
      </c>
      <c r="E103" s="59" t="s">
        <v>1900</v>
      </c>
      <c r="F103" s="57" t="str">
        <f t="shared" si="12"/>
        <v>Habis</v>
      </c>
      <c r="G103" s="64">
        <v>0.0</v>
      </c>
      <c r="H103" s="60">
        <v>38800.0</v>
      </c>
      <c r="I103" s="60">
        <v>69840.0</v>
      </c>
      <c r="J103" s="60">
        <f t="shared" si="13"/>
        <v>31040</v>
      </c>
      <c r="K103" s="61">
        <f t="shared" si="15"/>
        <v>0.8</v>
      </c>
    </row>
    <row r="104" ht="27.75" customHeight="1">
      <c r="A104" s="56" t="s">
        <v>2317</v>
      </c>
      <c r="B104" s="57" t="s">
        <v>31</v>
      </c>
      <c r="C104" s="58" t="s">
        <v>2319</v>
      </c>
      <c r="D104" s="57" t="s">
        <v>1112</v>
      </c>
      <c r="E104" s="59" t="s">
        <v>1900</v>
      </c>
      <c r="F104" s="57" t="str">
        <f t="shared" si="12"/>
        <v>Habis</v>
      </c>
      <c r="G104" s="64">
        <v>0.0</v>
      </c>
      <c r="H104" s="60">
        <v>29210.0</v>
      </c>
      <c r="I104" s="60">
        <v>52578.0</v>
      </c>
      <c r="J104" s="60">
        <f t="shared" si="13"/>
        <v>23368</v>
      </c>
      <c r="K104" s="61">
        <f t="shared" si="15"/>
        <v>0.8</v>
      </c>
    </row>
    <row r="105" ht="27.75" customHeight="1">
      <c r="A105" s="56" t="s">
        <v>2336</v>
      </c>
      <c r="B105" s="57" t="s">
        <v>31</v>
      </c>
      <c r="C105" s="58" t="s">
        <v>2338</v>
      </c>
      <c r="D105" s="57" t="s">
        <v>1112</v>
      </c>
      <c r="E105" s="59" t="s">
        <v>1900</v>
      </c>
      <c r="F105" s="57" t="str">
        <f t="shared" si="12"/>
        <v>Habis</v>
      </c>
      <c r="G105" s="64">
        <v>0.0</v>
      </c>
      <c r="H105" s="60">
        <v>20000.0</v>
      </c>
      <c r="I105" s="60">
        <v>36000.0</v>
      </c>
      <c r="J105" s="60">
        <f t="shared" si="13"/>
        <v>16000</v>
      </c>
      <c r="K105" s="61">
        <f t="shared" si="15"/>
        <v>0.8</v>
      </c>
    </row>
    <row r="106" ht="27.75" customHeight="1">
      <c r="A106" s="56" t="s">
        <v>2357</v>
      </c>
      <c r="B106" s="57" t="s">
        <v>31</v>
      </c>
      <c r="C106" s="58" t="s">
        <v>2358</v>
      </c>
      <c r="D106" s="57" t="s">
        <v>1112</v>
      </c>
      <c r="E106" s="59" t="s">
        <v>1900</v>
      </c>
      <c r="F106" s="57" t="str">
        <f t="shared" si="12"/>
        <v>Habis</v>
      </c>
      <c r="G106" s="64">
        <v>0.0</v>
      </c>
      <c r="H106" s="60">
        <v>7000.0</v>
      </c>
      <c r="I106" s="60">
        <v>12600.0</v>
      </c>
      <c r="J106" s="60">
        <f t="shared" si="13"/>
        <v>5600</v>
      </c>
      <c r="K106" s="61">
        <f t="shared" si="15"/>
        <v>0.8</v>
      </c>
    </row>
    <row r="107" ht="27.75" customHeight="1">
      <c r="A107" s="56" t="s">
        <v>2376</v>
      </c>
      <c r="B107" s="57" t="s">
        <v>31</v>
      </c>
      <c r="C107" s="58" t="s">
        <v>2379</v>
      </c>
      <c r="D107" s="57" t="s">
        <v>1112</v>
      </c>
      <c r="E107" s="59" t="s">
        <v>1900</v>
      </c>
      <c r="F107" s="57" t="str">
        <f t="shared" si="12"/>
        <v>Habis</v>
      </c>
      <c r="G107" s="64">
        <v>0.0</v>
      </c>
      <c r="H107" s="60">
        <v>6300.0</v>
      </c>
      <c r="I107" s="60">
        <v>11340.0</v>
      </c>
      <c r="J107" s="60">
        <f t="shared" si="13"/>
        <v>5040</v>
      </c>
      <c r="K107" s="61">
        <f t="shared" si="15"/>
        <v>0.8</v>
      </c>
    </row>
    <row r="108" ht="27.75" customHeight="1">
      <c r="A108" s="56" t="s">
        <v>2398</v>
      </c>
      <c r="B108" s="57" t="s">
        <v>31</v>
      </c>
      <c r="C108" s="58" t="s">
        <v>2399</v>
      </c>
      <c r="D108" s="57" t="s">
        <v>1112</v>
      </c>
      <c r="E108" s="59" t="s">
        <v>1900</v>
      </c>
      <c r="F108" s="57" t="str">
        <f t="shared" si="12"/>
        <v>Habis</v>
      </c>
      <c r="G108" s="64">
        <v>0.0</v>
      </c>
      <c r="H108" s="60">
        <v>10750.0</v>
      </c>
      <c r="I108" s="60">
        <v>19350.0</v>
      </c>
      <c r="J108" s="60">
        <f t="shared" si="13"/>
        <v>8600</v>
      </c>
      <c r="K108" s="61">
        <f t="shared" si="15"/>
        <v>0.8</v>
      </c>
    </row>
    <row r="109" ht="27.75" customHeight="1">
      <c r="A109" s="56" t="s">
        <v>2402</v>
      </c>
      <c r="B109" s="57" t="s">
        <v>31</v>
      </c>
      <c r="C109" s="58" t="s">
        <v>2403</v>
      </c>
      <c r="D109" s="57" t="s">
        <v>1112</v>
      </c>
      <c r="E109" s="59" t="s">
        <v>1900</v>
      </c>
      <c r="F109" s="57" t="str">
        <f t="shared" si="12"/>
        <v>Habis</v>
      </c>
      <c r="G109" s="64">
        <v>0.0</v>
      </c>
      <c r="H109" s="60">
        <v>14000.0</v>
      </c>
      <c r="I109" s="60">
        <v>25200.0</v>
      </c>
      <c r="J109" s="60">
        <f t="shared" si="13"/>
        <v>11200</v>
      </c>
      <c r="K109" s="61">
        <f t="shared" si="15"/>
        <v>0.8</v>
      </c>
    </row>
    <row r="110" ht="27.75" customHeight="1">
      <c r="A110" s="56" t="s">
        <v>2404</v>
      </c>
      <c r="B110" s="57" t="s">
        <v>31</v>
      </c>
      <c r="C110" s="58" t="s">
        <v>2405</v>
      </c>
      <c r="D110" s="57" t="s">
        <v>1947</v>
      </c>
      <c r="E110" s="59" t="s">
        <v>1900</v>
      </c>
      <c r="F110" s="57" t="str">
        <f t="shared" si="12"/>
        <v>Menipis</v>
      </c>
      <c r="G110" s="64">
        <v>1.0</v>
      </c>
      <c r="H110" s="60">
        <v>18100.0</v>
      </c>
      <c r="I110" s="60">
        <v>32580.0</v>
      </c>
      <c r="J110" s="60">
        <f t="shared" si="13"/>
        <v>14480</v>
      </c>
      <c r="K110" s="61">
        <f t="shared" si="15"/>
        <v>0.8</v>
      </c>
    </row>
    <row r="111" ht="27.75" customHeight="1">
      <c r="A111" s="56" t="s">
        <v>2406</v>
      </c>
      <c r="B111" s="57" t="s">
        <v>31</v>
      </c>
      <c r="C111" s="58" t="s">
        <v>2407</v>
      </c>
      <c r="D111" s="57" t="s">
        <v>1112</v>
      </c>
      <c r="E111" s="59" t="s">
        <v>1900</v>
      </c>
      <c r="F111" s="57" t="str">
        <f t="shared" si="12"/>
        <v>Tersedia</v>
      </c>
      <c r="G111" s="64">
        <v>20.0</v>
      </c>
      <c r="H111" s="60">
        <v>19000.0</v>
      </c>
      <c r="I111" s="60">
        <v>35000.0</v>
      </c>
      <c r="J111" s="60">
        <f t="shared" si="13"/>
        <v>16000</v>
      </c>
      <c r="K111" s="61">
        <f t="shared" si="15"/>
        <v>0.8421052632</v>
      </c>
    </row>
    <row r="112" ht="27.75" customHeight="1">
      <c r="A112" s="56" t="s">
        <v>2408</v>
      </c>
      <c r="B112" s="57" t="s">
        <v>31</v>
      </c>
      <c r="C112" s="58" t="s">
        <v>2409</v>
      </c>
      <c r="D112" s="57" t="s">
        <v>2410</v>
      </c>
      <c r="E112" s="59" t="s">
        <v>1205</v>
      </c>
      <c r="F112" s="57" t="str">
        <f t="shared" si="12"/>
        <v>Menipis</v>
      </c>
      <c r="G112" s="64">
        <v>2.0</v>
      </c>
      <c r="H112" s="60">
        <v>20000.0</v>
      </c>
      <c r="I112" s="60">
        <v>35000.0</v>
      </c>
      <c r="J112" s="60">
        <f t="shared" si="13"/>
        <v>15000</v>
      </c>
      <c r="K112" s="61">
        <f t="shared" si="15"/>
        <v>0.75</v>
      </c>
    </row>
    <row r="113" ht="27.75" customHeight="1">
      <c r="A113" s="56" t="s">
        <v>2411</v>
      </c>
      <c r="B113" s="57" t="s">
        <v>31</v>
      </c>
      <c r="C113" s="58" t="s">
        <v>2412</v>
      </c>
      <c r="D113" s="57" t="s">
        <v>363</v>
      </c>
      <c r="E113" s="70" t="s">
        <v>410</v>
      </c>
      <c r="F113" s="57" t="str">
        <f t="shared" si="12"/>
        <v>Tersedia</v>
      </c>
      <c r="G113" s="56">
        <v>4.0</v>
      </c>
      <c r="H113" s="60">
        <v>10000.0</v>
      </c>
      <c r="I113" s="60">
        <v>20000.0</v>
      </c>
      <c r="J113" s="60">
        <f t="shared" si="13"/>
        <v>10000</v>
      </c>
      <c r="K113" s="61">
        <f t="shared" si="15"/>
        <v>1</v>
      </c>
    </row>
    <row r="114" ht="27.75" customHeight="1">
      <c r="A114" s="56" t="s">
        <v>2413</v>
      </c>
      <c r="B114" s="57" t="s">
        <v>31</v>
      </c>
      <c r="C114" s="58" t="s">
        <v>2414</v>
      </c>
      <c r="D114" s="57" t="s">
        <v>363</v>
      </c>
      <c r="E114" s="59" t="s">
        <v>2415</v>
      </c>
      <c r="F114" s="57" t="str">
        <f t="shared" si="12"/>
        <v>Menipis</v>
      </c>
      <c r="G114" s="56">
        <v>1.0</v>
      </c>
      <c r="H114" s="60">
        <v>62500.0</v>
      </c>
      <c r="I114" s="60">
        <v>125000.0</v>
      </c>
      <c r="J114" s="60">
        <f t="shared" si="13"/>
        <v>62500</v>
      </c>
      <c r="K114" s="61">
        <f t="shared" si="15"/>
        <v>1</v>
      </c>
    </row>
    <row r="115" ht="27.75" customHeight="1">
      <c r="A115" s="56" t="s">
        <v>2416</v>
      </c>
      <c r="B115" s="57" t="s">
        <v>31</v>
      </c>
      <c r="C115" s="58" t="s">
        <v>2417</v>
      </c>
      <c r="D115" s="57" t="s">
        <v>1112</v>
      </c>
      <c r="E115" s="59" t="s">
        <v>2418</v>
      </c>
      <c r="F115" s="57" t="str">
        <f t="shared" si="12"/>
        <v>Menipis</v>
      </c>
      <c r="G115" s="64">
        <v>1.0</v>
      </c>
      <c r="H115" s="60">
        <v>30000.0</v>
      </c>
      <c r="I115" s="60">
        <v>45000.0</v>
      </c>
      <c r="J115" s="60">
        <f t="shared" si="13"/>
        <v>15000</v>
      </c>
      <c r="K115" s="61">
        <f t="shared" si="15"/>
        <v>0.5</v>
      </c>
    </row>
    <row r="116" ht="27.75" customHeight="1">
      <c r="A116" s="56" t="s">
        <v>2419</v>
      </c>
      <c r="B116" s="57" t="s">
        <v>31</v>
      </c>
      <c r="C116" s="58" t="s">
        <v>2420</v>
      </c>
      <c r="D116" s="57" t="s">
        <v>1112</v>
      </c>
      <c r="E116" s="59" t="s">
        <v>2418</v>
      </c>
      <c r="F116" s="57" t="str">
        <f t="shared" si="12"/>
        <v>Habis</v>
      </c>
      <c r="G116" s="64">
        <v>0.0</v>
      </c>
      <c r="H116" s="60">
        <v>30325.0</v>
      </c>
      <c r="I116" s="60">
        <v>54585.0</v>
      </c>
      <c r="J116" s="60">
        <f t="shared" si="13"/>
        <v>24260</v>
      </c>
      <c r="K116" s="61">
        <f t="shared" si="15"/>
        <v>0.8</v>
      </c>
    </row>
    <row r="117" ht="27.75" customHeight="1">
      <c r="A117" s="56" t="s">
        <v>2421</v>
      </c>
      <c r="B117" s="57" t="s">
        <v>31</v>
      </c>
      <c r="C117" s="58" t="s">
        <v>2422</v>
      </c>
      <c r="D117" s="57" t="s">
        <v>1485</v>
      </c>
      <c r="E117" s="59" t="s">
        <v>2423</v>
      </c>
      <c r="F117" s="57" t="str">
        <f t="shared" si="12"/>
        <v>Menipis</v>
      </c>
      <c r="G117" s="64">
        <v>1.0</v>
      </c>
      <c r="H117" s="60">
        <v>27000.0</v>
      </c>
      <c r="I117" s="60">
        <v>50000.0</v>
      </c>
      <c r="J117" s="60">
        <f t="shared" si="13"/>
        <v>23000</v>
      </c>
      <c r="K117" s="61">
        <f t="shared" si="15"/>
        <v>0.8518518519</v>
      </c>
    </row>
    <row r="118" ht="27.75" customHeight="1">
      <c r="A118" s="56" t="s">
        <v>2424</v>
      </c>
      <c r="B118" s="57" t="s">
        <v>31</v>
      </c>
      <c r="C118" s="58" t="s">
        <v>2425</v>
      </c>
      <c r="D118" s="57" t="s">
        <v>1485</v>
      </c>
      <c r="E118" s="59" t="s">
        <v>2423</v>
      </c>
      <c r="F118" s="57" t="str">
        <f t="shared" si="12"/>
        <v>Menipis</v>
      </c>
      <c r="G118" s="64">
        <v>1.0</v>
      </c>
      <c r="H118" s="60">
        <v>38000.0</v>
      </c>
      <c r="I118" s="60">
        <v>70000.0</v>
      </c>
      <c r="J118" s="60">
        <f t="shared" si="13"/>
        <v>32000</v>
      </c>
      <c r="K118" s="61">
        <f t="shared" si="15"/>
        <v>0.8421052632</v>
      </c>
    </row>
    <row r="119" ht="27.75" customHeight="1">
      <c r="A119" s="56" t="s">
        <v>2426</v>
      </c>
      <c r="B119" s="57" t="s">
        <v>31</v>
      </c>
      <c r="C119" s="58" t="s">
        <v>2427</v>
      </c>
      <c r="D119" s="57" t="s">
        <v>1485</v>
      </c>
      <c r="E119" s="59" t="s">
        <v>2423</v>
      </c>
      <c r="F119" s="57" t="str">
        <f t="shared" si="12"/>
        <v>Tersedia</v>
      </c>
      <c r="G119" s="64">
        <v>6.0</v>
      </c>
      <c r="H119" s="60">
        <v>16000.0</v>
      </c>
      <c r="I119" s="60">
        <v>35000.0</v>
      </c>
      <c r="J119" s="60">
        <f t="shared" si="13"/>
        <v>19000</v>
      </c>
      <c r="K119" s="61">
        <f t="shared" si="15"/>
        <v>1.1875</v>
      </c>
    </row>
    <row r="120" ht="27.75" customHeight="1">
      <c r="A120" s="56" t="s">
        <v>2428</v>
      </c>
      <c r="B120" s="57" t="s">
        <v>31</v>
      </c>
      <c r="C120" s="58" t="s">
        <v>2429</v>
      </c>
      <c r="D120" s="65" t="s">
        <v>1485</v>
      </c>
      <c r="E120" s="59" t="s">
        <v>2423</v>
      </c>
      <c r="F120" s="57" t="str">
        <f t="shared" si="12"/>
        <v>Tersedia</v>
      </c>
      <c r="G120" s="64">
        <v>8.0</v>
      </c>
      <c r="H120" s="60">
        <v>21500.0</v>
      </c>
      <c r="I120" s="60">
        <v>45000.0</v>
      </c>
      <c r="J120" s="60">
        <f t="shared" si="13"/>
        <v>23500</v>
      </c>
      <c r="K120" s="61">
        <f t="shared" si="15"/>
        <v>1.093023256</v>
      </c>
    </row>
    <row r="121" ht="27.75" customHeight="1">
      <c r="A121" s="56" t="s">
        <v>2430</v>
      </c>
      <c r="B121" s="57" t="s">
        <v>31</v>
      </c>
      <c r="C121" s="58" t="s">
        <v>2431</v>
      </c>
      <c r="D121" s="65" t="s">
        <v>1485</v>
      </c>
      <c r="E121" s="59" t="s">
        <v>2423</v>
      </c>
      <c r="F121" s="57" t="str">
        <f t="shared" si="12"/>
        <v>Tersedia</v>
      </c>
      <c r="G121" s="56">
        <v>4.0</v>
      </c>
      <c r="H121" s="60">
        <v>16500.0</v>
      </c>
      <c r="I121" s="60">
        <v>35000.0</v>
      </c>
      <c r="J121" s="60">
        <f t="shared" si="13"/>
        <v>18500</v>
      </c>
      <c r="K121" s="61">
        <f t="shared" si="15"/>
        <v>1.121212121</v>
      </c>
    </row>
    <row r="122" ht="27.75" customHeight="1">
      <c r="A122" s="56" t="s">
        <v>2432</v>
      </c>
      <c r="B122" s="57" t="s">
        <v>31</v>
      </c>
      <c r="C122" s="58" t="s">
        <v>2433</v>
      </c>
      <c r="D122" s="65" t="s">
        <v>1485</v>
      </c>
      <c r="E122" s="59" t="s">
        <v>2423</v>
      </c>
      <c r="F122" s="57" t="str">
        <f t="shared" si="12"/>
        <v>Tersedia</v>
      </c>
      <c r="G122" s="56">
        <v>4.0</v>
      </c>
      <c r="H122" s="60">
        <v>16000.0</v>
      </c>
      <c r="I122" s="60">
        <v>30000.0</v>
      </c>
      <c r="J122" s="60">
        <f t="shared" si="13"/>
        <v>14000</v>
      </c>
      <c r="K122" s="61">
        <f t="shared" si="15"/>
        <v>0.875</v>
      </c>
    </row>
    <row r="123" ht="27.75" customHeight="1">
      <c r="A123" s="56" t="s">
        <v>2434</v>
      </c>
      <c r="B123" s="57" t="s">
        <v>31</v>
      </c>
      <c r="C123" s="58" t="s">
        <v>2435</v>
      </c>
      <c r="D123" s="65" t="s">
        <v>1485</v>
      </c>
      <c r="E123" s="59" t="s">
        <v>2423</v>
      </c>
      <c r="F123" s="57" t="str">
        <f t="shared" si="12"/>
        <v>Menipis</v>
      </c>
      <c r="G123" s="56">
        <v>2.0</v>
      </c>
      <c r="H123" s="60">
        <v>31000.0</v>
      </c>
      <c r="I123" s="60">
        <v>75000.0</v>
      </c>
      <c r="J123" s="60">
        <f t="shared" si="13"/>
        <v>44000</v>
      </c>
      <c r="K123" s="61">
        <f t="shared" si="15"/>
        <v>1.419354839</v>
      </c>
    </row>
    <row r="124" ht="27.75" customHeight="1">
      <c r="A124" s="56" t="s">
        <v>2436</v>
      </c>
      <c r="B124" s="57" t="s">
        <v>31</v>
      </c>
      <c r="C124" s="58" t="s">
        <v>2437</v>
      </c>
      <c r="D124" s="57" t="s">
        <v>363</v>
      </c>
      <c r="E124" s="59" t="s">
        <v>387</v>
      </c>
      <c r="F124" s="57" t="str">
        <f t="shared" si="12"/>
        <v>Tersedia</v>
      </c>
      <c r="G124" s="56">
        <v>10.0</v>
      </c>
      <c r="H124" s="60">
        <v>10000.0</v>
      </c>
      <c r="I124" s="60">
        <v>25000.0</v>
      </c>
      <c r="J124" s="60">
        <f t="shared" si="13"/>
        <v>15000</v>
      </c>
      <c r="K124" s="61">
        <f t="shared" si="15"/>
        <v>1.5</v>
      </c>
    </row>
    <row r="125" ht="27.75" customHeight="1">
      <c r="A125" s="56" t="s">
        <v>2438</v>
      </c>
      <c r="B125" s="57" t="s">
        <v>31</v>
      </c>
      <c r="C125" s="58" t="s">
        <v>2439</v>
      </c>
      <c r="D125" s="57" t="s">
        <v>363</v>
      </c>
      <c r="E125" s="70" t="s">
        <v>410</v>
      </c>
      <c r="F125" s="57" t="str">
        <f t="shared" si="12"/>
        <v>Tersedia</v>
      </c>
      <c r="G125" s="56">
        <v>7.0</v>
      </c>
      <c r="H125" s="60">
        <v>5000.0</v>
      </c>
      <c r="I125" s="60">
        <v>15000.0</v>
      </c>
      <c r="J125" s="60">
        <f t="shared" si="13"/>
        <v>10000</v>
      </c>
      <c r="K125" s="61">
        <f t="shared" si="15"/>
        <v>2</v>
      </c>
    </row>
    <row r="126" ht="27.75" customHeight="1">
      <c r="A126" s="56" t="s">
        <v>2440</v>
      </c>
      <c r="B126" s="57" t="s">
        <v>31</v>
      </c>
      <c r="C126" s="58" t="s">
        <v>2441</v>
      </c>
      <c r="D126" s="57" t="s">
        <v>363</v>
      </c>
      <c r="E126" s="59" t="s">
        <v>2442</v>
      </c>
      <c r="F126" s="57" t="str">
        <f t="shared" si="12"/>
        <v>Menipis</v>
      </c>
      <c r="G126" s="64">
        <v>1.0</v>
      </c>
      <c r="H126" s="60">
        <v>12000.0</v>
      </c>
      <c r="I126" s="60">
        <v>25000.0</v>
      </c>
      <c r="J126" s="60">
        <f t="shared" si="13"/>
        <v>13000</v>
      </c>
      <c r="K126" s="61">
        <f t="shared" si="15"/>
        <v>1.083333333</v>
      </c>
    </row>
    <row r="127" ht="27.75" customHeight="1">
      <c r="A127" s="56" t="s">
        <v>2443</v>
      </c>
      <c r="B127" s="57" t="s">
        <v>31</v>
      </c>
      <c r="C127" s="58" t="s">
        <v>2444</v>
      </c>
      <c r="D127" s="57" t="s">
        <v>542</v>
      </c>
      <c r="E127" s="59" t="s">
        <v>2445</v>
      </c>
      <c r="F127" s="57" t="str">
        <f t="shared" si="12"/>
        <v>Menipis</v>
      </c>
      <c r="G127" s="56">
        <v>1.0</v>
      </c>
      <c r="H127" s="60">
        <v>52000.0</v>
      </c>
      <c r="I127" s="60">
        <v>120000.0</v>
      </c>
      <c r="J127" s="60">
        <f t="shared" si="13"/>
        <v>68000</v>
      </c>
      <c r="K127" s="61">
        <f t="shared" si="15"/>
        <v>1.307692308</v>
      </c>
    </row>
    <row r="128" ht="27.75" customHeight="1">
      <c r="A128" s="56" t="s">
        <v>2446</v>
      </c>
      <c r="B128" s="57" t="s">
        <v>31</v>
      </c>
      <c r="C128" s="58" t="s">
        <v>2447</v>
      </c>
      <c r="D128" s="57" t="s">
        <v>542</v>
      </c>
      <c r="E128" s="59" t="s">
        <v>2445</v>
      </c>
      <c r="F128" s="57" t="str">
        <f t="shared" si="12"/>
        <v>Menipis</v>
      </c>
      <c r="G128" s="56">
        <v>1.0</v>
      </c>
      <c r="H128" s="60">
        <v>48000.0</v>
      </c>
      <c r="I128" s="60">
        <v>100000.0</v>
      </c>
      <c r="J128" s="60">
        <f t="shared" si="13"/>
        <v>52000</v>
      </c>
      <c r="K128" s="61">
        <f t="shared" si="15"/>
        <v>1.083333333</v>
      </c>
    </row>
    <row r="129" ht="27.75" customHeight="1">
      <c r="A129" s="56" t="s">
        <v>2448</v>
      </c>
      <c r="B129" s="57" t="s">
        <v>31</v>
      </c>
      <c r="C129" s="58" t="s">
        <v>2449</v>
      </c>
      <c r="D129" s="57" t="s">
        <v>542</v>
      </c>
      <c r="E129" s="59" t="s">
        <v>2445</v>
      </c>
      <c r="F129" s="57" t="str">
        <f t="shared" si="12"/>
        <v>Menipis</v>
      </c>
      <c r="G129" s="56">
        <v>1.0</v>
      </c>
      <c r="H129" s="60">
        <v>45000.0</v>
      </c>
      <c r="I129" s="60">
        <v>90000.0</v>
      </c>
      <c r="J129" s="60">
        <f t="shared" si="13"/>
        <v>45000</v>
      </c>
      <c r="K129" s="61">
        <f t="shared" si="15"/>
        <v>1</v>
      </c>
    </row>
    <row r="130" ht="27.75" customHeight="1">
      <c r="A130" s="56" t="s">
        <v>2450</v>
      </c>
      <c r="B130" s="57" t="s">
        <v>31</v>
      </c>
      <c r="C130" s="58" t="s">
        <v>2451</v>
      </c>
      <c r="D130" s="57" t="s">
        <v>2452</v>
      </c>
      <c r="E130" s="59" t="s">
        <v>66</v>
      </c>
      <c r="F130" s="57" t="str">
        <f t="shared" si="12"/>
        <v>Menipis</v>
      </c>
      <c r="G130" s="56">
        <v>1.0</v>
      </c>
      <c r="H130" s="60">
        <v>88000.0</v>
      </c>
      <c r="I130" s="60">
        <v>140000.0</v>
      </c>
      <c r="J130" s="60">
        <f t="shared" si="13"/>
        <v>52000</v>
      </c>
      <c r="K130" s="61">
        <f t="shared" si="15"/>
        <v>0.5909090909</v>
      </c>
    </row>
    <row r="131" ht="27.75" customHeight="1">
      <c r="A131" s="56" t="s">
        <v>2453</v>
      </c>
      <c r="B131" s="57" t="s">
        <v>31</v>
      </c>
      <c r="C131" s="58" t="s">
        <v>2454</v>
      </c>
      <c r="D131" s="57" t="s">
        <v>2452</v>
      </c>
      <c r="E131" s="59" t="s">
        <v>2455</v>
      </c>
      <c r="F131" s="57" t="str">
        <f t="shared" si="12"/>
        <v>Menipis</v>
      </c>
      <c r="G131" s="56">
        <v>1.0</v>
      </c>
      <c r="H131" s="60">
        <v>90000.0</v>
      </c>
      <c r="I131" s="60">
        <v>130000.0</v>
      </c>
      <c r="J131" s="60">
        <f t="shared" si="13"/>
        <v>40000</v>
      </c>
      <c r="K131" s="61">
        <f t="shared" si="15"/>
        <v>0.4444444444</v>
      </c>
    </row>
    <row r="132" ht="27.75" customHeight="1">
      <c r="A132" s="56" t="s">
        <v>2456</v>
      </c>
      <c r="B132" s="57" t="s">
        <v>31</v>
      </c>
      <c r="C132" s="58" t="s">
        <v>2457</v>
      </c>
      <c r="D132" s="57" t="s">
        <v>2452</v>
      </c>
      <c r="E132" s="59" t="s">
        <v>2458</v>
      </c>
      <c r="F132" s="57" t="str">
        <f t="shared" si="12"/>
        <v>Menipis</v>
      </c>
      <c r="G132" s="64">
        <v>1.0</v>
      </c>
      <c r="H132" s="60">
        <v>206000.0</v>
      </c>
      <c r="I132" s="60">
        <v>325000.0</v>
      </c>
      <c r="J132" s="60">
        <f t="shared" si="13"/>
        <v>119000</v>
      </c>
      <c r="K132" s="61">
        <f t="shared" si="15"/>
        <v>0.5776699029</v>
      </c>
    </row>
    <row r="133" ht="27.75" customHeight="1">
      <c r="A133" s="56" t="s">
        <v>2459</v>
      </c>
      <c r="B133" s="57" t="s">
        <v>31</v>
      </c>
      <c r="C133" s="58" t="s">
        <v>2460</v>
      </c>
      <c r="D133" s="57" t="s">
        <v>2452</v>
      </c>
      <c r="E133" s="59" t="s">
        <v>2458</v>
      </c>
      <c r="F133" s="57" t="str">
        <f t="shared" si="12"/>
        <v>Habis</v>
      </c>
      <c r="G133" s="64">
        <v>0.0</v>
      </c>
      <c r="H133" s="60">
        <v>150000.0</v>
      </c>
      <c r="I133" s="60">
        <v>215000.0</v>
      </c>
      <c r="J133" s="60">
        <f t="shared" si="13"/>
        <v>65000</v>
      </c>
      <c r="K133" s="61">
        <f t="shared" si="15"/>
        <v>0.4333333333</v>
      </c>
    </row>
    <row r="134" ht="27.75" customHeight="1">
      <c r="A134" s="56" t="s">
        <v>2461</v>
      </c>
      <c r="B134" s="57" t="s">
        <v>31</v>
      </c>
      <c r="C134" s="58" t="s">
        <v>2462</v>
      </c>
      <c r="D134" s="57" t="s">
        <v>1112</v>
      </c>
      <c r="E134" s="59" t="s">
        <v>1900</v>
      </c>
      <c r="F134" s="57" t="str">
        <f t="shared" si="12"/>
        <v>Habis</v>
      </c>
      <c r="G134" s="64">
        <v>0.0</v>
      </c>
      <c r="H134" s="60">
        <v>326087.0</v>
      </c>
      <c r="I134" s="60">
        <v>586957.0</v>
      </c>
      <c r="J134" s="60">
        <f t="shared" si="13"/>
        <v>260870</v>
      </c>
      <c r="K134" s="61">
        <f t="shared" si="15"/>
        <v>0.8000012267</v>
      </c>
    </row>
    <row r="135" ht="27.75" customHeight="1">
      <c r="A135" s="56" t="s">
        <v>2463</v>
      </c>
      <c r="B135" s="57" t="s">
        <v>31</v>
      </c>
      <c r="C135" s="58" t="s">
        <v>2464</v>
      </c>
      <c r="D135" s="57" t="s">
        <v>2452</v>
      </c>
      <c r="E135" s="59" t="s">
        <v>2465</v>
      </c>
      <c r="F135" s="57" t="str">
        <f t="shared" si="12"/>
        <v>Menipis</v>
      </c>
      <c r="G135" s="64">
        <v>1.0</v>
      </c>
      <c r="H135" s="60">
        <v>90000.0</v>
      </c>
      <c r="I135" s="60">
        <v>140000.0</v>
      </c>
      <c r="J135" s="60">
        <f t="shared" si="13"/>
        <v>50000</v>
      </c>
      <c r="K135" s="61">
        <f t="shared" si="15"/>
        <v>0.5555555556</v>
      </c>
    </row>
    <row r="136" ht="27.75" customHeight="1">
      <c r="A136" s="56" t="s">
        <v>2466</v>
      </c>
      <c r="B136" s="57" t="s">
        <v>31</v>
      </c>
      <c r="C136" s="58" t="s">
        <v>2467</v>
      </c>
      <c r="D136" s="57" t="s">
        <v>2452</v>
      </c>
      <c r="E136" s="59" t="s">
        <v>2465</v>
      </c>
      <c r="F136" s="57" t="str">
        <f t="shared" si="12"/>
        <v>Menipis</v>
      </c>
      <c r="G136" s="64">
        <v>1.0</v>
      </c>
      <c r="H136" s="60">
        <v>65003.0</v>
      </c>
      <c r="I136" s="60">
        <v>117005.0</v>
      </c>
      <c r="J136" s="60">
        <f t="shared" si="13"/>
        <v>52002</v>
      </c>
      <c r="K136" s="61">
        <f t="shared" si="15"/>
        <v>0.7999938464</v>
      </c>
    </row>
    <row r="137" ht="27.75" customHeight="1">
      <c r="A137" s="56" t="s">
        <v>2468</v>
      </c>
      <c r="B137" s="57" t="s">
        <v>31</v>
      </c>
      <c r="C137" s="58" t="s">
        <v>2469</v>
      </c>
      <c r="D137" s="57" t="s">
        <v>2452</v>
      </c>
      <c r="E137" s="59" t="s">
        <v>2465</v>
      </c>
      <c r="F137" s="57" t="str">
        <f t="shared" si="12"/>
        <v>Menipis</v>
      </c>
      <c r="G137" s="64">
        <v>1.0</v>
      </c>
      <c r="H137" s="60">
        <v>88813.0</v>
      </c>
      <c r="I137" s="60">
        <v>159863.0</v>
      </c>
      <c r="J137" s="60">
        <f t="shared" si="13"/>
        <v>71050</v>
      </c>
      <c r="K137" s="61">
        <f t="shared" si="15"/>
        <v>0.7999954962</v>
      </c>
    </row>
    <row r="138" ht="27.75" customHeight="1">
      <c r="A138" s="56" t="s">
        <v>2470</v>
      </c>
      <c r="B138" s="57" t="s">
        <v>31</v>
      </c>
      <c r="C138" s="58" t="s">
        <v>2471</v>
      </c>
      <c r="D138" s="57" t="s">
        <v>2452</v>
      </c>
      <c r="E138" s="59" t="s">
        <v>2465</v>
      </c>
      <c r="F138" s="57" t="str">
        <f t="shared" si="12"/>
        <v>Menipis</v>
      </c>
      <c r="G138" s="64">
        <v>1.0</v>
      </c>
      <c r="H138" s="60">
        <v>88813.0</v>
      </c>
      <c r="I138" s="60">
        <v>159863.0</v>
      </c>
      <c r="J138" s="60">
        <f t="shared" si="13"/>
        <v>71050</v>
      </c>
      <c r="K138" s="61">
        <f t="shared" si="15"/>
        <v>0.7999954962</v>
      </c>
    </row>
    <row r="139" ht="27.75" customHeight="1">
      <c r="A139" s="56" t="s">
        <v>2472</v>
      </c>
      <c r="B139" s="57" t="s">
        <v>31</v>
      </c>
      <c r="C139" s="58" t="s">
        <v>2473</v>
      </c>
      <c r="D139" s="57" t="s">
        <v>2452</v>
      </c>
      <c r="E139" s="59" t="s">
        <v>364</v>
      </c>
      <c r="F139" s="57" t="str">
        <f t="shared" si="12"/>
        <v>Menipis</v>
      </c>
      <c r="G139" s="64">
        <v>1.0</v>
      </c>
      <c r="H139" s="60">
        <v>18444.0</v>
      </c>
      <c r="I139" s="60">
        <v>33199.0</v>
      </c>
      <c r="J139" s="60">
        <f t="shared" si="13"/>
        <v>14755</v>
      </c>
      <c r="K139" s="61">
        <f t="shared" si="15"/>
        <v>0.7999891564</v>
      </c>
    </row>
    <row r="140" ht="27.75" customHeight="1">
      <c r="A140" s="56" t="s">
        <v>2474</v>
      </c>
      <c r="B140" s="57" t="s">
        <v>31</v>
      </c>
      <c r="C140" s="58" t="s">
        <v>2475</v>
      </c>
      <c r="D140" s="57" t="s">
        <v>363</v>
      </c>
      <c r="E140" s="70" t="s">
        <v>410</v>
      </c>
      <c r="F140" s="57" t="str">
        <f t="shared" si="12"/>
        <v>Menipis</v>
      </c>
      <c r="G140" s="56">
        <v>2.0</v>
      </c>
      <c r="H140" s="60">
        <v>10000.0</v>
      </c>
      <c r="I140" s="60">
        <v>20000.0</v>
      </c>
      <c r="J140" s="60">
        <f t="shared" si="13"/>
        <v>10000</v>
      </c>
      <c r="K140" s="61">
        <f t="shared" si="15"/>
        <v>1</v>
      </c>
    </row>
    <row r="141" ht="27.75" customHeight="1">
      <c r="A141" s="56" t="s">
        <v>2476</v>
      </c>
      <c r="B141" s="57" t="s">
        <v>31</v>
      </c>
      <c r="C141" s="58" t="s">
        <v>2477</v>
      </c>
      <c r="D141" s="57" t="s">
        <v>363</v>
      </c>
      <c r="E141" s="70" t="s">
        <v>410</v>
      </c>
      <c r="F141" s="57" t="str">
        <f t="shared" si="12"/>
        <v>Menipis</v>
      </c>
      <c r="G141" s="56">
        <v>1.0</v>
      </c>
      <c r="H141" s="60">
        <v>1000.0</v>
      </c>
      <c r="I141" s="60">
        <v>5000.0</v>
      </c>
      <c r="J141" s="60">
        <f t="shared" si="13"/>
        <v>4000</v>
      </c>
      <c r="K141" s="61">
        <f t="shared" si="15"/>
        <v>4</v>
      </c>
    </row>
    <row r="142" ht="27.75" customHeight="1">
      <c r="A142" s="56" t="s">
        <v>2478</v>
      </c>
      <c r="B142" s="57" t="s">
        <v>31</v>
      </c>
      <c r="C142" s="58" t="s">
        <v>2479</v>
      </c>
      <c r="D142" s="57" t="s">
        <v>363</v>
      </c>
      <c r="E142" s="70" t="s">
        <v>410</v>
      </c>
      <c r="F142" s="57" t="str">
        <f t="shared" si="12"/>
        <v>Menipis</v>
      </c>
      <c r="G142" s="56">
        <v>1.0</v>
      </c>
      <c r="H142" s="60">
        <v>2000.0</v>
      </c>
      <c r="I142" s="60">
        <v>5000.0</v>
      </c>
      <c r="J142" s="60">
        <f t="shared" si="13"/>
        <v>3000</v>
      </c>
      <c r="K142" s="61">
        <f t="shared" si="15"/>
        <v>1.5</v>
      </c>
    </row>
    <row r="143" ht="27.75" customHeight="1">
      <c r="A143" s="56" t="s">
        <v>2480</v>
      </c>
      <c r="B143" s="57" t="s">
        <v>31</v>
      </c>
      <c r="C143" s="58" t="s">
        <v>2481</v>
      </c>
      <c r="D143" s="57" t="s">
        <v>363</v>
      </c>
      <c r="E143" s="70" t="s">
        <v>410</v>
      </c>
      <c r="F143" s="57" t="str">
        <f t="shared" si="12"/>
        <v>Menipis</v>
      </c>
      <c r="G143" s="56">
        <v>1.0</v>
      </c>
      <c r="H143" s="60">
        <v>1000.0</v>
      </c>
      <c r="I143" s="60">
        <v>5000.0</v>
      </c>
      <c r="J143" s="60">
        <f t="shared" si="13"/>
        <v>4000</v>
      </c>
      <c r="K143" s="61">
        <f t="shared" si="15"/>
        <v>4</v>
      </c>
    </row>
    <row r="144" ht="27.75" customHeight="1">
      <c r="A144" s="56" t="s">
        <v>2482</v>
      </c>
      <c r="B144" s="57" t="s">
        <v>31</v>
      </c>
      <c r="C144" s="58" t="s">
        <v>2483</v>
      </c>
      <c r="D144" s="57" t="s">
        <v>363</v>
      </c>
      <c r="E144" s="70" t="s">
        <v>410</v>
      </c>
      <c r="F144" s="57" t="str">
        <f t="shared" si="12"/>
        <v>Menipis</v>
      </c>
      <c r="G144" s="56">
        <v>1.0</v>
      </c>
      <c r="H144" s="60">
        <v>5000.0</v>
      </c>
      <c r="I144" s="60">
        <v>10000.0</v>
      </c>
      <c r="J144" s="60">
        <f t="shared" si="13"/>
        <v>5000</v>
      </c>
      <c r="K144" s="61">
        <f t="shared" si="15"/>
        <v>1</v>
      </c>
    </row>
    <row r="145" ht="27.75" customHeight="1">
      <c r="A145" s="56" t="s">
        <v>2484</v>
      </c>
      <c r="B145" s="57" t="s">
        <v>31</v>
      </c>
      <c r="C145" s="58" t="s">
        <v>2485</v>
      </c>
      <c r="D145" s="57" t="s">
        <v>363</v>
      </c>
      <c r="E145" s="70" t="s">
        <v>410</v>
      </c>
      <c r="F145" s="57" t="str">
        <f t="shared" si="12"/>
        <v>Menipis</v>
      </c>
      <c r="G145" s="56">
        <v>3.0</v>
      </c>
      <c r="H145" s="60">
        <v>5000.0</v>
      </c>
      <c r="I145" s="60">
        <v>10000.0</v>
      </c>
      <c r="J145" s="60">
        <f t="shared" si="13"/>
        <v>5000</v>
      </c>
      <c r="K145" s="61">
        <f t="shared" si="15"/>
        <v>1</v>
      </c>
    </row>
    <row r="146" ht="27.75" customHeight="1">
      <c r="A146" s="56" t="s">
        <v>2486</v>
      </c>
      <c r="B146" s="57" t="s">
        <v>1172</v>
      </c>
      <c r="C146" s="58" t="s">
        <v>2487</v>
      </c>
      <c r="D146" s="57" t="s">
        <v>1248</v>
      </c>
      <c r="E146" s="159" t="s">
        <v>1232</v>
      </c>
      <c r="F146" s="57" t="s">
        <v>1180</v>
      </c>
      <c r="G146" s="64">
        <v>1.0</v>
      </c>
      <c r="H146" s="60">
        <v>5000.0</v>
      </c>
      <c r="I146" s="60">
        <v>10000.0</v>
      </c>
      <c r="J146" s="60">
        <v>5000.0</v>
      </c>
      <c r="K146" s="61">
        <v>1.0</v>
      </c>
    </row>
    <row r="147" ht="27.75" customHeight="1">
      <c r="A147" s="56" t="s">
        <v>2488</v>
      </c>
      <c r="B147" s="57" t="s">
        <v>31</v>
      </c>
      <c r="C147" s="62" t="s">
        <v>2489</v>
      </c>
      <c r="D147" s="57" t="s">
        <v>341</v>
      </c>
      <c r="E147" s="59" t="s">
        <v>2490</v>
      </c>
      <c r="F147" s="57" t="str">
        <f t="shared" ref="F147:F178" si="16">IF(G147="", "", IF(G147&lt;=0, "Habis", IF(G147&lt;=3, "Menipis", "Tersedia")))</f>
        <v>Menipis</v>
      </c>
      <c r="G147" s="56">
        <v>2.0</v>
      </c>
      <c r="H147" s="60">
        <v>15000.0</v>
      </c>
      <c r="I147" s="60">
        <v>30000.0</v>
      </c>
      <c r="J147" s="60">
        <f t="shared" ref="J147:J178" si="17">I147-H147</f>
        <v>15000</v>
      </c>
      <c r="K147" s="61">
        <f t="shared" ref="K147:K178" si="18">J147/H147*100%</f>
        <v>1</v>
      </c>
    </row>
    <row r="148" ht="27.75" customHeight="1">
      <c r="A148" s="56" t="s">
        <v>2491</v>
      </c>
      <c r="B148" s="57" t="s">
        <v>31</v>
      </c>
      <c r="C148" s="58" t="s">
        <v>2492</v>
      </c>
      <c r="D148" s="57" t="s">
        <v>363</v>
      </c>
      <c r="E148" s="59" t="s">
        <v>2423</v>
      </c>
      <c r="F148" s="57" t="str">
        <f t="shared" si="16"/>
        <v>Tersedia</v>
      </c>
      <c r="G148" s="64">
        <v>21.0</v>
      </c>
      <c r="H148" s="60">
        <v>4000.0</v>
      </c>
      <c r="I148" s="60">
        <v>10000.0</v>
      </c>
      <c r="J148" s="60">
        <f t="shared" si="17"/>
        <v>6000</v>
      </c>
      <c r="K148" s="61">
        <f t="shared" si="18"/>
        <v>1.5</v>
      </c>
    </row>
    <row r="149" ht="27.75" customHeight="1">
      <c r="A149" s="56" t="s">
        <v>2493</v>
      </c>
      <c r="B149" s="57" t="s">
        <v>31</v>
      </c>
      <c r="C149" s="58" t="s">
        <v>2494</v>
      </c>
      <c r="D149" s="57" t="s">
        <v>2495</v>
      </c>
      <c r="E149" s="59" t="s">
        <v>2423</v>
      </c>
      <c r="F149" s="57" t="str">
        <f t="shared" si="16"/>
        <v>Tersedia</v>
      </c>
      <c r="G149" s="64">
        <v>4.0</v>
      </c>
      <c r="H149" s="60">
        <v>11000.0</v>
      </c>
      <c r="I149" s="60">
        <v>25000.0</v>
      </c>
      <c r="J149" s="60">
        <f t="shared" si="17"/>
        <v>14000</v>
      </c>
      <c r="K149" s="61">
        <f t="shared" si="18"/>
        <v>1.272727273</v>
      </c>
    </row>
    <row r="150" ht="27.75" customHeight="1">
      <c r="A150" s="56" t="s">
        <v>2496</v>
      </c>
      <c r="B150" s="57" t="s">
        <v>31</v>
      </c>
      <c r="C150" s="58" t="s">
        <v>2497</v>
      </c>
      <c r="D150" s="57" t="s">
        <v>363</v>
      </c>
      <c r="E150" s="59" t="s">
        <v>2423</v>
      </c>
      <c r="F150" s="57" t="str">
        <f t="shared" si="16"/>
        <v>Menipis</v>
      </c>
      <c r="G150" s="64">
        <v>3.0</v>
      </c>
      <c r="H150" s="60">
        <v>5750.0</v>
      </c>
      <c r="I150" s="60">
        <v>20000.0</v>
      </c>
      <c r="J150" s="60">
        <f t="shared" si="17"/>
        <v>14250</v>
      </c>
      <c r="K150" s="61">
        <f t="shared" si="18"/>
        <v>2.47826087</v>
      </c>
    </row>
    <row r="151" ht="27.75" customHeight="1">
      <c r="A151" s="56" t="s">
        <v>2498</v>
      </c>
      <c r="B151" s="57" t="s">
        <v>31</v>
      </c>
      <c r="C151" s="58" t="s">
        <v>2499</v>
      </c>
      <c r="D151" s="57" t="s">
        <v>363</v>
      </c>
      <c r="E151" s="59" t="s">
        <v>2423</v>
      </c>
      <c r="F151" s="57" t="str">
        <f t="shared" si="16"/>
        <v>Menipis</v>
      </c>
      <c r="G151" s="64">
        <v>1.0</v>
      </c>
      <c r="H151" s="60">
        <v>3000.0</v>
      </c>
      <c r="I151" s="60">
        <v>10000.0</v>
      </c>
      <c r="J151" s="60">
        <f t="shared" si="17"/>
        <v>7000</v>
      </c>
      <c r="K151" s="61">
        <f t="shared" si="18"/>
        <v>2.333333333</v>
      </c>
    </row>
    <row r="152" ht="27.75" customHeight="1">
      <c r="A152" s="56" t="s">
        <v>2500</v>
      </c>
      <c r="B152" s="57" t="s">
        <v>31</v>
      </c>
      <c r="C152" s="58" t="s">
        <v>2501</v>
      </c>
      <c r="D152" s="57" t="s">
        <v>363</v>
      </c>
      <c r="E152" s="59" t="s">
        <v>2423</v>
      </c>
      <c r="F152" s="57" t="str">
        <f t="shared" si="16"/>
        <v>Menipis</v>
      </c>
      <c r="G152" s="64">
        <v>1.0</v>
      </c>
      <c r="H152" s="60">
        <v>3750.0</v>
      </c>
      <c r="I152" s="60">
        <v>7500.0</v>
      </c>
      <c r="J152" s="60">
        <f t="shared" si="17"/>
        <v>3750</v>
      </c>
      <c r="K152" s="61">
        <f t="shared" si="18"/>
        <v>1</v>
      </c>
    </row>
    <row r="153" ht="27.75" customHeight="1">
      <c r="A153" s="56" t="s">
        <v>2502</v>
      </c>
      <c r="B153" s="57" t="s">
        <v>31</v>
      </c>
      <c r="C153" s="58" t="s">
        <v>2503</v>
      </c>
      <c r="D153" s="57" t="s">
        <v>1485</v>
      </c>
      <c r="E153" s="59" t="s">
        <v>2423</v>
      </c>
      <c r="F153" s="57" t="str">
        <f t="shared" si="16"/>
        <v>Tersedia</v>
      </c>
      <c r="G153" s="64">
        <v>5.0</v>
      </c>
      <c r="H153" s="60">
        <v>12400.0</v>
      </c>
      <c r="I153" s="60">
        <v>25000.0</v>
      </c>
      <c r="J153" s="60">
        <f t="shared" si="17"/>
        <v>12600</v>
      </c>
      <c r="K153" s="61">
        <f t="shared" si="18"/>
        <v>1.016129032</v>
      </c>
    </row>
    <row r="154" ht="27.75" customHeight="1">
      <c r="A154" s="56" t="s">
        <v>2504</v>
      </c>
      <c r="B154" s="57" t="s">
        <v>31</v>
      </c>
      <c r="C154" s="58" t="s">
        <v>2505</v>
      </c>
      <c r="D154" s="57" t="s">
        <v>1485</v>
      </c>
      <c r="E154" s="59" t="s">
        <v>2423</v>
      </c>
      <c r="F154" s="57" t="str">
        <f t="shared" si="16"/>
        <v>Tersedia</v>
      </c>
      <c r="G154" s="64">
        <v>6.0</v>
      </c>
      <c r="H154" s="60">
        <v>12400.0</v>
      </c>
      <c r="I154" s="60">
        <v>25000.0</v>
      </c>
      <c r="J154" s="60">
        <f t="shared" si="17"/>
        <v>12600</v>
      </c>
      <c r="K154" s="61">
        <f t="shared" si="18"/>
        <v>1.016129032</v>
      </c>
    </row>
    <row r="155" ht="27.75" customHeight="1">
      <c r="A155" s="56" t="s">
        <v>2506</v>
      </c>
      <c r="B155" s="57" t="s">
        <v>31</v>
      </c>
      <c r="C155" s="62" t="s">
        <v>2507</v>
      </c>
      <c r="D155" s="57" t="s">
        <v>945</v>
      </c>
      <c r="E155" s="59" t="s">
        <v>2423</v>
      </c>
      <c r="F155" s="57" t="str">
        <f t="shared" si="16"/>
        <v>Menipis</v>
      </c>
      <c r="G155" s="63">
        <v>3.0</v>
      </c>
      <c r="H155" s="60">
        <v>22500.0</v>
      </c>
      <c r="I155" s="60">
        <v>45000.0</v>
      </c>
      <c r="J155" s="60">
        <f t="shared" si="17"/>
        <v>22500</v>
      </c>
      <c r="K155" s="61">
        <f t="shared" si="18"/>
        <v>1</v>
      </c>
    </row>
    <row r="156" ht="27.75" customHeight="1">
      <c r="A156" s="56" t="s">
        <v>2508</v>
      </c>
      <c r="B156" s="57" t="s">
        <v>31</v>
      </c>
      <c r="C156" s="58" t="s">
        <v>2509</v>
      </c>
      <c r="D156" s="57" t="s">
        <v>2510</v>
      </c>
      <c r="E156" s="59" t="s">
        <v>2423</v>
      </c>
      <c r="F156" s="57" t="str">
        <f t="shared" si="16"/>
        <v>Menipis</v>
      </c>
      <c r="G156" s="63">
        <v>3.0</v>
      </c>
      <c r="H156" s="60">
        <v>14000.0</v>
      </c>
      <c r="I156" s="60">
        <v>30000.0</v>
      </c>
      <c r="J156" s="60">
        <f t="shared" si="17"/>
        <v>16000</v>
      </c>
      <c r="K156" s="61">
        <f t="shared" si="18"/>
        <v>1.142857143</v>
      </c>
    </row>
    <row r="157" ht="27.75" customHeight="1">
      <c r="A157" s="56" t="s">
        <v>2511</v>
      </c>
      <c r="B157" s="57" t="s">
        <v>31</v>
      </c>
      <c r="C157" s="58" t="s">
        <v>2512</v>
      </c>
      <c r="D157" s="57" t="s">
        <v>2513</v>
      </c>
      <c r="E157" s="59" t="s">
        <v>2423</v>
      </c>
      <c r="F157" s="57" t="str">
        <f t="shared" si="16"/>
        <v>Tersedia</v>
      </c>
      <c r="G157" s="64">
        <v>9.0</v>
      </c>
      <c r="H157" s="60">
        <v>22000.0</v>
      </c>
      <c r="I157" s="60">
        <v>45000.0</v>
      </c>
      <c r="J157" s="60">
        <f t="shared" si="17"/>
        <v>23000</v>
      </c>
      <c r="K157" s="61">
        <f t="shared" si="18"/>
        <v>1.045454545</v>
      </c>
    </row>
    <row r="158" ht="27.75" customHeight="1">
      <c r="A158" s="56" t="s">
        <v>2514</v>
      </c>
      <c r="B158" s="57" t="s">
        <v>31</v>
      </c>
      <c r="C158" s="58" t="s">
        <v>2515</v>
      </c>
      <c r="D158" s="57" t="s">
        <v>2516</v>
      </c>
      <c r="E158" s="59" t="s">
        <v>2423</v>
      </c>
      <c r="F158" s="57" t="str">
        <f t="shared" si="16"/>
        <v>Menipis</v>
      </c>
      <c r="G158" s="64">
        <v>2.0</v>
      </c>
      <c r="H158" s="60">
        <v>17000.0</v>
      </c>
      <c r="I158" s="60">
        <v>35000.0</v>
      </c>
      <c r="J158" s="60">
        <f t="shared" si="17"/>
        <v>18000</v>
      </c>
      <c r="K158" s="61">
        <f t="shared" si="18"/>
        <v>1.058823529</v>
      </c>
    </row>
    <row r="159" ht="27.75" customHeight="1">
      <c r="A159" s="56" t="s">
        <v>2517</v>
      </c>
      <c r="B159" s="57" t="s">
        <v>31</v>
      </c>
      <c r="C159" s="58" t="s">
        <v>2518</v>
      </c>
      <c r="D159" s="57" t="s">
        <v>2519</v>
      </c>
      <c r="E159" s="59" t="s">
        <v>2423</v>
      </c>
      <c r="F159" s="57" t="str">
        <f t="shared" si="16"/>
        <v>Habis</v>
      </c>
      <c r="G159" s="64">
        <v>0.0</v>
      </c>
      <c r="H159" s="60">
        <v>72000.0</v>
      </c>
      <c r="I159" s="60">
        <v>130000.0</v>
      </c>
      <c r="J159" s="60">
        <f t="shared" si="17"/>
        <v>58000</v>
      </c>
      <c r="K159" s="61">
        <f t="shared" si="18"/>
        <v>0.8055555556</v>
      </c>
    </row>
    <row r="160" ht="27.75" customHeight="1">
      <c r="A160" s="56" t="s">
        <v>2520</v>
      </c>
      <c r="B160" s="57" t="s">
        <v>31</v>
      </c>
      <c r="C160" s="58" t="s">
        <v>2521</v>
      </c>
      <c r="D160" s="57" t="s">
        <v>1485</v>
      </c>
      <c r="E160" s="59" t="s">
        <v>2423</v>
      </c>
      <c r="F160" s="57" t="str">
        <f t="shared" si="16"/>
        <v>Menipis</v>
      </c>
      <c r="G160" s="64">
        <v>1.0</v>
      </c>
      <c r="H160" s="60">
        <v>27000.0</v>
      </c>
      <c r="I160" s="60">
        <v>55000.0</v>
      </c>
      <c r="J160" s="60">
        <f t="shared" si="17"/>
        <v>28000</v>
      </c>
      <c r="K160" s="61">
        <f t="shared" si="18"/>
        <v>1.037037037</v>
      </c>
    </row>
    <row r="161" ht="27.75" customHeight="1">
      <c r="A161" s="56" t="s">
        <v>2522</v>
      </c>
      <c r="B161" s="57" t="s">
        <v>31</v>
      </c>
      <c r="C161" s="58" t="s">
        <v>2523</v>
      </c>
      <c r="D161" s="57" t="s">
        <v>1485</v>
      </c>
      <c r="E161" s="59" t="s">
        <v>2423</v>
      </c>
      <c r="F161" s="57" t="str">
        <f t="shared" si="16"/>
        <v>Menipis</v>
      </c>
      <c r="G161" s="64">
        <v>1.0</v>
      </c>
      <c r="H161" s="60">
        <v>12400.0</v>
      </c>
      <c r="I161" s="60">
        <v>25000.0</v>
      </c>
      <c r="J161" s="60">
        <f t="shared" si="17"/>
        <v>12600</v>
      </c>
      <c r="K161" s="61">
        <f t="shared" si="18"/>
        <v>1.016129032</v>
      </c>
    </row>
    <row r="162" ht="27.75" customHeight="1">
      <c r="A162" s="56" t="s">
        <v>2524</v>
      </c>
      <c r="B162" s="57" t="s">
        <v>31</v>
      </c>
      <c r="C162" s="58" t="s">
        <v>2525</v>
      </c>
      <c r="D162" s="57" t="s">
        <v>1485</v>
      </c>
      <c r="E162" s="59" t="s">
        <v>2423</v>
      </c>
      <c r="F162" s="57" t="str">
        <f t="shared" si="16"/>
        <v>Menipis</v>
      </c>
      <c r="G162" s="64">
        <v>1.0</v>
      </c>
      <c r="H162" s="60">
        <v>12400.0</v>
      </c>
      <c r="I162" s="60">
        <v>25000.0</v>
      </c>
      <c r="J162" s="60">
        <f t="shared" si="17"/>
        <v>12600</v>
      </c>
      <c r="K162" s="61">
        <f t="shared" si="18"/>
        <v>1.016129032</v>
      </c>
    </row>
    <row r="163" ht="27.75" customHeight="1">
      <c r="A163" s="56" t="s">
        <v>2526</v>
      </c>
      <c r="B163" s="57" t="s">
        <v>31</v>
      </c>
      <c r="C163" s="58" t="s">
        <v>2527</v>
      </c>
      <c r="D163" s="57" t="s">
        <v>542</v>
      </c>
      <c r="E163" s="59" t="s">
        <v>2423</v>
      </c>
      <c r="F163" s="57" t="str">
        <f t="shared" si="16"/>
        <v>Menipis</v>
      </c>
      <c r="G163" s="64">
        <v>1.0</v>
      </c>
      <c r="H163" s="60">
        <v>13000.0</v>
      </c>
      <c r="I163" s="60">
        <v>25000.0</v>
      </c>
      <c r="J163" s="60">
        <f t="shared" si="17"/>
        <v>12000</v>
      </c>
      <c r="K163" s="61">
        <f t="shared" si="18"/>
        <v>0.9230769231</v>
      </c>
    </row>
    <row r="164" ht="27.75" customHeight="1">
      <c r="A164" s="56" t="s">
        <v>2528</v>
      </c>
      <c r="B164" s="57" t="s">
        <v>31</v>
      </c>
      <c r="C164" s="58" t="s">
        <v>2529</v>
      </c>
      <c r="D164" s="57" t="s">
        <v>542</v>
      </c>
      <c r="E164" s="59" t="s">
        <v>2423</v>
      </c>
      <c r="F164" s="57" t="str">
        <f t="shared" si="16"/>
        <v>Menipis</v>
      </c>
      <c r="G164" s="64">
        <v>1.0</v>
      </c>
      <c r="H164" s="60">
        <v>30000.0</v>
      </c>
      <c r="I164" s="60">
        <v>60000.0</v>
      </c>
      <c r="J164" s="60">
        <f t="shared" si="17"/>
        <v>30000</v>
      </c>
      <c r="K164" s="61">
        <f t="shared" si="18"/>
        <v>1</v>
      </c>
    </row>
    <row r="165" ht="27.75" customHeight="1">
      <c r="A165" s="56" t="s">
        <v>2530</v>
      </c>
      <c r="B165" s="57" t="s">
        <v>31</v>
      </c>
      <c r="C165" s="58" t="s">
        <v>2531</v>
      </c>
      <c r="D165" s="57" t="s">
        <v>542</v>
      </c>
      <c r="E165" s="59" t="s">
        <v>2423</v>
      </c>
      <c r="F165" s="57" t="str">
        <f t="shared" si="16"/>
        <v>Menipis</v>
      </c>
      <c r="G165" s="64">
        <v>1.0</v>
      </c>
      <c r="H165" s="60">
        <v>27000.0</v>
      </c>
      <c r="I165" s="60">
        <v>60000.0</v>
      </c>
      <c r="J165" s="60">
        <f t="shared" si="17"/>
        <v>33000</v>
      </c>
      <c r="K165" s="61">
        <f t="shared" si="18"/>
        <v>1.222222222</v>
      </c>
    </row>
    <row r="166" ht="27.75" customHeight="1">
      <c r="A166" s="56" t="s">
        <v>2532</v>
      </c>
      <c r="B166" s="57" t="s">
        <v>31</v>
      </c>
      <c r="C166" s="58" t="s">
        <v>2533</v>
      </c>
      <c r="D166" s="57" t="s">
        <v>542</v>
      </c>
      <c r="E166" s="59" t="s">
        <v>2423</v>
      </c>
      <c r="F166" s="57" t="str">
        <f t="shared" si="16"/>
        <v>Menipis</v>
      </c>
      <c r="G166" s="64">
        <v>1.0</v>
      </c>
      <c r="H166" s="60">
        <v>19000.0</v>
      </c>
      <c r="I166" s="60">
        <v>40000.0</v>
      </c>
      <c r="J166" s="60">
        <f t="shared" si="17"/>
        <v>21000</v>
      </c>
      <c r="K166" s="61">
        <f t="shared" si="18"/>
        <v>1.105263158</v>
      </c>
    </row>
    <row r="167" ht="27.75" customHeight="1">
      <c r="A167" s="56" t="s">
        <v>2534</v>
      </c>
      <c r="B167" s="57" t="s">
        <v>31</v>
      </c>
      <c r="C167" s="58" t="s">
        <v>2535</v>
      </c>
      <c r="D167" s="57" t="s">
        <v>542</v>
      </c>
      <c r="E167" s="59" t="s">
        <v>2423</v>
      </c>
      <c r="F167" s="57" t="str">
        <f t="shared" si="16"/>
        <v>Menipis</v>
      </c>
      <c r="G167" s="64">
        <v>1.0</v>
      </c>
      <c r="H167" s="60">
        <v>20000.0</v>
      </c>
      <c r="I167" s="60">
        <v>40000.0</v>
      </c>
      <c r="J167" s="60">
        <f t="shared" si="17"/>
        <v>20000</v>
      </c>
      <c r="K167" s="61">
        <f t="shared" si="18"/>
        <v>1</v>
      </c>
    </row>
    <row r="168" ht="27.75" customHeight="1">
      <c r="A168" s="56" t="s">
        <v>2536</v>
      </c>
      <c r="B168" s="57" t="s">
        <v>31</v>
      </c>
      <c r="C168" s="58" t="s">
        <v>2537</v>
      </c>
      <c r="D168" s="57" t="s">
        <v>542</v>
      </c>
      <c r="E168" s="59" t="s">
        <v>2423</v>
      </c>
      <c r="F168" s="57" t="str">
        <f t="shared" si="16"/>
        <v>Menipis</v>
      </c>
      <c r="G168" s="64">
        <v>1.0</v>
      </c>
      <c r="H168" s="60">
        <v>12500.0</v>
      </c>
      <c r="I168" s="60">
        <v>25000.0</v>
      </c>
      <c r="J168" s="60">
        <f t="shared" si="17"/>
        <v>12500</v>
      </c>
      <c r="K168" s="61">
        <f t="shared" si="18"/>
        <v>1</v>
      </c>
    </row>
    <row r="169" ht="27.75" customHeight="1">
      <c r="A169" s="56" t="s">
        <v>2538</v>
      </c>
      <c r="B169" s="57" t="s">
        <v>31</v>
      </c>
      <c r="C169" s="58" t="s">
        <v>2539</v>
      </c>
      <c r="D169" s="57" t="s">
        <v>542</v>
      </c>
      <c r="E169" s="59" t="s">
        <v>2423</v>
      </c>
      <c r="F169" s="57" t="str">
        <f t="shared" si="16"/>
        <v>Menipis</v>
      </c>
      <c r="G169" s="64">
        <v>1.0</v>
      </c>
      <c r="H169" s="60">
        <v>20500.0</v>
      </c>
      <c r="I169" s="60">
        <v>45000.0</v>
      </c>
      <c r="J169" s="60">
        <f t="shared" si="17"/>
        <v>24500</v>
      </c>
      <c r="K169" s="61">
        <f t="shared" si="18"/>
        <v>1.195121951</v>
      </c>
    </row>
    <row r="170" ht="27.75" customHeight="1">
      <c r="A170" s="56" t="s">
        <v>2540</v>
      </c>
      <c r="B170" s="57" t="s">
        <v>31</v>
      </c>
      <c r="C170" s="58" t="s">
        <v>2541</v>
      </c>
      <c r="D170" s="57" t="s">
        <v>542</v>
      </c>
      <c r="E170" s="59" t="s">
        <v>2423</v>
      </c>
      <c r="F170" s="57" t="str">
        <f t="shared" si="16"/>
        <v>Menipis</v>
      </c>
      <c r="G170" s="64">
        <v>1.0</v>
      </c>
      <c r="H170" s="60">
        <v>20000.0</v>
      </c>
      <c r="I170" s="60">
        <v>40000.0</v>
      </c>
      <c r="J170" s="60">
        <f t="shared" si="17"/>
        <v>20000</v>
      </c>
      <c r="K170" s="61">
        <f t="shared" si="18"/>
        <v>1</v>
      </c>
    </row>
    <row r="171" ht="27.75" customHeight="1">
      <c r="A171" s="56" t="s">
        <v>2542</v>
      </c>
      <c r="B171" s="57" t="s">
        <v>31</v>
      </c>
      <c r="C171" s="62" t="s">
        <v>2543</v>
      </c>
      <c r="D171" s="57" t="s">
        <v>542</v>
      </c>
      <c r="E171" s="59" t="s">
        <v>2423</v>
      </c>
      <c r="F171" s="57" t="str">
        <f t="shared" si="16"/>
        <v>Menipis</v>
      </c>
      <c r="G171" s="64">
        <v>2.0</v>
      </c>
      <c r="H171" s="60">
        <v>34000.0</v>
      </c>
      <c r="I171" s="60">
        <v>70000.0</v>
      </c>
      <c r="J171" s="60">
        <f t="shared" si="17"/>
        <v>36000</v>
      </c>
      <c r="K171" s="61">
        <f t="shared" si="18"/>
        <v>1.058823529</v>
      </c>
    </row>
    <row r="172" ht="27.75" customHeight="1">
      <c r="A172" s="56" t="s">
        <v>2544</v>
      </c>
      <c r="B172" s="57" t="s">
        <v>31</v>
      </c>
      <c r="C172" s="62" t="s">
        <v>2545</v>
      </c>
      <c r="D172" s="57" t="s">
        <v>542</v>
      </c>
      <c r="E172" s="59" t="s">
        <v>2423</v>
      </c>
      <c r="F172" s="57" t="str">
        <f t="shared" si="16"/>
        <v>Menipis</v>
      </c>
      <c r="G172" s="63">
        <v>2.0</v>
      </c>
      <c r="H172" s="60">
        <v>50000.0</v>
      </c>
      <c r="I172" s="68">
        <v>80000.0</v>
      </c>
      <c r="J172" s="60">
        <f t="shared" si="17"/>
        <v>30000</v>
      </c>
      <c r="K172" s="61">
        <f t="shared" si="18"/>
        <v>0.6</v>
      </c>
    </row>
    <row r="173" ht="27.75" customHeight="1">
      <c r="A173" s="56" t="s">
        <v>2546</v>
      </c>
      <c r="B173" s="57" t="s">
        <v>31</v>
      </c>
      <c r="C173" s="58" t="s">
        <v>2547</v>
      </c>
      <c r="D173" s="57" t="s">
        <v>363</v>
      </c>
      <c r="E173" s="59" t="s">
        <v>177</v>
      </c>
      <c r="F173" s="57" t="str">
        <f t="shared" si="16"/>
        <v>Menipis</v>
      </c>
      <c r="G173" s="64">
        <v>1.0</v>
      </c>
      <c r="H173" s="60">
        <v>40000.0</v>
      </c>
      <c r="I173" s="60">
        <v>80000.0</v>
      </c>
      <c r="J173" s="60">
        <f t="shared" si="17"/>
        <v>40000</v>
      </c>
      <c r="K173" s="61">
        <f t="shared" si="18"/>
        <v>1</v>
      </c>
    </row>
    <row r="174" ht="27.75" customHeight="1">
      <c r="A174" s="56" t="s">
        <v>2548</v>
      </c>
      <c r="B174" s="57" t="s">
        <v>31</v>
      </c>
      <c r="C174" s="58" t="s">
        <v>2549</v>
      </c>
      <c r="D174" s="57" t="s">
        <v>363</v>
      </c>
      <c r="E174" s="59" t="s">
        <v>177</v>
      </c>
      <c r="F174" s="57" t="str">
        <f t="shared" si="16"/>
        <v>Menipis</v>
      </c>
      <c r="G174" s="64">
        <v>2.0</v>
      </c>
      <c r="H174" s="60">
        <v>35000.0</v>
      </c>
      <c r="I174" s="60">
        <v>70000.0</v>
      </c>
      <c r="J174" s="60">
        <f t="shared" si="17"/>
        <v>35000</v>
      </c>
      <c r="K174" s="61">
        <f t="shared" si="18"/>
        <v>1</v>
      </c>
    </row>
    <row r="175" ht="27.75" customHeight="1">
      <c r="A175" s="56" t="s">
        <v>2550</v>
      </c>
      <c r="B175" s="57" t="s">
        <v>31</v>
      </c>
      <c r="C175" s="58" t="s">
        <v>2551</v>
      </c>
      <c r="D175" s="57" t="s">
        <v>363</v>
      </c>
      <c r="E175" s="59" t="s">
        <v>177</v>
      </c>
      <c r="F175" s="57" t="str">
        <f t="shared" si="16"/>
        <v>Menipis</v>
      </c>
      <c r="G175" s="64">
        <v>1.0</v>
      </c>
      <c r="H175" s="60">
        <v>35000.0</v>
      </c>
      <c r="I175" s="60">
        <v>70000.0</v>
      </c>
      <c r="J175" s="60">
        <f t="shared" si="17"/>
        <v>35000</v>
      </c>
      <c r="K175" s="61">
        <f t="shared" si="18"/>
        <v>1</v>
      </c>
    </row>
    <row r="176" ht="27.75" customHeight="1">
      <c r="A176" s="56" t="s">
        <v>2552</v>
      </c>
      <c r="B176" s="57" t="s">
        <v>31</v>
      </c>
      <c r="C176" s="58" t="s">
        <v>2553</v>
      </c>
      <c r="D176" s="57" t="s">
        <v>363</v>
      </c>
      <c r="E176" s="59" t="s">
        <v>177</v>
      </c>
      <c r="F176" s="57" t="str">
        <f t="shared" si="16"/>
        <v>Menipis</v>
      </c>
      <c r="G176" s="64">
        <v>1.0</v>
      </c>
      <c r="H176" s="60">
        <v>28500.0</v>
      </c>
      <c r="I176" s="60">
        <v>50000.0</v>
      </c>
      <c r="J176" s="60">
        <f t="shared" si="17"/>
        <v>21500</v>
      </c>
      <c r="K176" s="61">
        <f t="shared" si="18"/>
        <v>0.7543859649</v>
      </c>
    </row>
    <row r="177" ht="27.75" customHeight="1">
      <c r="A177" s="56" t="s">
        <v>2554</v>
      </c>
      <c r="B177" s="57" t="s">
        <v>31</v>
      </c>
      <c r="C177" s="58" t="s">
        <v>2555</v>
      </c>
      <c r="D177" s="57" t="s">
        <v>2556</v>
      </c>
      <c r="E177" s="59" t="s">
        <v>177</v>
      </c>
      <c r="F177" s="57" t="str">
        <f t="shared" si="16"/>
        <v>Menipis</v>
      </c>
      <c r="G177" s="64">
        <v>1.0</v>
      </c>
      <c r="H177" s="60">
        <v>35000.0</v>
      </c>
      <c r="I177" s="60">
        <v>75000.0</v>
      </c>
      <c r="J177" s="60">
        <f t="shared" si="17"/>
        <v>40000</v>
      </c>
      <c r="K177" s="61">
        <f t="shared" si="18"/>
        <v>1.142857143</v>
      </c>
    </row>
    <row r="178" ht="27.75" customHeight="1">
      <c r="A178" s="56" t="s">
        <v>2557</v>
      </c>
      <c r="B178" s="57" t="s">
        <v>31</v>
      </c>
      <c r="C178" s="58" t="s">
        <v>2558</v>
      </c>
      <c r="D178" s="65" t="s">
        <v>2559</v>
      </c>
      <c r="E178" s="59" t="s">
        <v>2423</v>
      </c>
      <c r="F178" s="57" t="str">
        <f t="shared" si="16"/>
        <v>Menipis</v>
      </c>
      <c r="G178" s="63">
        <v>3.0</v>
      </c>
      <c r="H178" s="60">
        <v>20000.0</v>
      </c>
      <c r="I178" s="60">
        <v>45000.0</v>
      </c>
      <c r="J178" s="60">
        <f t="shared" si="17"/>
        <v>25000</v>
      </c>
      <c r="K178" s="61">
        <f t="shared" si="18"/>
        <v>1.25</v>
      </c>
    </row>
    <row r="179" ht="27.75" customHeight="1">
      <c r="A179" s="56" t="s">
        <v>2560</v>
      </c>
      <c r="B179" s="57" t="s">
        <v>31</v>
      </c>
      <c r="C179" s="58" t="s">
        <v>2561</v>
      </c>
      <c r="D179" s="57" t="s">
        <v>341</v>
      </c>
      <c r="E179" s="159" t="s">
        <v>2423</v>
      </c>
      <c r="F179" s="57" t="s">
        <v>1597</v>
      </c>
      <c r="G179" s="64">
        <v>5.0</v>
      </c>
      <c r="H179" s="60">
        <v>28305.0</v>
      </c>
      <c r="I179" s="60">
        <v>60000.0</v>
      </c>
      <c r="J179" s="60">
        <v>31695.0</v>
      </c>
      <c r="K179" s="61">
        <v>1.12</v>
      </c>
    </row>
    <row r="180" ht="27.75" customHeight="1">
      <c r="A180" s="56" t="s">
        <v>2562</v>
      </c>
      <c r="B180" s="57" t="s">
        <v>31</v>
      </c>
      <c r="C180" s="58" t="s">
        <v>2563</v>
      </c>
      <c r="D180" s="57" t="s">
        <v>1112</v>
      </c>
      <c r="E180" s="159" t="s">
        <v>2423</v>
      </c>
      <c r="F180" s="57" t="s">
        <v>1597</v>
      </c>
      <c r="G180" s="64">
        <v>5.0</v>
      </c>
      <c r="H180" s="60">
        <v>24400.0</v>
      </c>
      <c r="I180" s="60">
        <v>50000.0</v>
      </c>
      <c r="J180" s="60">
        <v>25600.0</v>
      </c>
      <c r="K180" s="61">
        <v>1.05</v>
      </c>
    </row>
    <row r="181" ht="27.75" customHeight="1">
      <c r="A181" s="56" t="s">
        <v>2564</v>
      </c>
      <c r="B181" s="57" t="s">
        <v>31</v>
      </c>
      <c r="C181" s="58" t="s">
        <v>2565</v>
      </c>
      <c r="D181" s="57" t="s">
        <v>1112</v>
      </c>
      <c r="E181" s="159" t="s">
        <v>2423</v>
      </c>
      <c r="F181" s="57" t="s">
        <v>1180</v>
      </c>
      <c r="G181" s="64">
        <v>2.0</v>
      </c>
      <c r="H181" s="60">
        <v>22400.0</v>
      </c>
      <c r="I181" s="60">
        <v>45000.0</v>
      </c>
      <c r="J181" s="60">
        <v>22600.0</v>
      </c>
      <c r="K181" s="61">
        <v>1.01</v>
      </c>
    </row>
    <row r="182" ht="27.75" customHeight="1">
      <c r="A182" s="56" t="s">
        <v>2566</v>
      </c>
      <c r="B182" s="57" t="s">
        <v>31</v>
      </c>
      <c r="C182" s="58" t="s">
        <v>2567</v>
      </c>
      <c r="D182" s="57" t="s">
        <v>1112</v>
      </c>
      <c r="E182" s="159" t="s">
        <v>2423</v>
      </c>
      <c r="F182" s="57" t="s">
        <v>1597</v>
      </c>
      <c r="G182" s="64">
        <v>4.0</v>
      </c>
      <c r="H182" s="60">
        <v>40600.0</v>
      </c>
      <c r="I182" s="60">
        <v>75000.0</v>
      </c>
      <c r="J182" s="60">
        <v>34400.0</v>
      </c>
      <c r="K182" s="61">
        <v>0.85</v>
      </c>
    </row>
    <row r="183" ht="27.75" customHeight="1">
      <c r="A183" s="56" t="s">
        <v>2568</v>
      </c>
      <c r="B183" s="57" t="s">
        <v>1172</v>
      </c>
      <c r="C183" s="58" t="s">
        <v>2569</v>
      </c>
      <c r="D183" s="57" t="s">
        <v>1248</v>
      </c>
      <c r="E183" s="159" t="s">
        <v>753</v>
      </c>
      <c r="F183" s="57" t="s">
        <v>1597</v>
      </c>
      <c r="G183" s="64">
        <v>4.0</v>
      </c>
      <c r="H183" s="60">
        <v>23000.0</v>
      </c>
      <c r="I183" s="60">
        <v>60000.0</v>
      </c>
      <c r="J183" s="60">
        <v>37000.0</v>
      </c>
      <c r="K183" s="61">
        <v>1.61</v>
      </c>
    </row>
    <row r="184" ht="27.75" customHeight="1">
      <c r="A184" s="56" t="s">
        <v>2570</v>
      </c>
      <c r="B184" s="57" t="s">
        <v>1172</v>
      </c>
      <c r="C184" s="58" t="s">
        <v>2571</v>
      </c>
      <c r="D184" s="57" t="s">
        <v>2513</v>
      </c>
      <c r="E184" s="159" t="s">
        <v>2423</v>
      </c>
      <c r="F184" s="57" t="s">
        <v>1180</v>
      </c>
      <c r="G184" s="64">
        <v>2.0</v>
      </c>
      <c r="H184" s="60">
        <v>20000.0</v>
      </c>
      <c r="I184" s="60">
        <v>60000.0</v>
      </c>
      <c r="J184" s="60">
        <v>40000.0</v>
      </c>
      <c r="K184" s="61">
        <v>2.0</v>
      </c>
    </row>
    <row r="185" ht="27.75" customHeight="1">
      <c r="A185" s="56" t="s">
        <v>2572</v>
      </c>
      <c r="B185" s="57" t="s">
        <v>1172</v>
      </c>
      <c r="C185" s="58" t="s">
        <v>2573</v>
      </c>
      <c r="D185" s="57" t="s">
        <v>2574</v>
      </c>
      <c r="E185" s="159" t="s">
        <v>2423</v>
      </c>
      <c r="F185" s="57" t="s">
        <v>1180</v>
      </c>
      <c r="G185" s="64">
        <v>3.0</v>
      </c>
      <c r="H185" s="60">
        <v>25000.0</v>
      </c>
      <c r="I185" s="60">
        <v>60000.0</v>
      </c>
      <c r="J185" s="60">
        <v>35000.0</v>
      </c>
      <c r="K185" s="61">
        <v>1.4</v>
      </c>
    </row>
    <row r="186" ht="27.75" customHeight="1">
      <c r="A186" s="56" t="s">
        <v>2575</v>
      </c>
      <c r="B186" s="57" t="s">
        <v>31</v>
      </c>
      <c r="C186" s="58" t="s">
        <v>2576</v>
      </c>
      <c r="D186" s="57" t="s">
        <v>363</v>
      </c>
      <c r="E186" s="70" t="s">
        <v>410</v>
      </c>
      <c r="F186" s="57" t="str">
        <f t="shared" ref="F186:F203" si="19">IF(G186="", "", IF(G186&lt;=0, "Habis", IF(G186&lt;=3, "Menipis", "Tersedia")))</f>
        <v>Menipis</v>
      </c>
      <c r="G186" s="56">
        <v>2.0</v>
      </c>
      <c r="H186" s="60">
        <v>12500.0</v>
      </c>
      <c r="I186" s="60">
        <v>25000.0</v>
      </c>
      <c r="J186" s="60">
        <f t="shared" ref="J186:J203" si="20">I186-H186</f>
        <v>12500</v>
      </c>
      <c r="K186" s="61">
        <f t="shared" ref="K186:K203" si="21">J186/H186*100%</f>
        <v>1</v>
      </c>
    </row>
    <row r="187" ht="27.75" customHeight="1">
      <c r="A187" s="56" t="s">
        <v>2577</v>
      </c>
      <c r="B187" s="57" t="s">
        <v>31</v>
      </c>
      <c r="C187" s="58" t="s">
        <v>2578</v>
      </c>
      <c r="D187" s="57" t="s">
        <v>2579</v>
      </c>
      <c r="E187" s="59" t="s">
        <v>2579</v>
      </c>
      <c r="F187" s="57" t="str">
        <f t="shared" si="19"/>
        <v>Menipis</v>
      </c>
      <c r="G187" s="64">
        <v>1.0</v>
      </c>
      <c r="H187" s="60">
        <v>32000.0</v>
      </c>
      <c r="I187" s="60">
        <v>50000.0</v>
      </c>
      <c r="J187" s="60">
        <f t="shared" si="20"/>
        <v>18000</v>
      </c>
      <c r="K187" s="61">
        <f t="shared" si="21"/>
        <v>0.5625</v>
      </c>
    </row>
    <row r="188" ht="27.75" customHeight="1">
      <c r="A188" s="56" t="s">
        <v>2580</v>
      </c>
      <c r="B188" s="57" t="s">
        <v>31</v>
      </c>
      <c r="C188" s="58" t="s">
        <v>2581</v>
      </c>
      <c r="D188" s="57" t="s">
        <v>542</v>
      </c>
      <c r="E188" s="59" t="s">
        <v>2579</v>
      </c>
      <c r="F188" s="57" t="str">
        <f t="shared" si="19"/>
        <v>Menipis</v>
      </c>
      <c r="G188" s="64">
        <v>1.0</v>
      </c>
      <c r="H188" s="60">
        <v>31000.0</v>
      </c>
      <c r="I188" s="60">
        <v>60000.0</v>
      </c>
      <c r="J188" s="60">
        <f t="shared" si="20"/>
        <v>29000</v>
      </c>
      <c r="K188" s="61">
        <f t="shared" si="21"/>
        <v>0.935483871</v>
      </c>
    </row>
    <row r="189" ht="27.75" customHeight="1">
      <c r="A189" s="56" t="s">
        <v>2582</v>
      </c>
      <c r="B189" s="57" t="s">
        <v>31</v>
      </c>
      <c r="C189" s="58" t="s">
        <v>2583</v>
      </c>
      <c r="D189" s="57" t="s">
        <v>363</v>
      </c>
      <c r="E189" s="59" t="s">
        <v>2579</v>
      </c>
      <c r="F189" s="57" t="str">
        <f t="shared" si="19"/>
        <v>Menipis</v>
      </c>
      <c r="G189" s="64">
        <v>2.0</v>
      </c>
      <c r="H189" s="60">
        <v>8000.0</v>
      </c>
      <c r="I189" s="60">
        <v>20000.0</v>
      </c>
      <c r="J189" s="60">
        <f t="shared" si="20"/>
        <v>12000</v>
      </c>
      <c r="K189" s="61">
        <f t="shared" si="21"/>
        <v>1.5</v>
      </c>
    </row>
    <row r="190" ht="27.75" customHeight="1">
      <c r="A190" s="56" t="s">
        <v>2584</v>
      </c>
      <c r="B190" s="57" t="s">
        <v>31</v>
      </c>
      <c r="C190" s="58" t="s">
        <v>2585</v>
      </c>
      <c r="D190" s="57" t="s">
        <v>363</v>
      </c>
      <c r="E190" s="59" t="s">
        <v>2579</v>
      </c>
      <c r="F190" s="57" t="str">
        <f t="shared" si="19"/>
        <v>Menipis</v>
      </c>
      <c r="G190" s="64">
        <v>2.0</v>
      </c>
      <c r="H190" s="60">
        <v>8000.0</v>
      </c>
      <c r="I190" s="60">
        <v>20000.0</v>
      </c>
      <c r="J190" s="60">
        <f t="shared" si="20"/>
        <v>12000</v>
      </c>
      <c r="K190" s="61">
        <f t="shared" si="21"/>
        <v>1.5</v>
      </c>
    </row>
    <row r="191" ht="27.75" customHeight="1">
      <c r="A191" s="56" t="s">
        <v>2586</v>
      </c>
      <c r="B191" s="57" t="s">
        <v>31</v>
      </c>
      <c r="C191" s="58" t="s">
        <v>2587</v>
      </c>
      <c r="D191" s="57" t="s">
        <v>542</v>
      </c>
      <c r="E191" s="59" t="s">
        <v>2579</v>
      </c>
      <c r="F191" s="57" t="str">
        <f t="shared" si="19"/>
        <v>Menipis</v>
      </c>
      <c r="G191" s="64">
        <v>1.0</v>
      </c>
      <c r="H191" s="60">
        <v>25000.0</v>
      </c>
      <c r="I191" s="60">
        <v>50000.0</v>
      </c>
      <c r="J191" s="60">
        <f t="shared" si="20"/>
        <v>25000</v>
      </c>
      <c r="K191" s="61">
        <f t="shared" si="21"/>
        <v>1</v>
      </c>
    </row>
    <row r="192" ht="27.75" customHeight="1">
      <c r="A192" s="56" t="s">
        <v>2588</v>
      </c>
      <c r="B192" s="57" t="s">
        <v>31</v>
      </c>
      <c r="C192" s="58" t="s">
        <v>2589</v>
      </c>
      <c r="D192" s="57" t="s">
        <v>363</v>
      </c>
      <c r="E192" s="59" t="s">
        <v>753</v>
      </c>
      <c r="F192" s="57" t="str">
        <f t="shared" si="19"/>
        <v>Menipis</v>
      </c>
      <c r="G192" s="56">
        <v>3.0</v>
      </c>
      <c r="H192" s="60">
        <v>60000.0</v>
      </c>
      <c r="I192" s="60">
        <v>130000.0</v>
      </c>
      <c r="J192" s="60">
        <f t="shared" si="20"/>
        <v>70000</v>
      </c>
      <c r="K192" s="61">
        <f t="shared" si="21"/>
        <v>1.166666667</v>
      </c>
    </row>
    <row r="193" ht="27.75" customHeight="1">
      <c r="A193" s="56" t="s">
        <v>2590</v>
      </c>
      <c r="B193" s="57" t="s">
        <v>31</v>
      </c>
      <c r="C193" s="58" t="s">
        <v>2591</v>
      </c>
      <c r="D193" s="57" t="s">
        <v>363</v>
      </c>
      <c r="E193" s="59" t="s">
        <v>753</v>
      </c>
      <c r="F193" s="57" t="str">
        <f t="shared" si="19"/>
        <v>Menipis</v>
      </c>
      <c r="G193" s="56">
        <v>1.0</v>
      </c>
      <c r="H193" s="60">
        <v>70000.0</v>
      </c>
      <c r="I193" s="60">
        <v>140000.0</v>
      </c>
      <c r="J193" s="60">
        <f t="shared" si="20"/>
        <v>70000</v>
      </c>
      <c r="K193" s="61">
        <f t="shared" si="21"/>
        <v>1</v>
      </c>
    </row>
    <row r="194" ht="27.75" customHeight="1">
      <c r="A194" s="56" t="s">
        <v>2592</v>
      </c>
      <c r="B194" s="57" t="s">
        <v>31</v>
      </c>
      <c r="C194" s="58" t="s">
        <v>2593</v>
      </c>
      <c r="D194" s="57" t="s">
        <v>1485</v>
      </c>
      <c r="E194" s="59" t="s">
        <v>2594</v>
      </c>
      <c r="F194" s="57" t="str">
        <f t="shared" si="19"/>
        <v>Habis</v>
      </c>
      <c r="G194" s="64">
        <v>0.0</v>
      </c>
      <c r="H194" s="60">
        <v>160000.0</v>
      </c>
      <c r="I194" s="60">
        <v>225000.0</v>
      </c>
      <c r="J194" s="60">
        <f t="shared" si="20"/>
        <v>65000</v>
      </c>
      <c r="K194" s="61">
        <f t="shared" si="21"/>
        <v>0.40625</v>
      </c>
    </row>
    <row r="195" ht="27.75" customHeight="1">
      <c r="A195" s="56" t="s">
        <v>2595</v>
      </c>
      <c r="B195" s="57" t="s">
        <v>31</v>
      </c>
      <c r="C195" s="58" t="s">
        <v>2596</v>
      </c>
      <c r="D195" s="57" t="s">
        <v>1485</v>
      </c>
      <c r="E195" s="59" t="s">
        <v>2594</v>
      </c>
      <c r="F195" s="57" t="str">
        <f t="shared" si="19"/>
        <v>Menipis</v>
      </c>
      <c r="G195" s="64">
        <v>1.0</v>
      </c>
      <c r="H195" s="60">
        <v>160000.0</v>
      </c>
      <c r="I195" s="60">
        <v>210000.0</v>
      </c>
      <c r="J195" s="60">
        <f t="shared" si="20"/>
        <v>50000</v>
      </c>
      <c r="K195" s="61">
        <f t="shared" si="21"/>
        <v>0.3125</v>
      </c>
    </row>
    <row r="196" ht="27.75" customHeight="1">
      <c r="A196" s="56" t="s">
        <v>2597</v>
      </c>
      <c r="B196" s="57" t="s">
        <v>31</v>
      </c>
      <c r="C196" s="58" t="s">
        <v>2598</v>
      </c>
      <c r="D196" s="57" t="s">
        <v>363</v>
      </c>
      <c r="E196" s="59" t="s">
        <v>2423</v>
      </c>
      <c r="F196" s="57" t="str">
        <f t="shared" si="19"/>
        <v>Menipis</v>
      </c>
      <c r="G196" s="64">
        <v>1.0</v>
      </c>
      <c r="H196" s="60">
        <v>11500.0</v>
      </c>
      <c r="I196" s="60">
        <v>23000.0</v>
      </c>
      <c r="J196" s="60">
        <f t="shared" si="20"/>
        <v>11500</v>
      </c>
      <c r="K196" s="61">
        <f t="shared" si="21"/>
        <v>1</v>
      </c>
    </row>
    <row r="197" ht="27.75" customHeight="1">
      <c r="A197" s="56" t="s">
        <v>2599</v>
      </c>
      <c r="B197" s="57" t="s">
        <v>31</v>
      </c>
      <c r="C197" s="58" t="s">
        <v>2600</v>
      </c>
      <c r="D197" s="57" t="s">
        <v>363</v>
      </c>
      <c r="E197" s="59" t="s">
        <v>2423</v>
      </c>
      <c r="F197" s="57" t="str">
        <f t="shared" si="19"/>
        <v>Menipis</v>
      </c>
      <c r="G197" s="64">
        <v>1.0</v>
      </c>
      <c r="H197" s="60">
        <v>35000.0</v>
      </c>
      <c r="I197" s="60">
        <v>70000.0</v>
      </c>
      <c r="J197" s="60">
        <f t="shared" si="20"/>
        <v>35000</v>
      </c>
      <c r="K197" s="61">
        <f t="shared" si="21"/>
        <v>1</v>
      </c>
    </row>
    <row r="198" ht="27.75" customHeight="1">
      <c r="A198" s="56" t="s">
        <v>2601</v>
      </c>
      <c r="B198" s="57" t="s">
        <v>31</v>
      </c>
      <c r="C198" s="58" t="s">
        <v>2602</v>
      </c>
      <c r="D198" s="57" t="s">
        <v>363</v>
      </c>
      <c r="E198" s="59" t="s">
        <v>177</v>
      </c>
      <c r="F198" s="57" t="str">
        <f t="shared" si="19"/>
        <v>Menipis</v>
      </c>
      <c r="G198" s="64">
        <v>1.0</v>
      </c>
      <c r="H198" s="60">
        <v>45000.0</v>
      </c>
      <c r="I198" s="60">
        <v>90000.0</v>
      </c>
      <c r="J198" s="60">
        <f t="shared" si="20"/>
        <v>45000</v>
      </c>
      <c r="K198" s="61">
        <f t="shared" si="21"/>
        <v>1</v>
      </c>
    </row>
    <row r="199" ht="27.75" customHeight="1">
      <c r="A199" s="56" t="s">
        <v>2603</v>
      </c>
      <c r="B199" s="57" t="s">
        <v>31</v>
      </c>
      <c r="C199" s="58" t="s">
        <v>2604</v>
      </c>
      <c r="D199" s="57" t="s">
        <v>363</v>
      </c>
      <c r="E199" s="59" t="s">
        <v>177</v>
      </c>
      <c r="F199" s="57" t="str">
        <f t="shared" si="19"/>
        <v>Menipis</v>
      </c>
      <c r="G199" s="64">
        <v>1.0</v>
      </c>
      <c r="H199" s="60">
        <v>24000.0</v>
      </c>
      <c r="I199" s="60">
        <v>48000.0</v>
      </c>
      <c r="J199" s="60">
        <f t="shared" si="20"/>
        <v>24000</v>
      </c>
      <c r="K199" s="61">
        <f t="shared" si="21"/>
        <v>1</v>
      </c>
    </row>
    <row r="200" ht="27.75" customHeight="1">
      <c r="A200" s="56" t="s">
        <v>2605</v>
      </c>
      <c r="B200" s="57" t="s">
        <v>31</v>
      </c>
      <c r="C200" s="58" t="s">
        <v>2606</v>
      </c>
      <c r="D200" s="57" t="s">
        <v>363</v>
      </c>
      <c r="E200" s="59" t="s">
        <v>177</v>
      </c>
      <c r="F200" s="57" t="str">
        <f t="shared" si="19"/>
        <v>Menipis</v>
      </c>
      <c r="G200" s="64">
        <v>1.0</v>
      </c>
      <c r="H200" s="60">
        <v>27000.0</v>
      </c>
      <c r="I200" s="60">
        <v>54000.0</v>
      </c>
      <c r="J200" s="60">
        <f t="shared" si="20"/>
        <v>27000</v>
      </c>
      <c r="K200" s="61">
        <f t="shared" si="21"/>
        <v>1</v>
      </c>
    </row>
    <row r="201" ht="27.75" customHeight="1">
      <c r="A201" s="56" t="s">
        <v>2607</v>
      </c>
      <c r="B201" s="57" t="s">
        <v>31</v>
      </c>
      <c r="C201" s="58" t="s">
        <v>2608</v>
      </c>
      <c r="D201" s="57" t="s">
        <v>363</v>
      </c>
      <c r="E201" s="59" t="s">
        <v>177</v>
      </c>
      <c r="F201" s="57" t="str">
        <f t="shared" si="19"/>
        <v>Menipis</v>
      </c>
      <c r="G201" s="64">
        <v>1.0</v>
      </c>
      <c r="H201" s="60">
        <v>32000.0</v>
      </c>
      <c r="I201" s="60">
        <v>64000.0</v>
      </c>
      <c r="J201" s="60">
        <f t="shared" si="20"/>
        <v>32000</v>
      </c>
      <c r="K201" s="61">
        <f t="shared" si="21"/>
        <v>1</v>
      </c>
    </row>
    <row r="202" ht="27.75" customHeight="1">
      <c r="A202" s="56" t="s">
        <v>2609</v>
      </c>
      <c r="B202" s="57" t="s">
        <v>31</v>
      </c>
      <c r="C202" s="58" t="s">
        <v>2610</v>
      </c>
      <c r="D202" s="57" t="s">
        <v>363</v>
      </c>
      <c r="E202" s="59" t="s">
        <v>2423</v>
      </c>
      <c r="F202" s="57" t="str">
        <f t="shared" si="19"/>
        <v>Menipis</v>
      </c>
      <c r="G202" s="64">
        <v>1.0</v>
      </c>
      <c r="H202" s="60">
        <v>6750.0</v>
      </c>
      <c r="I202" s="60">
        <v>20000.0</v>
      </c>
      <c r="J202" s="60">
        <f t="shared" si="20"/>
        <v>13250</v>
      </c>
      <c r="K202" s="61">
        <f t="shared" si="21"/>
        <v>1.962962963</v>
      </c>
    </row>
    <row r="203" ht="27.75" customHeight="1">
      <c r="A203" s="56" t="s">
        <v>2611</v>
      </c>
      <c r="B203" s="57" t="s">
        <v>31</v>
      </c>
      <c r="C203" s="58" t="s">
        <v>2612</v>
      </c>
      <c r="D203" s="57" t="s">
        <v>945</v>
      </c>
      <c r="E203" s="59" t="s">
        <v>2423</v>
      </c>
      <c r="F203" s="57" t="str">
        <f t="shared" si="19"/>
        <v>Menipis</v>
      </c>
      <c r="G203" s="64">
        <v>1.0</v>
      </c>
      <c r="H203" s="60">
        <v>20000.0</v>
      </c>
      <c r="I203" s="60">
        <v>40000.0</v>
      </c>
      <c r="J203" s="60">
        <f t="shared" si="20"/>
        <v>20000</v>
      </c>
      <c r="K203" s="61">
        <f t="shared" si="21"/>
        <v>1</v>
      </c>
    </row>
    <row r="204" ht="27.75" customHeight="1">
      <c r="A204" s="56" t="s">
        <v>2613</v>
      </c>
      <c r="B204" s="57" t="s">
        <v>1172</v>
      </c>
      <c r="C204" s="58" t="s">
        <v>2614</v>
      </c>
      <c r="D204" s="57" t="s">
        <v>1248</v>
      </c>
      <c r="E204" s="159" t="s">
        <v>1232</v>
      </c>
      <c r="F204" s="57" t="s">
        <v>1180</v>
      </c>
      <c r="G204" s="64">
        <v>1.0</v>
      </c>
      <c r="H204" s="60">
        <v>13500.0</v>
      </c>
      <c r="I204" s="60">
        <v>25000.0</v>
      </c>
      <c r="J204" s="60">
        <v>11500.0</v>
      </c>
      <c r="K204" s="61">
        <v>0.85</v>
      </c>
    </row>
    <row r="205" ht="27.75" customHeight="1">
      <c r="A205" s="56" t="s">
        <v>2615</v>
      </c>
      <c r="B205" s="57" t="s">
        <v>31</v>
      </c>
      <c r="C205" s="58" t="s">
        <v>2616</v>
      </c>
      <c r="D205" s="57" t="s">
        <v>363</v>
      </c>
      <c r="E205" s="59" t="s">
        <v>1205</v>
      </c>
      <c r="F205" s="57" t="str">
        <f t="shared" ref="F205:F256" si="22">IF(G205="", "", IF(G205&lt;=0, "Habis", IF(G205&lt;=3, "Menipis", "Tersedia")))</f>
        <v>Menipis</v>
      </c>
      <c r="G205" s="63">
        <v>1.0</v>
      </c>
      <c r="H205" s="60">
        <v>9250.0</v>
      </c>
      <c r="I205" s="60">
        <v>25000.0</v>
      </c>
      <c r="J205" s="60">
        <f t="shared" ref="J205:J256" si="23">I205-H205</f>
        <v>15750</v>
      </c>
      <c r="K205" s="61">
        <f t="shared" ref="K205:K256" si="24">J205/H205*100%</f>
        <v>1.702702703</v>
      </c>
    </row>
    <row r="206" ht="27.75" customHeight="1">
      <c r="A206" s="56" t="s">
        <v>2617</v>
      </c>
      <c r="B206" s="57" t="s">
        <v>31</v>
      </c>
      <c r="C206" s="58" t="s">
        <v>2618</v>
      </c>
      <c r="D206" s="57" t="s">
        <v>341</v>
      </c>
      <c r="E206" s="59" t="s">
        <v>1205</v>
      </c>
      <c r="F206" s="57" t="str">
        <f t="shared" si="22"/>
        <v>Menipis</v>
      </c>
      <c r="G206" s="64">
        <v>1.0</v>
      </c>
      <c r="H206" s="60">
        <v>66500.0</v>
      </c>
      <c r="I206" s="60">
        <v>70000.0</v>
      </c>
      <c r="J206" s="60">
        <f t="shared" si="23"/>
        <v>3500</v>
      </c>
      <c r="K206" s="61">
        <f t="shared" si="24"/>
        <v>0.05263157895</v>
      </c>
    </row>
    <row r="207" ht="27.75" customHeight="1">
      <c r="A207" s="56" t="s">
        <v>2619</v>
      </c>
      <c r="B207" s="57" t="s">
        <v>31</v>
      </c>
      <c r="C207" s="58" t="s">
        <v>2620</v>
      </c>
      <c r="D207" s="57" t="s">
        <v>542</v>
      </c>
      <c r="E207" s="59" t="s">
        <v>1205</v>
      </c>
      <c r="F207" s="57" t="str">
        <f t="shared" si="22"/>
        <v>Menipis</v>
      </c>
      <c r="G207" s="64">
        <v>1.0</v>
      </c>
      <c r="H207" s="60">
        <v>30000.0</v>
      </c>
      <c r="I207" s="60">
        <v>55000.0</v>
      </c>
      <c r="J207" s="60">
        <f t="shared" si="23"/>
        <v>25000</v>
      </c>
      <c r="K207" s="61">
        <f t="shared" si="24"/>
        <v>0.8333333333</v>
      </c>
    </row>
    <row r="208" ht="27.75" customHeight="1">
      <c r="A208" s="56" t="s">
        <v>2621</v>
      </c>
      <c r="B208" s="57" t="s">
        <v>31</v>
      </c>
      <c r="C208" s="62" t="s">
        <v>2622</v>
      </c>
      <c r="D208" s="57" t="s">
        <v>363</v>
      </c>
      <c r="E208" s="59" t="s">
        <v>1205</v>
      </c>
      <c r="F208" s="57" t="str">
        <f t="shared" si="22"/>
        <v>Tersedia</v>
      </c>
      <c r="G208" s="64">
        <v>11.0</v>
      </c>
      <c r="H208" s="60">
        <v>7500.0</v>
      </c>
      <c r="I208" s="60">
        <v>20000.0</v>
      </c>
      <c r="J208" s="60">
        <f t="shared" si="23"/>
        <v>12500</v>
      </c>
      <c r="K208" s="61">
        <f t="shared" si="24"/>
        <v>1.666666667</v>
      </c>
    </row>
    <row r="209" ht="27.75" customHeight="1">
      <c r="A209" s="56" t="s">
        <v>2623</v>
      </c>
      <c r="B209" s="57" t="s">
        <v>31</v>
      </c>
      <c r="C209" s="58" t="s">
        <v>2624</v>
      </c>
      <c r="D209" s="57" t="s">
        <v>363</v>
      </c>
      <c r="E209" s="59" t="s">
        <v>1205</v>
      </c>
      <c r="F209" s="57" t="str">
        <f t="shared" si="22"/>
        <v>Tersedia</v>
      </c>
      <c r="G209" s="64">
        <v>20.0</v>
      </c>
      <c r="H209" s="60">
        <v>10000.0</v>
      </c>
      <c r="I209" s="60">
        <v>20000.0</v>
      </c>
      <c r="J209" s="60">
        <f t="shared" si="23"/>
        <v>10000</v>
      </c>
      <c r="K209" s="61">
        <f t="shared" si="24"/>
        <v>1</v>
      </c>
    </row>
    <row r="210" ht="27.75" customHeight="1">
      <c r="A210" s="56" t="s">
        <v>2625</v>
      </c>
      <c r="B210" s="57" t="s">
        <v>31</v>
      </c>
      <c r="C210" s="58" t="s">
        <v>2626</v>
      </c>
      <c r="D210" s="57" t="s">
        <v>363</v>
      </c>
      <c r="E210" s="59" t="s">
        <v>1205</v>
      </c>
      <c r="F210" s="57" t="str">
        <f t="shared" si="22"/>
        <v>Menipis</v>
      </c>
      <c r="G210" s="64">
        <v>1.0</v>
      </c>
      <c r="H210" s="60">
        <v>5500.0</v>
      </c>
      <c r="I210" s="60">
        <v>15000.0</v>
      </c>
      <c r="J210" s="60">
        <f t="shared" si="23"/>
        <v>9500</v>
      </c>
      <c r="K210" s="61">
        <f t="shared" si="24"/>
        <v>1.727272727</v>
      </c>
    </row>
    <row r="211" ht="27.75" customHeight="1">
      <c r="A211" s="56" t="s">
        <v>2627</v>
      </c>
      <c r="B211" s="57" t="s">
        <v>31</v>
      </c>
      <c r="C211" s="58" t="s">
        <v>2628</v>
      </c>
      <c r="D211" s="57" t="s">
        <v>363</v>
      </c>
      <c r="E211" s="59" t="s">
        <v>1205</v>
      </c>
      <c r="F211" s="57" t="str">
        <f t="shared" si="22"/>
        <v>Menipis</v>
      </c>
      <c r="G211" s="64">
        <v>1.0</v>
      </c>
      <c r="H211" s="60">
        <v>26000.0</v>
      </c>
      <c r="I211" s="60">
        <v>60000.0</v>
      </c>
      <c r="J211" s="60">
        <f t="shared" si="23"/>
        <v>34000</v>
      </c>
      <c r="K211" s="61">
        <f t="shared" si="24"/>
        <v>1.307692308</v>
      </c>
    </row>
    <row r="212" ht="27.75" customHeight="1">
      <c r="A212" s="56" t="s">
        <v>2629</v>
      </c>
      <c r="B212" s="57" t="s">
        <v>31</v>
      </c>
      <c r="C212" s="58" t="s">
        <v>2630</v>
      </c>
      <c r="D212" s="57" t="s">
        <v>363</v>
      </c>
      <c r="E212" s="59" t="s">
        <v>1205</v>
      </c>
      <c r="F212" s="57" t="str">
        <f t="shared" si="22"/>
        <v>Menipis</v>
      </c>
      <c r="G212" s="64">
        <v>1.0</v>
      </c>
      <c r="H212" s="60">
        <v>16000.0</v>
      </c>
      <c r="I212" s="60">
        <v>35000.0</v>
      </c>
      <c r="J212" s="60">
        <f t="shared" si="23"/>
        <v>19000</v>
      </c>
      <c r="K212" s="61">
        <f t="shared" si="24"/>
        <v>1.1875</v>
      </c>
    </row>
    <row r="213" ht="27.75" customHeight="1">
      <c r="A213" s="56" t="s">
        <v>2631</v>
      </c>
      <c r="B213" s="57" t="s">
        <v>31</v>
      </c>
      <c r="C213" s="58" t="s">
        <v>2632</v>
      </c>
      <c r="D213" s="57" t="s">
        <v>363</v>
      </c>
      <c r="E213" s="59" t="s">
        <v>1205</v>
      </c>
      <c r="F213" s="57" t="str">
        <f t="shared" si="22"/>
        <v>Menipis</v>
      </c>
      <c r="G213" s="64">
        <v>1.0</v>
      </c>
      <c r="H213" s="60">
        <v>7500.0</v>
      </c>
      <c r="I213" s="60">
        <v>20000.0</v>
      </c>
      <c r="J213" s="60">
        <f t="shared" si="23"/>
        <v>12500</v>
      </c>
      <c r="K213" s="61">
        <f t="shared" si="24"/>
        <v>1.666666667</v>
      </c>
    </row>
    <row r="214" ht="27.75" customHeight="1">
      <c r="A214" s="56" t="s">
        <v>2633</v>
      </c>
      <c r="B214" s="57" t="s">
        <v>31</v>
      </c>
      <c r="C214" s="62" t="s">
        <v>2634</v>
      </c>
      <c r="D214" s="57" t="s">
        <v>363</v>
      </c>
      <c r="E214" s="59" t="s">
        <v>1205</v>
      </c>
      <c r="F214" s="57" t="str">
        <f t="shared" si="22"/>
        <v>Menipis</v>
      </c>
      <c r="G214" s="64">
        <v>1.0</v>
      </c>
      <c r="H214" s="60">
        <v>29000.0</v>
      </c>
      <c r="I214" s="60">
        <v>55000.0</v>
      </c>
      <c r="J214" s="60">
        <f t="shared" si="23"/>
        <v>26000</v>
      </c>
      <c r="K214" s="61">
        <f t="shared" si="24"/>
        <v>0.8965517241</v>
      </c>
    </row>
    <row r="215" ht="27.75" customHeight="1">
      <c r="A215" s="56" t="s">
        <v>2635</v>
      </c>
      <c r="B215" s="57" t="s">
        <v>31</v>
      </c>
      <c r="C215" s="58" t="s">
        <v>2636</v>
      </c>
      <c r="D215" s="57" t="s">
        <v>363</v>
      </c>
      <c r="E215" s="59" t="s">
        <v>1205</v>
      </c>
      <c r="F215" s="57" t="str">
        <f t="shared" si="22"/>
        <v>Menipis</v>
      </c>
      <c r="G215" s="64">
        <v>1.0</v>
      </c>
      <c r="H215" s="60">
        <v>9250.0</v>
      </c>
      <c r="I215" s="60">
        <v>25000.0</v>
      </c>
      <c r="J215" s="60">
        <f t="shared" si="23"/>
        <v>15750</v>
      </c>
      <c r="K215" s="61">
        <f t="shared" si="24"/>
        <v>1.702702703</v>
      </c>
    </row>
    <row r="216" ht="27.75" customHeight="1">
      <c r="A216" s="56" t="s">
        <v>2637</v>
      </c>
      <c r="B216" s="57" t="s">
        <v>31</v>
      </c>
      <c r="C216" s="58" t="s">
        <v>2638</v>
      </c>
      <c r="D216" s="57" t="s">
        <v>363</v>
      </c>
      <c r="E216" s="59" t="s">
        <v>1205</v>
      </c>
      <c r="F216" s="57" t="str">
        <f t="shared" si="22"/>
        <v>Menipis</v>
      </c>
      <c r="G216" s="64">
        <v>1.0</v>
      </c>
      <c r="H216" s="60">
        <v>19000.0</v>
      </c>
      <c r="I216" s="60">
        <v>40000.0</v>
      </c>
      <c r="J216" s="60">
        <f t="shared" si="23"/>
        <v>21000</v>
      </c>
      <c r="K216" s="61">
        <f t="shared" si="24"/>
        <v>1.105263158</v>
      </c>
    </row>
    <row r="217" ht="27.75" customHeight="1">
      <c r="A217" s="56" t="s">
        <v>2639</v>
      </c>
      <c r="B217" s="57" t="s">
        <v>31</v>
      </c>
      <c r="C217" s="62" t="s">
        <v>2640</v>
      </c>
      <c r="D217" s="57" t="s">
        <v>363</v>
      </c>
      <c r="E217" s="59" t="s">
        <v>1205</v>
      </c>
      <c r="F217" s="57" t="str">
        <f t="shared" si="22"/>
        <v>Menipis</v>
      </c>
      <c r="G217" s="63">
        <v>2.0</v>
      </c>
      <c r="H217" s="60">
        <v>32000.0</v>
      </c>
      <c r="I217" s="60">
        <v>65000.0</v>
      </c>
      <c r="J217" s="60">
        <f t="shared" si="23"/>
        <v>33000</v>
      </c>
      <c r="K217" s="61">
        <f t="shared" si="24"/>
        <v>1.03125</v>
      </c>
    </row>
    <row r="218" ht="27.75" customHeight="1">
      <c r="A218" s="56" t="s">
        <v>2641</v>
      </c>
      <c r="B218" s="57" t="s">
        <v>31</v>
      </c>
      <c r="C218" s="58" t="s">
        <v>2642</v>
      </c>
      <c r="D218" s="57" t="s">
        <v>2643</v>
      </c>
      <c r="E218" s="59" t="s">
        <v>1205</v>
      </c>
      <c r="F218" s="57" t="str">
        <f t="shared" si="22"/>
        <v>Menipis</v>
      </c>
      <c r="G218" s="64">
        <v>3.0</v>
      </c>
      <c r="H218" s="60">
        <v>25000.0</v>
      </c>
      <c r="I218" s="60">
        <v>50000.0</v>
      </c>
      <c r="J218" s="60">
        <f t="shared" si="23"/>
        <v>25000</v>
      </c>
      <c r="K218" s="61">
        <f t="shared" si="24"/>
        <v>1</v>
      </c>
    </row>
    <row r="219" ht="27.75" customHeight="1">
      <c r="A219" s="56" t="s">
        <v>2644</v>
      </c>
      <c r="B219" s="57" t="s">
        <v>31</v>
      </c>
      <c r="C219" s="62" t="s">
        <v>2645</v>
      </c>
      <c r="D219" s="57" t="s">
        <v>363</v>
      </c>
      <c r="E219" s="59" t="s">
        <v>1205</v>
      </c>
      <c r="F219" s="57" t="str">
        <f t="shared" si="22"/>
        <v>Menipis</v>
      </c>
      <c r="G219" s="64">
        <v>1.0</v>
      </c>
      <c r="H219" s="60">
        <v>25000.0</v>
      </c>
      <c r="I219" s="60">
        <v>40000.0</v>
      </c>
      <c r="J219" s="60">
        <f t="shared" si="23"/>
        <v>15000</v>
      </c>
      <c r="K219" s="61">
        <f t="shared" si="24"/>
        <v>0.6</v>
      </c>
    </row>
    <row r="220" ht="27.75" customHeight="1">
      <c r="A220" s="56" t="s">
        <v>2646</v>
      </c>
      <c r="B220" s="57" t="s">
        <v>31</v>
      </c>
      <c r="C220" s="62" t="s">
        <v>2647</v>
      </c>
      <c r="D220" s="57" t="s">
        <v>363</v>
      </c>
      <c r="E220" s="59" t="s">
        <v>1205</v>
      </c>
      <c r="F220" s="57" t="str">
        <f t="shared" si="22"/>
        <v>Menipis</v>
      </c>
      <c r="G220" s="64">
        <v>1.0</v>
      </c>
      <c r="H220" s="60">
        <v>7500.0</v>
      </c>
      <c r="I220" s="60">
        <v>20000.0</v>
      </c>
      <c r="J220" s="60">
        <f t="shared" si="23"/>
        <v>12500</v>
      </c>
      <c r="K220" s="61">
        <f t="shared" si="24"/>
        <v>1.666666667</v>
      </c>
    </row>
    <row r="221" ht="27.75" customHeight="1">
      <c r="A221" s="56" t="s">
        <v>2648</v>
      </c>
      <c r="B221" s="57" t="s">
        <v>31</v>
      </c>
      <c r="C221" s="62" t="s">
        <v>2650</v>
      </c>
      <c r="D221" s="57" t="s">
        <v>363</v>
      </c>
      <c r="E221" s="59" t="s">
        <v>1205</v>
      </c>
      <c r="F221" s="57" t="str">
        <f t="shared" si="22"/>
        <v>Menipis</v>
      </c>
      <c r="G221" s="64">
        <v>1.0</v>
      </c>
      <c r="H221" s="60">
        <v>30000.0</v>
      </c>
      <c r="I221" s="60">
        <v>50000.0</v>
      </c>
      <c r="J221" s="60">
        <f t="shared" si="23"/>
        <v>20000</v>
      </c>
      <c r="K221" s="61">
        <f t="shared" si="24"/>
        <v>0.6666666667</v>
      </c>
    </row>
    <row r="222" ht="27.75" customHeight="1">
      <c r="A222" s="56" t="s">
        <v>2656</v>
      </c>
      <c r="B222" s="57" t="s">
        <v>31</v>
      </c>
      <c r="C222" s="62" t="s">
        <v>2657</v>
      </c>
      <c r="D222" s="57" t="s">
        <v>363</v>
      </c>
      <c r="E222" s="59" t="s">
        <v>1205</v>
      </c>
      <c r="F222" s="57" t="str">
        <f t="shared" si="22"/>
        <v>Menipis</v>
      </c>
      <c r="G222" s="64">
        <v>1.0</v>
      </c>
      <c r="H222" s="60">
        <v>24000.0</v>
      </c>
      <c r="I222" s="60">
        <v>40000.0</v>
      </c>
      <c r="J222" s="60">
        <f t="shared" si="23"/>
        <v>16000</v>
      </c>
      <c r="K222" s="61">
        <f t="shared" si="24"/>
        <v>0.6666666667</v>
      </c>
    </row>
    <row r="223" ht="27.75" customHeight="1">
      <c r="A223" s="56" t="s">
        <v>2658</v>
      </c>
      <c r="B223" s="57" t="s">
        <v>31</v>
      </c>
      <c r="C223" s="62" t="s">
        <v>2659</v>
      </c>
      <c r="D223" s="57" t="s">
        <v>363</v>
      </c>
      <c r="E223" s="59" t="s">
        <v>1205</v>
      </c>
      <c r="F223" s="57" t="str">
        <f t="shared" si="22"/>
        <v>Menipis</v>
      </c>
      <c r="G223" s="64">
        <v>1.0</v>
      </c>
      <c r="H223" s="60">
        <v>32500.0</v>
      </c>
      <c r="I223" s="60">
        <v>65000.0</v>
      </c>
      <c r="J223" s="60">
        <f t="shared" si="23"/>
        <v>32500</v>
      </c>
      <c r="K223" s="61">
        <f t="shared" si="24"/>
        <v>1</v>
      </c>
    </row>
    <row r="224" ht="27.75" customHeight="1">
      <c r="A224" s="56" t="s">
        <v>2660</v>
      </c>
      <c r="B224" s="57" t="s">
        <v>31</v>
      </c>
      <c r="C224" s="58" t="s">
        <v>2661</v>
      </c>
      <c r="D224" s="57" t="s">
        <v>363</v>
      </c>
      <c r="E224" s="59" t="s">
        <v>1205</v>
      </c>
      <c r="F224" s="57" t="str">
        <f t="shared" si="22"/>
        <v>Menipis</v>
      </c>
      <c r="G224" s="64">
        <v>1.0</v>
      </c>
      <c r="H224" s="60">
        <v>32500.0</v>
      </c>
      <c r="I224" s="60">
        <v>65000.0</v>
      </c>
      <c r="J224" s="60">
        <f t="shared" si="23"/>
        <v>32500</v>
      </c>
      <c r="K224" s="61">
        <f t="shared" si="24"/>
        <v>1</v>
      </c>
    </row>
    <row r="225" ht="27.75" customHeight="1">
      <c r="A225" s="56" t="s">
        <v>2662</v>
      </c>
      <c r="B225" s="57" t="s">
        <v>31</v>
      </c>
      <c r="C225" s="62" t="s">
        <v>2663</v>
      </c>
      <c r="D225" s="57" t="s">
        <v>363</v>
      </c>
      <c r="E225" s="59" t="s">
        <v>1205</v>
      </c>
      <c r="F225" s="57" t="str">
        <f t="shared" si="22"/>
        <v>Menipis</v>
      </c>
      <c r="G225" s="63">
        <v>3.0</v>
      </c>
      <c r="H225" s="60">
        <v>15500.0</v>
      </c>
      <c r="I225" s="60">
        <v>35000.0</v>
      </c>
      <c r="J225" s="60">
        <f t="shared" si="23"/>
        <v>19500</v>
      </c>
      <c r="K225" s="61">
        <f t="shared" si="24"/>
        <v>1.258064516</v>
      </c>
    </row>
    <row r="226" ht="27.75" customHeight="1">
      <c r="A226" s="56" t="s">
        <v>2664</v>
      </c>
      <c r="B226" s="57" t="s">
        <v>31</v>
      </c>
      <c r="C226" s="58" t="s">
        <v>2665</v>
      </c>
      <c r="D226" s="57" t="s">
        <v>363</v>
      </c>
      <c r="E226" s="59" t="s">
        <v>1205</v>
      </c>
      <c r="F226" s="57" t="str">
        <f t="shared" si="22"/>
        <v>Menipis</v>
      </c>
      <c r="G226" s="64">
        <v>1.0</v>
      </c>
      <c r="H226" s="60">
        <v>18000.0</v>
      </c>
      <c r="I226" s="60">
        <v>35000.0</v>
      </c>
      <c r="J226" s="60">
        <f t="shared" si="23"/>
        <v>17000</v>
      </c>
      <c r="K226" s="61">
        <f t="shared" si="24"/>
        <v>0.9444444444</v>
      </c>
    </row>
    <row r="227" ht="27.75" customHeight="1">
      <c r="A227" s="56" t="s">
        <v>2666</v>
      </c>
      <c r="B227" s="57" t="s">
        <v>31</v>
      </c>
      <c r="C227" s="58" t="s">
        <v>2667</v>
      </c>
      <c r="D227" s="57" t="s">
        <v>363</v>
      </c>
      <c r="E227" s="59" t="s">
        <v>1205</v>
      </c>
      <c r="F227" s="57" t="str">
        <f t="shared" si="22"/>
        <v>Menipis</v>
      </c>
      <c r="G227" s="64">
        <v>1.0</v>
      </c>
      <c r="H227" s="60">
        <v>19000.0</v>
      </c>
      <c r="I227" s="60">
        <v>38000.0</v>
      </c>
      <c r="J227" s="60">
        <f t="shared" si="23"/>
        <v>19000</v>
      </c>
      <c r="K227" s="61">
        <f t="shared" si="24"/>
        <v>1</v>
      </c>
    </row>
    <row r="228" ht="27.75" customHeight="1">
      <c r="A228" s="56" t="s">
        <v>2668</v>
      </c>
      <c r="B228" s="57" t="s">
        <v>31</v>
      </c>
      <c r="C228" s="58" t="s">
        <v>2669</v>
      </c>
      <c r="D228" s="57" t="s">
        <v>363</v>
      </c>
      <c r="E228" s="59" t="s">
        <v>1205</v>
      </c>
      <c r="F228" s="57" t="str">
        <f t="shared" si="22"/>
        <v>Menipis</v>
      </c>
      <c r="G228" s="64">
        <v>1.0</v>
      </c>
      <c r="H228" s="60">
        <v>35000.0</v>
      </c>
      <c r="I228" s="60">
        <v>70000.0</v>
      </c>
      <c r="J228" s="60">
        <f t="shared" si="23"/>
        <v>35000</v>
      </c>
      <c r="K228" s="61">
        <f t="shared" si="24"/>
        <v>1</v>
      </c>
    </row>
    <row r="229" ht="27.75" customHeight="1">
      <c r="A229" s="56" t="s">
        <v>2670</v>
      </c>
      <c r="B229" s="57" t="s">
        <v>31</v>
      </c>
      <c r="C229" s="58" t="s">
        <v>2671</v>
      </c>
      <c r="D229" s="57" t="s">
        <v>363</v>
      </c>
      <c r="E229" s="59" t="s">
        <v>1205</v>
      </c>
      <c r="F229" s="57" t="str">
        <f t="shared" si="22"/>
        <v>Menipis</v>
      </c>
      <c r="G229" s="64">
        <v>1.0</v>
      </c>
      <c r="H229" s="60">
        <v>15500.0</v>
      </c>
      <c r="I229" s="60">
        <v>31000.0</v>
      </c>
      <c r="J229" s="60">
        <f t="shared" si="23"/>
        <v>15500</v>
      </c>
      <c r="K229" s="61">
        <f t="shared" si="24"/>
        <v>1</v>
      </c>
    </row>
    <row r="230" ht="27.75" customHeight="1">
      <c r="A230" s="56" t="s">
        <v>2672</v>
      </c>
      <c r="B230" s="57" t="s">
        <v>31</v>
      </c>
      <c r="C230" s="62" t="s">
        <v>2673</v>
      </c>
      <c r="D230" s="57" t="s">
        <v>363</v>
      </c>
      <c r="E230" s="59" t="s">
        <v>1205</v>
      </c>
      <c r="F230" s="57" t="str">
        <f t="shared" si="22"/>
        <v>Menipis</v>
      </c>
      <c r="G230" s="63">
        <v>2.0</v>
      </c>
      <c r="H230" s="60">
        <v>16000.0</v>
      </c>
      <c r="I230" s="68">
        <v>25000.0</v>
      </c>
      <c r="J230" s="60">
        <f t="shared" si="23"/>
        <v>9000</v>
      </c>
      <c r="K230" s="61">
        <f t="shared" si="24"/>
        <v>0.5625</v>
      </c>
    </row>
    <row r="231" ht="27.75" customHeight="1">
      <c r="A231" s="56" t="s">
        <v>2674</v>
      </c>
      <c r="B231" s="57" t="s">
        <v>31</v>
      </c>
      <c r="C231" s="58" t="s">
        <v>2675</v>
      </c>
      <c r="D231" s="57" t="s">
        <v>363</v>
      </c>
      <c r="E231" s="59" t="s">
        <v>1205</v>
      </c>
      <c r="F231" s="57" t="str">
        <f t="shared" si="22"/>
        <v>Menipis</v>
      </c>
      <c r="G231" s="64">
        <v>1.0</v>
      </c>
      <c r="H231" s="60">
        <v>17000.0</v>
      </c>
      <c r="I231" s="60">
        <v>34000.0</v>
      </c>
      <c r="J231" s="60">
        <f t="shared" si="23"/>
        <v>17000</v>
      </c>
      <c r="K231" s="61">
        <f t="shared" si="24"/>
        <v>1</v>
      </c>
    </row>
    <row r="232" ht="27.75" customHeight="1">
      <c r="A232" s="56" t="s">
        <v>2676</v>
      </c>
      <c r="B232" s="57" t="s">
        <v>31</v>
      </c>
      <c r="C232" s="58" t="s">
        <v>2677</v>
      </c>
      <c r="D232" s="57" t="s">
        <v>363</v>
      </c>
      <c r="E232" s="59" t="s">
        <v>1205</v>
      </c>
      <c r="F232" s="57" t="str">
        <f t="shared" si="22"/>
        <v>Tersedia</v>
      </c>
      <c r="G232" s="64">
        <v>5.0</v>
      </c>
      <c r="H232" s="60">
        <v>13500.0</v>
      </c>
      <c r="I232" s="60">
        <v>35000.0</v>
      </c>
      <c r="J232" s="60">
        <f t="shared" si="23"/>
        <v>21500</v>
      </c>
      <c r="K232" s="61">
        <f t="shared" si="24"/>
        <v>1.592592593</v>
      </c>
    </row>
    <row r="233" ht="27.75" customHeight="1">
      <c r="A233" s="56" t="s">
        <v>2678</v>
      </c>
      <c r="B233" s="57" t="s">
        <v>31</v>
      </c>
      <c r="C233" s="58" t="s">
        <v>2679</v>
      </c>
      <c r="D233" s="57" t="s">
        <v>363</v>
      </c>
      <c r="E233" s="59" t="s">
        <v>1205</v>
      </c>
      <c r="F233" s="57" t="str">
        <f t="shared" si="22"/>
        <v>Menipis</v>
      </c>
      <c r="G233" s="64">
        <v>3.0</v>
      </c>
      <c r="H233" s="60">
        <v>16500.0</v>
      </c>
      <c r="I233" s="60">
        <v>35000.0</v>
      </c>
      <c r="J233" s="60">
        <f t="shared" si="23"/>
        <v>18500</v>
      </c>
      <c r="K233" s="61">
        <f t="shared" si="24"/>
        <v>1.121212121</v>
      </c>
    </row>
    <row r="234" ht="27.75" customHeight="1">
      <c r="A234" s="56" t="s">
        <v>2680</v>
      </c>
      <c r="B234" s="57" t="s">
        <v>31</v>
      </c>
      <c r="C234" s="58" t="s">
        <v>2681</v>
      </c>
      <c r="D234" s="57" t="s">
        <v>363</v>
      </c>
      <c r="E234" s="59" t="s">
        <v>1205</v>
      </c>
      <c r="F234" s="57" t="str">
        <f t="shared" si="22"/>
        <v>Menipis</v>
      </c>
      <c r="G234" s="64">
        <v>1.0</v>
      </c>
      <c r="H234" s="60">
        <v>22000.0</v>
      </c>
      <c r="I234" s="60">
        <v>44000.0</v>
      </c>
      <c r="J234" s="60">
        <f t="shared" si="23"/>
        <v>22000</v>
      </c>
      <c r="K234" s="61">
        <f t="shared" si="24"/>
        <v>1</v>
      </c>
    </row>
    <row r="235" ht="27.75" customHeight="1">
      <c r="A235" s="56" t="s">
        <v>2682</v>
      </c>
      <c r="B235" s="57" t="s">
        <v>31</v>
      </c>
      <c r="C235" s="62" t="s">
        <v>2683</v>
      </c>
      <c r="D235" s="57" t="s">
        <v>363</v>
      </c>
      <c r="E235" s="59" t="s">
        <v>1205</v>
      </c>
      <c r="F235" s="57" t="str">
        <f t="shared" si="22"/>
        <v>Menipis</v>
      </c>
      <c r="G235" s="63">
        <v>2.0</v>
      </c>
      <c r="H235" s="60">
        <v>23000.0</v>
      </c>
      <c r="I235" s="68">
        <v>45000.0</v>
      </c>
      <c r="J235" s="60">
        <f t="shared" si="23"/>
        <v>22000</v>
      </c>
      <c r="K235" s="61">
        <f t="shared" si="24"/>
        <v>0.9565217391</v>
      </c>
    </row>
    <row r="236" ht="27.75" customHeight="1">
      <c r="A236" s="56" t="s">
        <v>2684</v>
      </c>
      <c r="B236" s="57" t="s">
        <v>31</v>
      </c>
      <c r="C236" s="62" t="s">
        <v>2685</v>
      </c>
      <c r="D236" s="57" t="s">
        <v>363</v>
      </c>
      <c r="E236" s="59" t="s">
        <v>1205</v>
      </c>
      <c r="F236" s="57" t="str">
        <f t="shared" si="22"/>
        <v>Menipis</v>
      </c>
      <c r="G236" s="64">
        <v>1.0</v>
      </c>
      <c r="H236" s="60">
        <v>13000.0</v>
      </c>
      <c r="I236" s="68">
        <v>25000.0</v>
      </c>
      <c r="J236" s="60">
        <f t="shared" si="23"/>
        <v>12000</v>
      </c>
      <c r="K236" s="61">
        <f t="shared" si="24"/>
        <v>0.9230769231</v>
      </c>
    </row>
    <row r="237" ht="27.75" customHeight="1">
      <c r="A237" s="56" t="s">
        <v>2686</v>
      </c>
      <c r="B237" s="57" t="s">
        <v>31</v>
      </c>
      <c r="C237" s="62" t="s">
        <v>2687</v>
      </c>
      <c r="D237" s="57" t="s">
        <v>363</v>
      </c>
      <c r="E237" s="59" t="s">
        <v>1205</v>
      </c>
      <c r="F237" s="57" t="str">
        <f t="shared" si="22"/>
        <v>Menipis</v>
      </c>
      <c r="G237" s="64">
        <v>1.0</v>
      </c>
      <c r="H237" s="60">
        <v>17000.0</v>
      </c>
      <c r="I237" s="68">
        <v>35000.0</v>
      </c>
      <c r="J237" s="60">
        <f t="shared" si="23"/>
        <v>18000</v>
      </c>
      <c r="K237" s="61">
        <f t="shared" si="24"/>
        <v>1.058823529</v>
      </c>
    </row>
    <row r="238" ht="27.75" customHeight="1">
      <c r="A238" s="56" t="s">
        <v>2688</v>
      </c>
      <c r="B238" s="57" t="s">
        <v>31</v>
      </c>
      <c r="C238" s="58" t="s">
        <v>2689</v>
      </c>
      <c r="D238" s="57" t="s">
        <v>363</v>
      </c>
      <c r="E238" s="59" t="s">
        <v>1205</v>
      </c>
      <c r="F238" s="57" t="str">
        <f t="shared" si="22"/>
        <v>Menipis</v>
      </c>
      <c r="G238" s="64">
        <v>1.0</v>
      </c>
      <c r="H238" s="60">
        <v>16000.0</v>
      </c>
      <c r="I238" s="60">
        <v>32000.0</v>
      </c>
      <c r="J238" s="60">
        <f t="shared" si="23"/>
        <v>16000</v>
      </c>
      <c r="K238" s="61">
        <f t="shared" si="24"/>
        <v>1</v>
      </c>
    </row>
    <row r="239" ht="27.75" customHeight="1">
      <c r="A239" s="56" t="s">
        <v>2690</v>
      </c>
      <c r="B239" s="57" t="s">
        <v>31</v>
      </c>
      <c r="C239" s="58" t="s">
        <v>2691</v>
      </c>
      <c r="D239" s="57" t="s">
        <v>363</v>
      </c>
      <c r="E239" s="59" t="s">
        <v>1205</v>
      </c>
      <c r="F239" s="57" t="str">
        <f t="shared" si="22"/>
        <v>Menipis</v>
      </c>
      <c r="G239" s="64">
        <v>1.0</v>
      </c>
      <c r="H239" s="60">
        <v>10000.0</v>
      </c>
      <c r="I239" s="60">
        <v>20000.0</v>
      </c>
      <c r="J239" s="60">
        <f t="shared" si="23"/>
        <v>10000</v>
      </c>
      <c r="K239" s="61">
        <f t="shared" si="24"/>
        <v>1</v>
      </c>
    </row>
    <row r="240" ht="27.75" customHeight="1">
      <c r="A240" s="56" t="s">
        <v>2692</v>
      </c>
      <c r="B240" s="57" t="s">
        <v>31</v>
      </c>
      <c r="C240" s="58" t="s">
        <v>2693</v>
      </c>
      <c r="D240" s="57" t="s">
        <v>363</v>
      </c>
      <c r="E240" s="59" t="s">
        <v>1205</v>
      </c>
      <c r="F240" s="57" t="str">
        <f t="shared" si="22"/>
        <v>Menipis</v>
      </c>
      <c r="G240" s="64">
        <v>1.0</v>
      </c>
      <c r="H240" s="60">
        <v>14000.0</v>
      </c>
      <c r="I240" s="60">
        <v>28000.0</v>
      </c>
      <c r="J240" s="60">
        <f t="shared" si="23"/>
        <v>14000</v>
      </c>
      <c r="K240" s="61">
        <f t="shared" si="24"/>
        <v>1</v>
      </c>
    </row>
    <row r="241" ht="27.75" customHeight="1">
      <c r="A241" s="56" t="s">
        <v>2694</v>
      </c>
      <c r="B241" s="57" t="s">
        <v>31</v>
      </c>
      <c r="C241" s="58" t="s">
        <v>2695</v>
      </c>
      <c r="D241" s="57" t="s">
        <v>363</v>
      </c>
      <c r="E241" s="59" t="s">
        <v>1205</v>
      </c>
      <c r="F241" s="57" t="str">
        <f t="shared" si="22"/>
        <v>Menipis</v>
      </c>
      <c r="G241" s="64">
        <v>1.0</v>
      </c>
      <c r="H241" s="60">
        <v>9500.0</v>
      </c>
      <c r="I241" s="60">
        <v>19000.0</v>
      </c>
      <c r="J241" s="60">
        <f t="shared" si="23"/>
        <v>9500</v>
      </c>
      <c r="K241" s="61">
        <f t="shared" si="24"/>
        <v>1</v>
      </c>
    </row>
    <row r="242" ht="27.75" customHeight="1">
      <c r="A242" s="56" t="s">
        <v>2696</v>
      </c>
      <c r="B242" s="57" t="s">
        <v>31</v>
      </c>
      <c r="C242" s="58" t="s">
        <v>2697</v>
      </c>
      <c r="D242" s="57" t="s">
        <v>363</v>
      </c>
      <c r="E242" s="59" t="s">
        <v>1205</v>
      </c>
      <c r="F242" s="57" t="str">
        <f t="shared" si="22"/>
        <v>Menipis</v>
      </c>
      <c r="G242" s="64">
        <v>1.0</v>
      </c>
      <c r="H242" s="60">
        <v>5500.0</v>
      </c>
      <c r="I242" s="68">
        <v>20000.0</v>
      </c>
      <c r="J242" s="60">
        <f t="shared" si="23"/>
        <v>14500</v>
      </c>
      <c r="K242" s="61">
        <f t="shared" si="24"/>
        <v>2.636363636</v>
      </c>
    </row>
    <row r="243" ht="27.75" customHeight="1">
      <c r="A243" s="56" t="s">
        <v>2698</v>
      </c>
      <c r="B243" s="57" t="s">
        <v>31</v>
      </c>
      <c r="C243" s="58" t="s">
        <v>2699</v>
      </c>
      <c r="D243" s="57" t="s">
        <v>363</v>
      </c>
      <c r="E243" s="59" t="s">
        <v>1205</v>
      </c>
      <c r="F243" s="57" t="str">
        <f t="shared" si="22"/>
        <v>Menipis</v>
      </c>
      <c r="G243" s="64">
        <v>1.0</v>
      </c>
      <c r="H243" s="60">
        <v>5500.0</v>
      </c>
      <c r="I243" s="60">
        <v>11000.0</v>
      </c>
      <c r="J243" s="60">
        <f t="shared" si="23"/>
        <v>5500</v>
      </c>
      <c r="K243" s="61">
        <f t="shared" si="24"/>
        <v>1</v>
      </c>
    </row>
    <row r="244" ht="27.75" customHeight="1">
      <c r="A244" s="56" t="s">
        <v>2700</v>
      </c>
      <c r="B244" s="57" t="s">
        <v>31</v>
      </c>
      <c r="C244" s="58" t="s">
        <v>2701</v>
      </c>
      <c r="D244" s="57" t="s">
        <v>542</v>
      </c>
      <c r="E244" s="59" t="s">
        <v>1205</v>
      </c>
      <c r="F244" s="57" t="str">
        <f t="shared" si="22"/>
        <v>Menipis</v>
      </c>
      <c r="G244" s="64">
        <v>1.0</v>
      </c>
      <c r="H244" s="60">
        <v>40000.0</v>
      </c>
      <c r="I244" s="60">
        <v>70000.0</v>
      </c>
      <c r="J244" s="60">
        <f t="shared" si="23"/>
        <v>30000</v>
      </c>
      <c r="K244" s="61">
        <f t="shared" si="24"/>
        <v>0.75</v>
      </c>
    </row>
    <row r="245" ht="27.75" customHeight="1">
      <c r="A245" s="56" t="s">
        <v>2702</v>
      </c>
      <c r="B245" s="57" t="s">
        <v>31</v>
      </c>
      <c r="C245" s="58" t="s">
        <v>2703</v>
      </c>
      <c r="D245" s="57" t="s">
        <v>363</v>
      </c>
      <c r="E245" s="59" t="s">
        <v>1205</v>
      </c>
      <c r="F245" s="57" t="str">
        <f t="shared" si="22"/>
        <v>Tersedia</v>
      </c>
      <c r="G245" s="64">
        <v>8.0</v>
      </c>
      <c r="H245" s="60">
        <v>5000.0</v>
      </c>
      <c r="I245" s="60">
        <v>15000.0</v>
      </c>
      <c r="J245" s="60">
        <f t="shared" si="23"/>
        <v>10000</v>
      </c>
      <c r="K245" s="61">
        <f t="shared" si="24"/>
        <v>2</v>
      </c>
    </row>
    <row r="246" ht="27.75" customHeight="1">
      <c r="A246" s="56" t="s">
        <v>2704</v>
      </c>
      <c r="B246" s="57" t="s">
        <v>31</v>
      </c>
      <c r="C246" s="58" t="s">
        <v>2705</v>
      </c>
      <c r="D246" s="65" t="s">
        <v>341</v>
      </c>
      <c r="E246" s="59" t="s">
        <v>1205</v>
      </c>
      <c r="F246" s="57" t="str">
        <f t="shared" si="22"/>
        <v>Menipis</v>
      </c>
      <c r="G246" s="64">
        <v>1.0</v>
      </c>
      <c r="H246" s="60">
        <v>43845.0</v>
      </c>
      <c r="I246" s="60">
        <v>80000.0</v>
      </c>
      <c r="J246" s="60">
        <f t="shared" si="23"/>
        <v>36155</v>
      </c>
      <c r="K246" s="61">
        <f t="shared" si="24"/>
        <v>0.8246094195</v>
      </c>
    </row>
    <row r="247" ht="27.75" customHeight="1">
      <c r="A247" s="56" t="s">
        <v>2706</v>
      </c>
      <c r="B247" s="57" t="s">
        <v>31</v>
      </c>
      <c r="C247" s="58" t="s">
        <v>2707</v>
      </c>
      <c r="D247" s="65" t="s">
        <v>341</v>
      </c>
      <c r="E247" s="59" t="s">
        <v>1205</v>
      </c>
      <c r="F247" s="57" t="str">
        <f t="shared" si="22"/>
        <v>Menipis</v>
      </c>
      <c r="G247" s="64">
        <v>1.0</v>
      </c>
      <c r="H247" s="60">
        <v>40000.0</v>
      </c>
      <c r="I247" s="60">
        <v>75000.0</v>
      </c>
      <c r="J247" s="60">
        <f t="shared" si="23"/>
        <v>35000</v>
      </c>
      <c r="K247" s="61">
        <f t="shared" si="24"/>
        <v>0.875</v>
      </c>
    </row>
    <row r="248" ht="27.75" customHeight="1">
      <c r="A248" s="56" t="s">
        <v>2708</v>
      </c>
      <c r="B248" s="57" t="s">
        <v>31</v>
      </c>
      <c r="C248" s="58" t="s">
        <v>2709</v>
      </c>
      <c r="D248" s="65" t="s">
        <v>341</v>
      </c>
      <c r="E248" s="59" t="s">
        <v>1205</v>
      </c>
      <c r="F248" s="57" t="str">
        <f t="shared" si="22"/>
        <v>Menipis</v>
      </c>
      <c r="G248" s="64">
        <v>1.0</v>
      </c>
      <c r="H248" s="60">
        <v>40000.0</v>
      </c>
      <c r="I248" s="60">
        <v>75000.0</v>
      </c>
      <c r="J248" s="60">
        <f t="shared" si="23"/>
        <v>35000</v>
      </c>
      <c r="K248" s="61">
        <f t="shared" si="24"/>
        <v>0.875</v>
      </c>
    </row>
    <row r="249" ht="27.75" customHeight="1">
      <c r="A249" s="56" t="s">
        <v>2710</v>
      </c>
      <c r="B249" s="57" t="s">
        <v>31</v>
      </c>
      <c r="C249" s="58" t="s">
        <v>2711</v>
      </c>
      <c r="D249" s="65" t="s">
        <v>341</v>
      </c>
      <c r="E249" s="59" t="s">
        <v>1205</v>
      </c>
      <c r="F249" s="57" t="str">
        <f t="shared" si="22"/>
        <v>Menipis</v>
      </c>
      <c r="G249" s="64">
        <v>1.0</v>
      </c>
      <c r="H249" s="60">
        <v>52170.0</v>
      </c>
      <c r="I249" s="60">
        <v>90000.0</v>
      </c>
      <c r="J249" s="60">
        <f t="shared" si="23"/>
        <v>37830</v>
      </c>
      <c r="K249" s="61">
        <f t="shared" si="24"/>
        <v>0.7251293847</v>
      </c>
    </row>
    <row r="250" ht="27.75" customHeight="1">
      <c r="A250" s="56" t="s">
        <v>2712</v>
      </c>
      <c r="B250" s="57" t="s">
        <v>31</v>
      </c>
      <c r="C250" s="58" t="s">
        <v>2713</v>
      </c>
      <c r="D250" s="65" t="s">
        <v>341</v>
      </c>
      <c r="E250" s="59" t="s">
        <v>1205</v>
      </c>
      <c r="F250" s="57" t="str">
        <f t="shared" si="22"/>
        <v>Menipis</v>
      </c>
      <c r="G250" s="64">
        <v>1.0</v>
      </c>
      <c r="H250" s="60">
        <v>33850.0</v>
      </c>
      <c r="I250" s="60">
        <v>60000.0</v>
      </c>
      <c r="J250" s="60">
        <f t="shared" si="23"/>
        <v>26150</v>
      </c>
      <c r="K250" s="61">
        <f t="shared" si="24"/>
        <v>0.7725258493</v>
      </c>
    </row>
    <row r="251" ht="27.75" customHeight="1">
      <c r="A251" s="56" t="s">
        <v>2714</v>
      </c>
      <c r="B251" s="57" t="s">
        <v>31</v>
      </c>
      <c r="C251" s="58" t="s">
        <v>2715</v>
      </c>
      <c r="D251" s="65" t="s">
        <v>341</v>
      </c>
      <c r="E251" s="59" t="s">
        <v>1205</v>
      </c>
      <c r="F251" s="57" t="str">
        <f t="shared" si="22"/>
        <v>Menipis</v>
      </c>
      <c r="G251" s="64">
        <v>1.0</v>
      </c>
      <c r="H251" s="60">
        <v>45000.0</v>
      </c>
      <c r="I251" s="60">
        <v>85000.0</v>
      </c>
      <c r="J251" s="60">
        <f t="shared" si="23"/>
        <v>40000</v>
      </c>
      <c r="K251" s="61">
        <f t="shared" si="24"/>
        <v>0.8888888889</v>
      </c>
    </row>
    <row r="252" ht="27.75" customHeight="1">
      <c r="A252" s="56" t="s">
        <v>2716</v>
      </c>
      <c r="B252" s="57" t="s">
        <v>31</v>
      </c>
      <c r="C252" s="58" t="s">
        <v>2717</v>
      </c>
      <c r="D252" s="65" t="s">
        <v>341</v>
      </c>
      <c r="E252" s="59" t="s">
        <v>1205</v>
      </c>
      <c r="F252" s="57" t="str">
        <f t="shared" si="22"/>
        <v>Menipis</v>
      </c>
      <c r="G252" s="64">
        <v>1.0</v>
      </c>
      <c r="H252" s="60">
        <v>47500.0</v>
      </c>
      <c r="I252" s="60">
        <v>90000.0</v>
      </c>
      <c r="J252" s="60">
        <f t="shared" si="23"/>
        <v>42500</v>
      </c>
      <c r="K252" s="61">
        <f t="shared" si="24"/>
        <v>0.8947368421</v>
      </c>
    </row>
    <row r="253" ht="27.75" customHeight="1">
      <c r="A253" s="56" t="s">
        <v>2718</v>
      </c>
      <c r="B253" s="57" t="s">
        <v>31</v>
      </c>
      <c r="C253" s="58" t="s">
        <v>2719</v>
      </c>
      <c r="D253" s="65" t="s">
        <v>341</v>
      </c>
      <c r="E253" s="59" t="s">
        <v>1205</v>
      </c>
      <c r="F253" s="57" t="str">
        <f t="shared" si="22"/>
        <v>Menipis</v>
      </c>
      <c r="G253" s="64">
        <v>1.0</v>
      </c>
      <c r="H253" s="60">
        <v>47500.0</v>
      </c>
      <c r="I253" s="60">
        <v>90000.0</v>
      </c>
      <c r="J253" s="60">
        <f t="shared" si="23"/>
        <v>42500</v>
      </c>
      <c r="K253" s="61">
        <f t="shared" si="24"/>
        <v>0.8947368421</v>
      </c>
    </row>
    <row r="254" ht="27.75" customHeight="1">
      <c r="A254" s="56" t="s">
        <v>2720</v>
      </c>
      <c r="B254" s="57" t="s">
        <v>31</v>
      </c>
      <c r="C254" s="58" t="s">
        <v>2721</v>
      </c>
      <c r="D254" s="65" t="s">
        <v>341</v>
      </c>
      <c r="E254" s="59" t="s">
        <v>1205</v>
      </c>
      <c r="F254" s="57" t="str">
        <f t="shared" si="22"/>
        <v>Menipis</v>
      </c>
      <c r="G254" s="64">
        <v>2.0</v>
      </c>
      <c r="H254" s="60">
        <v>45000.0</v>
      </c>
      <c r="I254" s="60">
        <v>90000.0</v>
      </c>
      <c r="J254" s="60">
        <f t="shared" si="23"/>
        <v>45000</v>
      </c>
      <c r="K254" s="61">
        <f t="shared" si="24"/>
        <v>1</v>
      </c>
    </row>
    <row r="255" ht="27.75" customHeight="1">
      <c r="A255" s="56" t="s">
        <v>2722</v>
      </c>
      <c r="B255" s="57" t="s">
        <v>31</v>
      </c>
      <c r="C255" s="58" t="s">
        <v>2723</v>
      </c>
      <c r="D255" s="65" t="s">
        <v>341</v>
      </c>
      <c r="E255" s="59" t="s">
        <v>1205</v>
      </c>
      <c r="F255" s="57" t="str">
        <f t="shared" si="22"/>
        <v>Menipis</v>
      </c>
      <c r="G255" s="64">
        <v>1.0</v>
      </c>
      <c r="H255" s="60">
        <v>73000.0</v>
      </c>
      <c r="I255" s="60">
        <v>110000.0</v>
      </c>
      <c r="J255" s="60">
        <f t="shared" si="23"/>
        <v>37000</v>
      </c>
      <c r="K255" s="61">
        <f t="shared" si="24"/>
        <v>0.5068493151</v>
      </c>
    </row>
    <row r="256" ht="27.75" customHeight="1">
      <c r="A256" s="56" t="s">
        <v>2724</v>
      </c>
      <c r="B256" s="57" t="s">
        <v>31</v>
      </c>
      <c r="C256" s="58" t="s">
        <v>2725</v>
      </c>
      <c r="D256" s="65" t="s">
        <v>341</v>
      </c>
      <c r="E256" s="59" t="s">
        <v>1205</v>
      </c>
      <c r="F256" s="57" t="str">
        <f t="shared" si="22"/>
        <v>Tersedia</v>
      </c>
      <c r="G256" s="64">
        <v>5.0</v>
      </c>
      <c r="H256" s="60">
        <v>48000.0</v>
      </c>
      <c r="I256" s="60">
        <v>80000.0</v>
      </c>
      <c r="J256" s="60">
        <f t="shared" si="23"/>
        <v>32000</v>
      </c>
      <c r="K256" s="61">
        <f t="shared" si="24"/>
        <v>0.6666666667</v>
      </c>
    </row>
    <row r="257" ht="27.75" customHeight="1">
      <c r="A257" s="56" t="s">
        <v>2726</v>
      </c>
      <c r="B257" s="57" t="s">
        <v>1172</v>
      </c>
      <c r="C257" s="58" t="s">
        <v>2727</v>
      </c>
      <c r="D257" s="57" t="s">
        <v>1248</v>
      </c>
      <c r="E257" s="159" t="s">
        <v>2728</v>
      </c>
      <c r="F257" s="57" t="s">
        <v>1597</v>
      </c>
      <c r="G257" s="64">
        <v>5.0</v>
      </c>
      <c r="H257" s="60">
        <v>6000.0</v>
      </c>
      <c r="I257" s="60">
        <v>20000.0</v>
      </c>
      <c r="J257" s="60">
        <v>14000.0</v>
      </c>
      <c r="K257" s="61">
        <v>2.33</v>
      </c>
    </row>
    <row r="258" ht="27.75" customHeight="1">
      <c r="A258" s="56" t="s">
        <v>2729</v>
      </c>
      <c r="B258" s="57" t="s">
        <v>1172</v>
      </c>
      <c r="C258" s="58" t="s">
        <v>2730</v>
      </c>
      <c r="D258" s="57" t="s">
        <v>1248</v>
      </c>
      <c r="E258" s="159" t="s">
        <v>1205</v>
      </c>
      <c r="F258" s="57" t="s">
        <v>1180</v>
      </c>
      <c r="G258" s="64">
        <v>1.0</v>
      </c>
      <c r="H258" s="60">
        <v>7500.0</v>
      </c>
      <c r="I258" s="60">
        <v>20000.0</v>
      </c>
      <c r="J258" s="60">
        <v>12500.0</v>
      </c>
      <c r="K258" s="61">
        <v>1.67</v>
      </c>
    </row>
    <row r="259" ht="27.75" customHeight="1">
      <c r="A259" s="56" t="s">
        <v>2731</v>
      </c>
      <c r="B259" s="57" t="s">
        <v>1172</v>
      </c>
      <c r="C259" s="58" t="s">
        <v>2732</v>
      </c>
      <c r="D259" s="57" t="s">
        <v>1248</v>
      </c>
      <c r="E259" s="159" t="s">
        <v>1205</v>
      </c>
      <c r="F259" s="57" t="s">
        <v>1180</v>
      </c>
      <c r="G259" s="64">
        <v>1.0</v>
      </c>
      <c r="H259" s="60">
        <v>6000.0</v>
      </c>
      <c r="I259" s="60">
        <v>20000.0</v>
      </c>
      <c r="J259" s="60">
        <v>14000.0</v>
      </c>
      <c r="K259" s="61">
        <v>2.33</v>
      </c>
    </row>
    <row r="260" ht="27.75" customHeight="1">
      <c r="A260" s="56" t="s">
        <v>2733</v>
      </c>
      <c r="B260" s="57" t="s">
        <v>1172</v>
      </c>
      <c r="C260" s="58" t="s">
        <v>2673</v>
      </c>
      <c r="D260" s="57" t="s">
        <v>1248</v>
      </c>
      <c r="E260" s="159" t="s">
        <v>2728</v>
      </c>
      <c r="F260" s="57" t="s">
        <v>1180</v>
      </c>
      <c r="G260" s="64">
        <v>1.0</v>
      </c>
      <c r="H260" s="60">
        <v>13000.0</v>
      </c>
      <c r="I260" s="60">
        <v>25000.0</v>
      </c>
      <c r="J260" s="60">
        <v>12000.0</v>
      </c>
      <c r="K260" s="61">
        <v>0.92</v>
      </c>
    </row>
    <row r="261" ht="27.75" customHeight="1">
      <c r="A261" s="56" t="s">
        <v>2734</v>
      </c>
      <c r="B261" s="57" t="s">
        <v>1172</v>
      </c>
      <c r="C261" s="58" t="s">
        <v>2735</v>
      </c>
      <c r="D261" s="57" t="s">
        <v>1248</v>
      </c>
      <c r="E261" s="159" t="s">
        <v>2728</v>
      </c>
      <c r="F261" s="57" t="s">
        <v>1180</v>
      </c>
      <c r="G261" s="64">
        <v>3.0</v>
      </c>
      <c r="H261" s="60">
        <v>25000.0</v>
      </c>
      <c r="I261" s="60">
        <v>45000.0</v>
      </c>
      <c r="J261" s="60">
        <v>20000.0</v>
      </c>
      <c r="K261" s="61">
        <v>0.8</v>
      </c>
    </row>
    <row r="262" ht="27.75" customHeight="1">
      <c r="A262" s="56" t="s">
        <v>2736</v>
      </c>
      <c r="B262" s="57" t="s">
        <v>1172</v>
      </c>
      <c r="C262" s="58" t="s">
        <v>2737</v>
      </c>
      <c r="D262" s="57" t="s">
        <v>1248</v>
      </c>
      <c r="E262" s="159" t="s">
        <v>2728</v>
      </c>
      <c r="F262" s="57" t="s">
        <v>1180</v>
      </c>
      <c r="G262" s="64">
        <v>3.0</v>
      </c>
      <c r="H262" s="60">
        <v>36000.0</v>
      </c>
      <c r="I262" s="60">
        <v>80000.0</v>
      </c>
      <c r="J262" s="60">
        <v>44000.0</v>
      </c>
      <c r="K262" s="61">
        <v>1.22</v>
      </c>
    </row>
    <row r="263" ht="27.75" customHeight="1">
      <c r="A263" s="56" t="s">
        <v>2740</v>
      </c>
      <c r="B263" s="57" t="s">
        <v>1172</v>
      </c>
      <c r="C263" s="58" t="s">
        <v>2691</v>
      </c>
      <c r="D263" s="57" t="s">
        <v>1248</v>
      </c>
      <c r="E263" s="159" t="s">
        <v>2728</v>
      </c>
      <c r="F263" s="57" t="s">
        <v>1180</v>
      </c>
      <c r="G263" s="64">
        <v>2.0</v>
      </c>
      <c r="H263" s="60">
        <v>15500.0</v>
      </c>
      <c r="I263" s="60">
        <v>35000.0</v>
      </c>
      <c r="J263" s="60">
        <v>19500.0</v>
      </c>
      <c r="K263" s="61">
        <v>1.26</v>
      </c>
    </row>
    <row r="264" ht="27.75" customHeight="1">
      <c r="A264" s="56" t="s">
        <v>2741</v>
      </c>
      <c r="B264" s="57" t="s">
        <v>1172</v>
      </c>
      <c r="C264" s="58" t="s">
        <v>2742</v>
      </c>
      <c r="D264" s="57" t="s">
        <v>1248</v>
      </c>
      <c r="E264" s="159" t="s">
        <v>2728</v>
      </c>
      <c r="F264" s="57" t="s">
        <v>1180</v>
      </c>
      <c r="G264" s="64">
        <v>1.0</v>
      </c>
      <c r="H264" s="60">
        <v>8000.0</v>
      </c>
      <c r="I264" s="60">
        <v>25000.0</v>
      </c>
      <c r="J264" s="60">
        <v>17000.0</v>
      </c>
      <c r="K264" s="61">
        <v>2.13</v>
      </c>
    </row>
    <row r="265" ht="27.75" customHeight="1">
      <c r="A265" s="56" t="s">
        <v>2743</v>
      </c>
      <c r="B265" s="57" t="s">
        <v>1172</v>
      </c>
      <c r="C265" s="58" t="s">
        <v>2744</v>
      </c>
      <c r="D265" s="57" t="s">
        <v>1248</v>
      </c>
      <c r="E265" s="159" t="s">
        <v>2728</v>
      </c>
      <c r="F265" s="57" t="s">
        <v>1180</v>
      </c>
      <c r="G265" s="64">
        <v>1.0</v>
      </c>
      <c r="H265" s="60">
        <v>13500.0</v>
      </c>
      <c r="I265" s="60">
        <v>35000.0</v>
      </c>
      <c r="J265" s="60">
        <v>21500.0</v>
      </c>
      <c r="K265" s="61">
        <v>1.59</v>
      </c>
    </row>
    <row r="266" ht="27.75" customHeight="1">
      <c r="A266" s="56" t="s">
        <v>2745</v>
      </c>
      <c r="B266" s="57" t="s">
        <v>1172</v>
      </c>
      <c r="C266" s="58" t="s">
        <v>2746</v>
      </c>
      <c r="D266" s="57" t="s">
        <v>1248</v>
      </c>
      <c r="E266" s="159" t="s">
        <v>2728</v>
      </c>
      <c r="F266" s="57" t="s">
        <v>1180</v>
      </c>
      <c r="G266" s="64">
        <v>1.0</v>
      </c>
      <c r="H266" s="60">
        <v>8000.0</v>
      </c>
      <c r="I266" s="60">
        <v>25000.0</v>
      </c>
      <c r="J266" s="60">
        <v>17000.0</v>
      </c>
      <c r="K266" s="61">
        <v>2.13</v>
      </c>
    </row>
    <row r="267" ht="27.75" customHeight="1">
      <c r="A267" s="56" t="s">
        <v>2747</v>
      </c>
      <c r="B267" s="57" t="s">
        <v>1172</v>
      </c>
      <c r="C267" s="58" t="s">
        <v>2748</v>
      </c>
      <c r="D267" s="57" t="s">
        <v>1248</v>
      </c>
      <c r="E267" s="159" t="s">
        <v>1205</v>
      </c>
      <c r="F267" s="57" t="s">
        <v>1180</v>
      </c>
      <c r="G267" s="64">
        <v>1.0</v>
      </c>
      <c r="H267" s="60">
        <v>7000.0</v>
      </c>
      <c r="I267" s="60">
        <v>20000.0</v>
      </c>
      <c r="J267" s="60">
        <v>13000.0</v>
      </c>
      <c r="K267" s="61">
        <v>1.86</v>
      </c>
    </row>
    <row r="268" ht="27.75" customHeight="1">
      <c r="A268" s="56" t="s">
        <v>2749</v>
      </c>
      <c r="B268" s="57" t="s">
        <v>1172</v>
      </c>
      <c r="C268" s="58" t="s">
        <v>2750</v>
      </c>
      <c r="D268" s="57" t="s">
        <v>1248</v>
      </c>
      <c r="E268" s="159" t="s">
        <v>1205</v>
      </c>
      <c r="F268" s="57" t="s">
        <v>1180</v>
      </c>
      <c r="G268" s="64">
        <v>1.0</v>
      </c>
      <c r="H268" s="60">
        <v>15000.0</v>
      </c>
      <c r="I268" s="60">
        <v>35000.0</v>
      </c>
      <c r="J268" s="60">
        <v>20000.0</v>
      </c>
      <c r="K268" s="61">
        <v>1.33</v>
      </c>
    </row>
    <row r="269" ht="27.75" customHeight="1">
      <c r="A269" s="56" t="s">
        <v>2751</v>
      </c>
      <c r="B269" s="57" t="s">
        <v>1172</v>
      </c>
      <c r="C269" s="58" t="s">
        <v>2752</v>
      </c>
      <c r="D269" s="57" t="s">
        <v>1248</v>
      </c>
      <c r="E269" s="159" t="s">
        <v>2728</v>
      </c>
      <c r="F269" s="57" t="s">
        <v>1180</v>
      </c>
      <c r="G269" s="64">
        <v>1.0</v>
      </c>
      <c r="H269" s="60">
        <v>35000.0</v>
      </c>
      <c r="I269" s="60">
        <v>60000.0</v>
      </c>
      <c r="J269" s="60">
        <v>25000.0</v>
      </c>
      <c r="K269" s="61">
        <v>0.71</v>
      </c>
    </row>
    <row r="270" ht="27.75" customHeight="1">
      <c r="A270" s="56" t="s">
        <v>2753</v>
      </c>
      <c r="B270" s="57" t="s">
        <v>1172</v>
      </c>
      <c r="C270" s="58" t="s">
        <v>2754</v>
      </c>
      <c r="D270" s="57" t="s">
        <v>1248</v>
      </c>
      <c r="E270" s="159" t="s">
        <v>2728</v>
      </c>
      <c r="F270" s="57" t="s">
        <v>1180</v>
      </c>
      <c r="G270" s="64">
        <v>1.0</v>
      </c>
      <c r="H270" s="60">
        <v>17500.0</v>
      </c>
      <c r="I270" s="60">
        <v>35000.0</v>
      </c>
      <c r="J270" s="60">
        <v>17500.0</v>
      </c>
      <c r="K270" s="61">
        <v>1.0</v>
      </c>
    </row>
    <row r="271" ht="27.75" customHeight="1">
      <c r="A271" s="56" t="s">
        <v>2755</v>
      </c>
      <c r="B271" s="57" t="s">
        <v>1172</v>
      </c>
      <c r="C271" s="58" t="s">
        <v>2756</v>
      </c>
      <c r="D271" s="57" t="s">
        <v>1248</v>
      </c>
      <c r="E271" s="159" t="s">
        <v>2728</v>
      </c>
      <c r="F271" s="57" t="s">
        <v>1180</v>
      </c>
      <c r="G271" s="64">
        <v>1.0</v>
      </c>
      <c r="H271" s="60">
        <v>17500.0</v>
      </c>
      <c r="I271" s="60">
        <v>35000.0</v>
      </c>
      <c r="J271" s="60">
        <v>17500.0</v>
      </c>
      <c r="K271" s="61">
        <v>1.0</v>
      </c>
    </row>
    <row r="272" ht="27.75" customHeight="1">
      <c r="A272" s="56" t="s">
        <v>2757</v>
      </c>
      <c r="B272" s="57" t="s">
        <v>1172</v>
      </c>
      <c r="C272" s="58" t="s">
        <v>2758</v>
      </c>
      <c r="D272" s="57" t="s">
        <v>1248</v>
      </c>
      <c r="E272" s="159" t="s">
        <v>2728</v>
      </c>
      <c r="F272" s="57" t="s">
        <v>1180</v>
      </c>
      <c r="G272" s="64">
        <v>1.0</v>
      </c>
      <c r="H272" s="60">
        <v>28000.0</v>
      </c>
      <c r="I272" s="60">
        <v>60000.0</v>
      </c>
      <c r="J272" s="60">
        <v>32000.0</v>
      </c>
      <c r="K272" s="61">
        <v>1.14</v>
      </c>
    </row>
    <row r="273" ht="27.75" customHeight="1">
      <c r="A273" s="56" t="s">
        <v>2759</v>
      </c>
      <c r="B273" s="57" t="s">
        <v>1172</v>
      </c>
      <c r="C273" s="58" t="s">
        <v>2760</v>
      </c>
      <c r="D273" s="57" t="s">
        <v>1248</v>
      </c>
      <c r="E273" s="159" t="s">
        <v>2728</v>
      </c>
      <c r="F273" s="57" t="s">
        <v>1180</v>
      </c>
      <c r="G273" s="64">
        <v>1.0</v>
      </c>
      <c r="H273" s="60">
        <v>11000.0</v>
      </c>
      <c r="I273" s="60">
        <v>22000.0</v>
      </c>
      <c r="J273" s="60">
        <v>11000.0</v>
      </c>
      <c r="K273" s="61">
        <v>1.0</v>
      </c>
    </row>
    <row r="274" ht="27.75" customHeight="1">
      <c r="A274" s="56" t="s">
        <v>2761</v>
      </c>
      <c r="B274" s="57" t="s">
        <v>31</v>
      </c>
      <c r="C274" s="58" t="s">
        <v>2762</v>
      </c>
      <c r="D274" s="57" t="s">
        <v>363</v>
      </c>
      <c r="E274" s="70" t="s">
        <v>410</v>
      </c>
      <c r="F274" s="57" t="str">
        <f t="shared" ref="F274:F335" si="25">IF(G274="", "", IF(G274&lt;=0, "Habis", IF(G274&lt;=3, "Menipis", "Tersedia")))</f>
        <v>Menipis</v>
      </c>
      <c r="G274" s="56">
        <v>1.0</v>
      </c>
      <c r="H274" s="60">
        <v>8000.0</v>
      </c>
      <c r="I274" s="60">
        <v>20000.0</v>
      </c>
      <c r="J274" s="60">
        <f t="shared" ref="J274:J335" si="26">I274-H274</f>
        <v>12000</v>
      </c>
      <c r="K274" s="61">
        <f t="shared" ref="K274:K327" si="27">J274/H274*100%</f>
        <v>1.5</v>
      </c>
    </row>
    <row r="275" ht="27.75" customHeight="1">
      <c r="A275" s="56" t="s">
        <v>2763</v>
      </c>
      <c r="B275" s="57" t="s">
        <v>31</v>
      </c>
      <c r="C275" s="58" t="s">
        <v>2764</v>
      </c>
      <c r="D275" s="57" t="s">
        <v>2765</v>
      </c>
      <c r="E275" s="59" t="s">
        <v>2442</v>
      </c>
      <c r="F275" s="57" t="str">
        <f t="shared" si="25"/>
        <v>Menipis</v>
      </c>
      <c r="G275" s="64">
        <v>1.0</v>
      </c>
      <c r="H275" s="60">
        <v>174418.0</v>
      </c>
      <c r="I275" s="60">
        <v>313952.0</v>
      </c>
      <c r="J275" s="60">
        <f t="shared" si="26"/>
        <v>139534</v>
      </c>
      <c r="K275" s="61">
        <f t="shared" si="27"/>
        <v>0.7999977067</v>
      </c>
    </row>
    <row r="276" ht="27.75" customHeight="1">
      <c r="A276" s="56" t="s">
        <v>2766</v>
      </c>
      <c r="B276" s="57" t="s">
        <v>31</v>
      </c>
      <c r="C276" s="58" t="s">
        <v>2767</v>
      </c>
      <c r="D276" s="57" t="s">
        <v>542</v>
      </c>
      <c r="E276" s="59" t="s">
        <v>2442</v>
      </c>
      <c r="F276" s="57" t="str">
        <f t="shared" si="25"/>
        <v>Menipis</v>
      </c>
      <c r="G276" s="64">
        <v>1.0</v>
      </c>
      <c r="H276" s="60">
        <v>30650.0</v>
      </c>
      <c r="I276" s="60">
        <v>60000.0</v>
      </c>
      <c r="J276" s="60">
        <f t="shared" si="26"/>
        <v>29350</v>
      </c>
      <c r="K276" s="61">
        <f t="shared" si="27"/>
        <v>0.9575856444</v>
      </c>
    </row>
    <row r="277" ht="27.75" customHeight="1">
      <c r="A277" s="56" t="s">
        <v>2768</v>
      </c>
      <c r="B277" s="57" t="s">
        <v>31</v>
      </c>
      <c r="C277" s="58" t="s">
        <v>2769</v>
      </c>
      <c r="D277" s="57" t="s">
        <v>363</v>
      </c>
      <c r="E277" s="70" t="s">
        <v>410</v>
      </c>
      <c r="F277" s="57" t="str">
        <f t="shared" si="25"/>
        <v>Menipis</v>
      </c>
      <c r="G277" s="56">
        <v>2.0</v>
      </c>
      <c r="H277" s="60">
        <v>20000.0</v>
      </c>
      <c r="I277" s="60">
        <v>40000.0</v>
      </c>
      <c r="J277" s="60">
        <f t="shared" si="26"/>
        <v>20000</v>
      </c>
      <c r="K277" s="61">
        <f t="shared" si="27"/>
        <v>1</v>
      </c>
    </row>
    <row r="278" ht="27.75" customHeight="1">
      <c r="A278" s="56" t="s">
        <v>2770</v>
      </c>
      <c r="B278" s="57" t="s">
        <v>31</v>
      </c>
      <c r="C278" s="58" t="s">
        <v>2771</v>
      </c>
      <c r="D278" s="57" t="s">
        <v>33</v>
      </c>
      <c r="E278" s="59" t="s">
        <v>177</v>
      </c>
      <c r="F278" s="57" t="str">
        <f t="shared" si="25"/>
        <v>Menipis</v>
      </c>
      <c r="G278" s="64">
        <v>2.0</v>
      </c>
      <c r="H278" s="60">
        <v>121000.0</v>
      </c>
      <c r="I278" s="60">
        <v>185000.0</v>
      </c>
      <c r="J278" s="60">
        <f t="shared" si="26"/>
        <v>64000</v>
      </c>
      <c r="K278" s="61">
        <f t="shared" si="27"/>
        <v>0.5289256198</v>
      </c>
    </row>
    <row r="279" ht="27.75" customHeight="1">
      <c r="A279" s="56" t="s">
        <v>2772</v>
      </c>
      <c r="B279" s="57" t="s">
        <v>31</v>
      </c>
      <c r="C279" s="58" t="s">
        <v>2773</v>
      </c>
      <c r="D279" s="57" t="s">
        <v>363</v>
      </c>
      <c r="E279" s="59" t="s">
        <v>137</v>
      </c>
      <c r="F279" s="57" t="str">
        <f t="shared" si="25"/>
        <v>Menipis</v>
      </c>
      <c r="G279" s="64">
        <v>1.0</v>
      </c>
      <c r="H279" s="60">
        <v>8000.0</v>
      </c>
      <c r="I279" s="60">
        <v>25000.0</v>
      </c>
      <c r="J279" s="60">
        <f t="shared" si="26"/>
        <v>17000</v>
      </c>
      <c r="K279" s="61">
        <f t="shared" si="27"/>
        <v>2.125</v>
      </c>
    </row>
    <row r="280" ht="27.75" customHeight="1">
      <c r="A280" s="56" t="s">
        <v>2774</v>
      </c>
      <c r="B280" s="57" t="s">
        <v>31</v>
      </c>
      <c r="C280" s="58" t="s">
        <v>2775</v>
      </c>
      <c r="D280" s="57" t="s">
        <v>363</v>
      </c>
      <c r="E280" s="59" t="s">
        <v>387</v>
      </c>
      <c r="F280" s="57" t="str">
        <f t="shared" si="25"/>
        <v>Menipis</v>
      </c>
      <c r="G280" s="56">
        <v>1.0</v>
      </c>
      <c r="H280" s="60">
        <v>6000.0</v>
      </c>
      <c r="I280" s="60">
        <v>15000.0</v>
      </c>
      <c r="J280" s="60">
        <f t="shared" si="26"/>
        <v>9000</v>
      </c>
      <c r="K280" s="61">
        <f t="shared" si="27"/>
        <v>1.5</v>
      </c>
    </row>
    <row r="281" ht="27.75" customHeight="1">
      <c r="A281" s="56" t="s">
        <v>2776</v>
      </c>
      <c r="B281" s="57" t="s">
        <v>31</v>
      </c>
      <c r="C281" s="58" t="s">
        <v>2777</v>
      </c>
      <c r="D281" s="57" t="s">
        <v>363</v>
      </c>
      <c r="E281" s="59" t="s">
        <v>387</v>
      </c>
      <c r="F281" s="57" t="str">
        <f t="shared" si="25"/>
        <v>Tersedia</v>
      </c>
      <c r="G281" s="56">
        <v>5.0</v>
      </c>
      <c r="H281" s="60">
        <v>3500.0</v>
      </c>
      <c r="I281" s="60">
        <v>10000.0</v>
      </c>
      <c r="J281" s="60">
        <f t="shared" si="26"/>
        <v>6500</v>
      </c>
      <c r="K281" s="61">
        <f t="shared" si="27"/>
        <v>1.857142857</v>
      </c>
    </row>
    <row r="282" ht="27.75" customHeight="1">
      <c r="A282" s="56" t="s">
        <v>2778</v>
      </c>
      <c r="B282" s="57" t="s">
        <v>31</v>
      </c>
      <c r="C282" s="58" t="s">
        <v>2779</v>
      </c>
      <c r="D282" s="57" t="s">
        <v>363</v>
      </c>
      <c r="E282" s="59" t="s">
        <v>387</v>
      </c>
      <c r="F282" s="57" t="str">
        <f t="shared" si="25"/>
        <v>Tersedia</v>
      </c>
      <c r="G282" s="56">
        <v>5.0</v>
      </c>
      <c r="H282" s="60">
        <v>3500.0</v>
      </c>
      <c r="I282" s="60">
        <v>10000.0</v>
      </c>
      <c r="J282" s="60">
        <f t="shared" si="26"/>
        <v>6500</v>
      </c>
      <c r="K282" s="61">
        <f t="shared" si="27"/>
        <v>1.857142857</v>
      </c>
    </row>
    <row r="283" ht="27.75" customHeight="1">
      <c r="A283" s="56" t="s">
        <v>2780</v>
      </c>
      <c r="B283" s="57" t="s">
        <v>31</v>
      </c>
      <c r="C283" s="58" t="s">
        <v>2781</v>
      </c>
      <c r="D283" s="57" t="s">
        <v>363</v>
      </c>
      <c r="E283" s="59" t="s">
        <v>387</v>
      </c>
      <c r="F283" s="57" t="str">
        <f t="shared" si="25"/>
        <v>Tersedia</v>
      </c>
      <c r="G283" s="56">
        <v>5.0</v>
      </c>
      <c r="H283" s="60">
        <v>3500.0</v>
      </c>
      <c r="I283" s="60">
        <v>10000.0</v>
      </c>
      <c r="J283" s="60">
        <f t="shared" si="26"/>
        <v>6500</v>
      </c>
      <c r="K283" s="61">
        <f t="shared" si="27"/>
        <v>1.857142857</v>
      </c>
    </row>
    <row r="284" ht="27.75" customHeight="1">
      <c r="A284" s="56" t="s">
        <v>2782</v>
      </c>
      <c r="B284" s="57" t="s">
        <v>31</v>
      </c>
      <c r="C284" s="58" t="s">
        <v>2783</v>
      </c>
      <c r="D284" s="57" t="s">
        <v>363</v>
      </c>
      <c r="E284" s="59" t="s">
        <v>387</v>
      </c>
      <c r="F284" s="57" t="str">
        <f t="shared" si="25"/>
        <v>Tersedia</v>
      </c>
      <c r="G284" s="56">
        <v>5.0</v>
      </c>
      <c r="H284" s="60">
        <v>3500.0</v>
      </c>
      <c r="I284" s="60">
        <v>10000.0</v>
      </c>
      <c r="J284" s="60">
        <f t="shared" si="26"/>
        <v>6500</v>
      </c>
      <c r="K284" s="61">
        <f t="shared" si="27"/>
        <v>1.857142857</v>
      </c>
    </row>
    <row r="285" ht="27.75" customHeight="1">
      <c r="A285" s="56" t="s">
        <v>2784</v>
      </c>
      <c r="B285" s="57" t="s">
        <v>31</v>
      </c>
      <c r="C285" s="58" t="s">
        <v>2785</v>
      </c>
      <c r="D285" s="57" t="s">
        <v>363</v>
      </c>
      <c r="E285" s="70" t="s">
        <v>410</v>
      </c>
      <c r="F285" s="57" t="str">
        <f t="shared" si="25"/>
        <v>Tersedia</v>
      </c>
      <c r="G285" s="56">
        <v>6.0</v>
      </c>
      <c r="H285" s="60">
        <v>6000.0</v>
      </c>
      <c r="I285" s="60">
        <v>15000.0</v>
      </c>
      <c r="J285" s="60">
        <f t="shared" si="26"/>
        <v>9000</v>
      </c>
      <c r="K285" s="61">
        <f t="shared" si="27"/>
        <v>1.5</v>
      </c>
    </row>
    <row r="286" ht="27.75" customHeight="1">
      <c r="A286" s="56" t="s">
        <v>2786</v>
      </c>
      <c r="B286" s="57" t="s">
        <v>31</v>
      </c>
      <c r="C286" s="58" t="s">
        <v>2787</v>
      </c>
      <c r="D286" s="57" t="s">
        <v>363</v>
      </c>
      <c r="E286" s="70" t="s">
        <v>410</v>
      </c>
      <c r="F286" s="57" t="str">
        <f t="shared" si="25"/>
        <v>Menipis</v>
      </c>
      <c r="G286" s="56">
        <v>1.0</v>
      </c>
      <c r="H286" s="60">
        <v>12500.0</v>
      </c>
      <c r="I286" s="60">
        <v>30000.0</v>
      </c>
      <c r="J286" s="60">
        <f t="shared" si="26"/>
        <v>17500</v>
      </c>
      <c r="K286" s="61">
        <f t="shared" si="27"/>
        <v>1.4</v>
      </c>
    </row>
    <row r="287" ht="27.75" customHeight="1">
      <c r="A287" s="56" t="s">
        <v>2788</v>
      </c>
      <c r="B287" s="57" t="s">
        <v>31</v>
      </c>
      <c r="C287" s="223" t="s">
        <v>2789</v>
      </c>
      <c r="D287" s="57" t="s">
        <v>1176</v>
      </c>
      <c r="E287" s="59" t="s">
        <v>387</v>
      </c>
      <c r="F287" s="57" t="str">
        <f t="shared" si="25"/>
        <v>Menipis</v>
      </c>
      <c r="G287" s="56">
        <v>1.0</v>
      </c>
      <c r="H287" s="60">
        <v>40000.0</v>
      </c>
      <c r="I287" s="60">
        <v>80000.0</v>
      </c>
      <c r="J287" s="60">
        <f t="shared" si="26"/>
        <v>40000</v>
      </c>
      <c r="K287" s="61">
        <f t="shared" si="27"/>
        <v>1</v>
      </c>
    </row>
    <row r="288" ht="27.75" customHeight="1">
      <c r="A288" s="56" t="s">
        <v>2790</v>
      </c>
      <c r="B288" s="57" t="s">
        <v>31</v>
      </c>
      <c r="C288" s="58" t="s">
        <v>2791</v>
      </c>
      <c r="D288" s="57" t="s">
        <v>363</v>
      </c>
      <c r="E288" s="59" t="s">
        <v>387</v>
      </c>
      <c r="F288" s="57" t="str">
        <f t="shared" si="25"/>
        <v>Tersedia</v>
      </c>
      <c r="G288" s="64">
        <v>6.0</v>
      </c>
      <c r="H288" s="60">
        <v>9500.0</v>
      </c>
      <c r="I288" s="60">
        <v>25000.0</v>
      </c>
      <c r="J288" s="60">
        <f t="shared" si="26"/>
        <v>15500</v>
      </c>
      <c r="K288" s="61">
        <f t="shared" si="27"/>
        <v>1.631578947</v>
      </c>
    </row>
    <row r="289" ht="27.75" customHeight="1">
      <c r="A289" s="56" t="s">
        <v>2792</v>
      </c>
      <c r="B289" s="57" t="s">
        <v>31</v>
      </c>
      <c r="C289" s="58" t="s">
        <v>2793</v>
      </c>
      <c r="D289" s="57" t="s">
        <v>363</v>
      </c>
      <c r="E289" s="59" t="s">
        <v>387</v>
      </c>
      <c r="F289" s="57" t="str">
        <f t="shared" si="25"/>
        <v>Menipis</v>
      </c>
      <c r="G289" s="56">
        <v>1.0</v>
      </c>
      <c r="H289" s="60">
        <v>3500.0</v>
      </c>
      <c r="I289" s="60">
        <v>7000.0</v>
      </c>
      <c r="J289" s="60">
        <f t="shared" si="26"/>
        <v>3500</v>
      </c>
      <c r="K289" s="61">
        <f t="shared" si="27"/>
        <v>1</v>
      </c>
    </row>
    <row r="290" ht="27.75" customHeight="1">
      <c r="A290" s="56" t="s">
        <v>2794</v>
      </c>
      <c r="B290" s="57" t="s">
        <v>31</v>
      </c>
      <c r="C290" s="58" t="s">
        <v>2795</v>
      </c>
      <c r="D290" s="57" t="s">
        <v>363</v>
      </c>
      <c r="E290" s="59" t="s">
        <v>387</v>
      </c>
      <c r="F290" s="57" t="str">
        <f t="shared" si="25"/>
        <v>Menipis</v>
      </c>
      <c r="G290" s="56">
        <v>1.0</v>
      </c>
      <c r="H290" s="60">
        <v>5500.0</v>
      </c>
      <c r="I290" s="60">
        <v>11000.0</v>
      </c>
      <c r="J290" s="60">
        <f t="shared" si="26"/>
        <v>5500</v>
      </c>
      <c r="K290" s="61">
        <f t="shared" si="27"/>
        <v>1</v>
      </c>
    </row>
    <row r="291" ht="27.75" customHeight="1">
      <c r="A291" s="56" t="s">
        <v>2796</v>
      </c>
      <c r="B291" s="57" t="s">
        <v>31</v>
      </c>
      <c r="C291" s="58" t="s">
        <v>2797</v>
      </c>
      <c r="D291" s="57" t="s">
        <v>363</v>
      </c>
      <c r="E291" s="59" t="s">
        <v>2579</v>
      </c>
      <c r="F291" s="57" t="str">
        <f t="shared" si="25"/>
        <v>Menipis</v>
      </c>
      <c r="G291" s="64">
        <v>3.0</v>
      </c>
      <c r="H291" s="60">
        <v>12500.0</v>
      </c>
      <c r="I291" s="60">
        <v>30000.0</v>
      </c>
      <c r="J291" s="60">
        <f t="shared" si="26"/>
        <v>17500</v>
      </c>
      <c r="K291" s="61">
        <f t="shared" si="27"/>
        <v>1.4</v>
      </c>
    </row>
    <row r="292" ht="27.75" customHeight="1">
      <c r="A292" s="56" t="s">
        <v>2798</v>
      </c>
      <c r="B292" s="57" t="s">
        <v>31</v>
      </c>
      <c r="C292" s="58" t="s">
        <v>2799</v>
      </c>
      <c r="D292" s="57" t="s">
        <v>363</v>
      </c>
      <c r="E292" s="59" t="s">
        <v>2579</v>
      </c>
      <c r="F292" s="57" t="str">
        <f t="shared" si="25"/>
        <v>Tersedia</v>
      </c>
      <c r="G292" s="64">
        <v>5.0</v>
      </c>
      <c r="H292" s="60">
        <v>8000.0</v>
      </c>
      <c r="I292" s="60">
        <v>20000.0</v>
      </c>
      <c r="J292" s="60">
        <f t="shared" si="26"/>
        <v>12000</v>
      </c>
      <c r="K292" s="61">
        <f t="shared" si="27"/>
        <v>1.5</v>
      </c>
    </row>
    <row r="293" ht="27.75" customHeight="1">
      <c r="A293" s="56" t="s">
        <v>2800</v>
      </c>
      <c r="B293" s="57" t="s">
        <v>31</v>
      </c>
      <c r="C293" s="58" t="s">
        <v>2801</v>
      </c>
      <c r="D293" s="57" t="s">
        <v>363</v>
      </c>
      <c r="E293" s="59" t="s">
        <v>2579</v>
      </c>
      <c r="F293" s="57" t="str">
        <f t="shared" si="25"/>
        <v>Tersedia</v>
      </c>
      <c r="G293" s="64">
        <v>4.0</v>
      </c>
      <c r="H293" s="60">
        <v>8000.0</v>
      </c>
      <c r="I293" s="60">
        <v>25000.0</v>
      </c>
      <c r="J293" s="60">
        <f t="shared" si="26"/>
        <v>17000</v>
      </c>
      <c r="K293" s="61">
        <f t="shared" si="27"/>
        <v>2.125</v>
      </c>
    </row>
    <row r="294" ht="27.75" customHeight="1">
      <c r="A294" s="56" t="s">
        <v>2805</v>
      </c>
      <c r="B294" s="57" t="s">
        <v>31</v>
      </c>
      <c r="C294" s="58" t="s">
        <v>2806</v>
      </c>
      <c r="D294" s="57" t="s">
        <v>363</v>
      </c>
      <c r="E294" s="59" t="s">
        <v>2579</v>
      </c>
      <c r="F294" s="57" t="str">
        <f t="shared" si="25"/>
        <v>Menipis</v>
      </c>
      <c r="G294" s="64">
        <v>1.0</v>
      </c>
      <c r="H294" s="60">
        <v>8500.0</v>
      </c>
      <c r="I294" s="60">
        <v>17000.0</v>
      </c>
      <c r="J294" s="60">
        <f t="shared" si="26"/>
        <v>8500</v>
      </c>
      <c r="K294" s="61">
        <f t="shared" si="27"/>
        <v>1</v>
      </c>
    </row>
    <row r="295" ht="27.75" customHeight="1">
      <c r="A295" s="56" t="s">
        <v>2807</v>
      </c>
      <c r="B295" s="57" t="s">
        <v>31</v>
      </c>
      <c r="C295" s="58" t="s">
        <v>2808</v>
      </c>
      <c r="D295" s="57" t="s">
        <v>542</v>
      </c>
      <c r="E295" s="59" t="s">
        <v>2809</v>
      </c>
      <c r="F295" s="57" t="str">
        <f t="shared" si="25"/>
        <v>Menipis</v>
      </c>
      <c r="G295" s="64">
        <v>1.0</v>
      </c>
      <c r="H295" s="60">
        <v>27500.0</v>
      </c>
      <c r="I295" s="60">
        <v>55000.0</v>
      </c>
      <c r="J295" s="60">
        <f t="shared" si="26"/>
        <v>27500</v>
      </c>
      <c r="K295" s="61">
        <f t="shared" si="27"/>
        <v>1</v>
      </c>
    </row>
    <row r="296" ht="27.75" customHeight="1">
      <c r="A296" s="56" t="s">
        <v>2810</v>
      </c>
      <c r="B296" s="57" t="s">
        <v>31</v>
      </c>
      <c r="C296" s="58" t="s">
        <v>2811</v>
      </c>
      <c r="D296" s="57" t="s">
        <v>33</v>
      </c>
      <c r="E296" s="59" t="s">
        <v>1900</v>
      </c>
      <c r="F296" s="57" t="str">
        <f t="shared" si="25"/>
        <v>Menipis</v>
      </c>
      <c r="G296" s="64">
        <v>2.0</v>
      </c>
      <c r="H296" s="60">
        <v>40000.0</v>
      </c>
      <c r="I296" s="60">
        <v>85000.0</v>
      </c>
      <c r="J296" s="60">
        <f t="shared" si="26"/>
        <v>45000</v>
      </c>
      <c r="K296" s="61">
        <f t="shared" si="27"/>
        <v>1.125</v>
      </c>
    </row>
    <row r="297" ht="27.75" customHeight="1">
      <c r="A297" s="56" t="s">
        <v>2812</v>
      </c>
      <c r="B297" s="57" t="s">
        <v>31</v>
      </c>
      <c r="C297" s="58" t="s">
        <v>2813</v>
      </c>
      <c r="D297" s="57" t="s">
        <v>1485</v>
      </c>
      <c r="E297" s="59" t="s">
        <v>1900</v>
      </c>
      <c r="F297" s="57" t="str">
        <f t="shared" si="25"/>
        <v>Tersedia</v>
      </c>
      <c r="G297" s="64">
        <v>11.0</v>
      </c>
      <c r="H297" s="60">
        <v>6700.0</v>
      </c>
      <c r="I297" s="60">
        <v>20000.0</v>
      </c>
      <c r="J297" s="60">
        <f t="shared" si="26"/>
        <v>13300</v>
      </c>
      <c r="K297" s="61">
        <f t="shared" si="27"/>
        <v>1.985074627</v>
      </c>
    </row>
    <row r="298" ht="27.75" customHeight="1">
      <c r="A298" s="56" t="s">
        <v>2814</v>
      </c>
      <c r="B298" s="57" t="s">
        <v>31</v>
      </c>
      <c r="C298" s="58" t="s">
        <v>2815</v>
      </c>
      <c r="D298" s="57" t="s">
        <v>1485</v>
      </c>
      <c r="E298" s="59" t="s">
        <v>1900</v>
      </c>
      <c r="F298" s="57" t="str">
        <f t="shared" si="25"/>
        <v>Tersedia</v>
      </c>
      <c r="G298" s="64">
        <v>17.0</v>
      </c>
      <c r="H298" s="60">
        <v>8250.0</v>
      </c>
      <c r="I298" s="60">
        <v>25000.0</v>
      </c>
      <c r="J298" s="60">
        <f t="shared" si="26"/>
        <v>16750</v>
      </c>
      <c r="K298" s="61">
        <f t="shared" si="27"/>
        <v>2.03030303</v>
      </c>
    </row>
    <row r="299" ht="27.75" customHeight="1">
      <c r="A299" s="56" t="s">
        <v>2816</v>
      </c>
      <c r="B299" s="57" t="s">
        <v>31</v>
      </c>
      <c r="C299" s="58" t="s">
        <v>2817</v>
      </c>
      <c r="D299" s="57" t="s">
        <v>1112</v>
      </c>
      <c r="E299" s="59" t="s">
        <v>1900</v>
      </c>
      <c r="F299" s="57" t="str">
        <f t="shared" si="25"/>
        <v>Menipis</v>
      </c>
      <c r="G299" s="64">
        <v>2.0</v>
      </c>
      <c r="H299" s="60">
        <v>61000.0</v>
      </c>
      <c r="I299" s="60">
        <v>95000.0</v>
      </c>
      <c r="J299" s="60">
        <f t="shared" si="26"/>
        <v>34000</v>
      </c>
      <c r="K299" s="61">
        <f t="shared" si="27"/>
        <v>0.5573770492</v>
      </c>
    </row>
    <row r="300" ht="27.75" customHeight="1">
      <c r="A300" s="56" t="s">
        <v>2818</v>
      </c>
      <c r="B300" s="57" t="s">
        <v>31</v>
      </c>
      <c r="C300" s="58" t="s">
        <v>2819</v>
      </c>
      <c r="D300" s="57" t="s">
        <v>845</v>
      </c>
      <c r="E300" s="59" t="s">
        <v>1900</v>
      </c>
      <c r="F300" s="57" t="str">
        <f t="shared" si="25"/>
        <v>Menipis</v>
      </c>
      <c r="G300" s="64">
        <v>2.0</v>
      </c>
      <c r="H300" s="60">
        <v>25000.0</v>
      </c>
      <c r="I300" s="60">
        <v>50000.0</v>
      </c>
      <c r="J300" s="60">
        <f t="shared" si="26"/>
        <v>25000</v>
      </c>
      <c r="K300" s="61">
        <f t="shared" si="27"/>
        <v>1</v>
      </c>
    </row>
    <row r="301" ht="27.75" customHeight="1">
      <c r="A301" s="56" t="s">
        <v>2820</v>
      </c>
      <c r="B301" s="57" t="s">
        <v>31</v>
      </c>
      <c r="C301" s="58" t="s">
        <v>2821</v>
      </c>
      <c r="D301" s="57" t="s">
        <v>341</v>
      </c>
      <c r="E301" s="59" t="s">
        <v>1900</v>
      </c>
      <c r="F301" s="57" t="str">
        <f t="shared" si="25"/>
        <v>Menipis</v>
      </c>
      <c r="G301" s="64">
        <v>1.0</v>
      </c>
      <c r="H301" s="60">
        <v>25000.0</v>
      </c>
      <c r="I301" s="60">
        <v>50000.0</v>
      </c>
      <c r="J301" s="60">
        <f t="shared" si="26"/>
        <v>25000</v>
      </c>
      <c r="K301" s="61">
        <f t="shared" si="27"/>
        <v>1</v>
      </c>
    </row>
    <row r="302" ht="27.75" customHeight="1">
      <c r="A302" s="56" t="s">
        <v>2829</v>
      </c>
      <c r="B302" s="57" t="s">
        <v>31</v>
      </c>
      <c r="C302" s="62" t="s">
        <v>2830</v>
      </c>
      <c r="D302" s="57" t="s">
        <v>341</v>
      </c>
      <c r="E302" s="59" t="s">
        <v>1900</v>
      </c>
      <c r="F302" s="57" t="str">
        <f t="shared" si="25"/>
        <v>Menipis</v>
      </c>
      <c r="G302" s="64">
        <v>3.0</v>
      </c>
      <c r="H302" s="60">
        <v>50000.0</v>
      </c>
      <c r="I302" s="60">
        <v>75000.0</v>
      </c>
      <c r="J302" s="60">
        <f t="shared" si="26"/>
        <v>25000</v>
      </c>
      <c r="K302" s="61">
        <f t="shared" si="27"/>
        <v>0.5</v>
      </c>
    </row>
    <row r="303" ht="27.75" customHeight="1">
      <c r="A303" s="56" t="s">
        <v>2831</v>
      </c>
      <c r="B303" s="57" t="s">
        <v>31</v>
      </c>
      <c r="C303" s="58" t="s">
        <v>2832</v>
      </c>
      <c r="D303" s="57" t="s">
        <v>341</v>
      </c>
      <c r="E303" s="59" t="s">
        <v>1900</v>
      </c>
      <c r="F303" s="57" t="str">
        <f t="shared" si="25"/>
        <v>Menipis</v>
      </c>
      <c r="G303" s="64">
        <v>2.0</v>
      </c>
      <c r="H303" s="60">
        <v>13500.0</v>
      </c>
      <c r="I303" s="60">
        <v>40000.0</v>
      </c>
      <c r="J303" s="60">
        <f t="shared" si="26"/>
        <v>26500</v>
      </c>
      <c r="K303" s="61">
        <f t="shared" si="27"/>
        <v>1.962962963</v>
      </c>
    </row>
    <row r="304" ht="27.75" customHeight="1">
      <c r="A304" s="56" t="s">
        <v>2860</v>
      </c>
      <c r="B304" s="57" t="s">
        <v>31</v>
      </c>
      <c r="C304" s="58" t="s">
        <v>2864</v>
      </c>
      <c r="D304" s="57" t="s">
        <v>1176</v>
      </c>
      <c r="E304" s="59" t="s">
        <v>1900</v>
      </c>
      <c r="F304" s="57" t="str">
        <f t="shared" si="25"/>
        <v>Menipis</v>
      </c>
      <c r="G304" s="64">
        <v>1.0</v>
      </c>
      <c r="H304" s="60">
        <v>8000.0</v>
      </c>
      <c r="I304" s="60">
        <v>15000.0</v>
      </c>
      <c r="J304" s="60">
        <f t="shared" si="26"/>
        <v>7000</v>
      </c>
      <c r="K304" s="61">
        <f t="shared" si="27"/>
        <v>0.875</v>
      </c>
    </row>
    <row r="305" ht="27.75" customHeight="1">
      <c r="A305" s="56" t="s">
        <v>2869</v>
      </c>
      <c r="B305" s="57" t="s">
        <v>31</v>
      </c>
      <c r="C305" s="58" t="s">
        <v>2870</v>
      </c>
      <c r="D305" s="57" t="s">
        <v>341</v>
      </c>
      <c r="E305" s="59" t="s">
        <v>1900</v>
      </c>
      <c r="F305" s="57" t="str">
        <f t="shared" si="25"/>
        <v>Menipis</v>
      </c>
      <c r="G305" s="64">
        <v>1.0</v>
      </c>
      <c r="H305" s="60">
        <v>25000.0</v>
      </c>
      <c r="I305" s="60">
        <v>40000.0</v>
      </c>
      <c r="J305" s="60">
        <f t="shared" si="26"/>
        <v>15000</v>
      </c>
      <c r="K305" s="61">
        <f t="shared" si="27"/>
        <v>0.6</v>
      </c>
    </row>
    <row r="306" ht="27.75" customHeight="1">
      <c r="A306" s="56" t="s">
        <v>2871</v>
      </c>
      <c r="B306" s="57" t="s">
        <v>31</v>
      </c>
      <c r="C306" s="58" t="s">
        <v>2872</v>
      </c>
      <c r="D306" s="57" t="s">
        <v>341</v>
      </c>
      <c r="E306" s="59" t="s">
        <v>1900</v>
      </c>
      <c r="F306" s="57" t="str">
        <f t="shared" si="25"/>
        <v>Tersedia</v>
      </c>
      <c r="G306" s="64">
        <v>78.0</v>
      </c>
      <c r="H306" s="60">
        <v>11500.0</v>
      </c>
      <c r="I306" s="60">
        <v>20000.0</v>
      </c>
      <c r="J306" s="60">
        <f t="shared" si="26"/>
        <v>8500</v>
      </c>
      <c r="K306" s="61">
        <f t="shared" si="27"/>
        <v>0.7391304348</v>
      </c>
    </row>
    <row r="307" ht="27.75" customHeight="1">
      <c r="A307" s="56" t="s">
        <v>2873</v>
      </c>
      <c r="B307" s="57" t="s">
        <v>31</v>
      </c>
      <c r="C307" s="58" t="s">
        <v>2874</v>
      </c>
      <c r="D307" s="57" t="s">
        <v>341</v>
      </c>
      <c r="E307" s="59" t="s">
        <v>1900</v>
      </c>
      <c r="F307" s="57" t="str">
        <f t="shared" si="25"/>
        <v>Tersedia</v>
      </c>
      <c r="G307" s="64">
        <v>18.0</v>
      </c>
      <c r="H307" s="60">
        <v>14000.0</v>
      </c>
      <c r="I307" s="60">
        <v>25000.0</v>
      </c>
      <c r="J307" s="60">
        <f t="shared" si="26"/>
        <v>11000</v>
      </c>
      <c r="K307" s="61">
        <f t="shared" si="27"/>
        <v>0.7857142857</v>
      </c>
    </row>
    <row r="308" ht="27.75" customHeight="1">
      <c r="A308" s="56" t="s">
        <v>2875</v>
      </c>
      <c r="B308" s="57" t="s">
        <v>31</v>
      </c>
      <c r="C308" s="58" t="s">
        <v>2876</v>
      </c>
      <c r="D308" s="57" t="s">
        <v>341</v>
      </c>
      <c r="E308" s="59" t="s">
        <v>1900</v>
      </c>
      <c r="F308" s="57" t="str">
        <f t="shared" si="25"/>
        <v>Tersedia</v>
      </c>
      <c r="G308" s="64">
        <v>142.0</v>
      </c>
      <c r="H308" s="60">
        <v>25000.0</v>
      </c>
      <c r="I308" s="60">
        <v>30000.0</v>
      </c>
      <c r="J308" s="60">
        <f t="shared" si="26"/>
        <v>5000</v>
      </c>
      <c r="K308" s="61">
        <f t="shared" si="27"/>
        <v>0.2</v>
      </c>
    </row>
    <row r="309" ht="27.75" customHeight="1">
      <c r="A309" s="56" t="s">
        <v>2877</v>
      </c>
      <c r="B309" s="57" t="s">
        <v>31</v>
      </c>
      <c r="C309" s="58" t="s">
        <v>2878</v>
      </c>
      <c r="D309" s="57" t="s">
        <v>542</v>
      </c>
      <c r="E309" s="59" t="s">
        <v>1900</v>
      </c>
      <c r="F309" s="57" t="str">
        <f t="shared" si="25"/>
        <v>Menipis</v>
      </c>
      <c r="G309" s="64">
        <v>1.0</v>
      </c>
      <c r="H309" s="60">
        <v>28750.0</v>
      </c>
      <c r="I309" s="60">
        <v>45000.0</v>
      </c>
      <c r="J309" s="60">
        <f t="shared" si="26"/>
        <v>16250</v>
      </c>
      <c r="K309" s="61">
        <f t="shared" si="27"/>
        <v>0.5652173913</v>
      </c>
    </row>
    <row r="310" ht="27.75" customHeight="1">
      <c r="A310" s="56" t="s">
        <v>2879</v>
      </c>
      <c r="B310" s="57" t="s">
        <v>31</v>
      </c>
      <c r="C310" s="58" t="s">
        <v>2880</v>
      </c>
      <c r="D310" s="57" t="s">
        <v>542</v>
      </c>
      <c r="E310" s="59" t="s">
        <v>1900</v>
      </c>
      <c r="F310" s="57" t="str">
        <f t="shared" si="25"/>
        <v>Menipis</v>
      </c>
      <c r="G310" s="64">
        <v>2.0</v>
      </c>
      <c r="H310" s="60">
        <v>35000.0</v>
      </c>
      <c r="I310" s="60">
        <v>70000.0</v>
      </c>
      <c r="J310" s="60">
        <f t="shared" si="26"/>
        <v>35000</v>
      </c>
      <c r="K310" s="61">
        <f t="shared" si="27"/>
        <v>1</v>
      </c>
    </row>
    <row r="311" ht="27.75" customHeight="1">
      <c r="A311" s="56" t="s">
        <v>2881</v>
      </c>
      <c r="B311" s="57" t="s">
        <v>31</v>
      </c>
      <c r="C311" s="58" t="s">
        <v>2882</v>
      </c>
      <c r="D311" s="57" t="s">
        <v>542</v>
      </c>
      <c r="E311" s="59" t="s">
        <v>1900</v>
      </c>
      <c r="F311" s="57" t="str">
        <f t="shared" si="25"/>
        <v>Tersedia</v>
      </c>
      <c r="G311" s="64">
        <v>10.0</v>
      </c>
      <c r="H311" s="60">
        <v>12000.0</v>
      </c>
      <c r="I311" s="60">
        <v>30000.0</v>
      </c>
      <c r="J311" s="60">
        <f t="shared" si="26"/>
        <v>18000</v>
      </c>
      <c r="K311" s="61">
        <f t="shared" si="27"/>
        <v>1.5</v>
      </c>
    </row>
    <row r="312" ht="27.75" customHeight="1">
      <c r="A312" s="56" t="s">
        <v>2883</v>
      </c>
      <c r="B312" s="57" t="s">
        <v>31</v>
      </c>
      <c r="C312" s="58" t="s">
        <v>2884</v>
      </c>
      <c r="D312" s="57" t="s">
        <v>542</v>
      </c>
      <c r="E312" s="59" t="s">
        <v>1900</v>
      </c>
      <c r="F312" s="57" t="str">
        <f t="shared" si="25"/>
        <v>Menipis</v>
      </c>
      <c r="G312" s="64">
        <v>2.0</v>
      </c>
      <c r="H312" s="60">
        <v>40000.0</v>
      </c>
      <c r="I312" s="60">
        <v>70000.0</v>
      </c>
      <c r="J312" s="60">
        <f t="shared" si="26"/>
        <v>30000</v>
      </c>
      <c r="K312" s="61">
        <f t="shared" si="27"/>
        <v>0.75</v>
      </c>
    </row>
    <row r="313" ht="27.75" customHeight="1">
      <c r="A313" s="56" t="s">
        <v>2886</v>
      </c>
      <c r="B313" s="57" t="s">
        <v>31</v>
      </c>
      <c r="C313" s="58" t="s">
        <v>2887</v>
      </c>
      <c r="D313" s="57" t="s">
        <v>542</v>
      </c>
      <c r="E313" s="59" t="s">
        <v>1900</v>
      </c>
      <c r="F313" s="57" t="str">
        <f t="shared" si="25"/>
        <v>Menipis</v>
      </c>
      <c r="G313" s="64">
        <v>2.0</v>
      </c>
      <c r="H313" s="60">
        <v>45000.0</v>
      </c>
      <c r="I313" s="60">
        <v>75000.0</v>
      </c>
      <c r="J313" s="60">
        <f t="shared" si="26"/>
        <v>30000</v>
      </c>
      <c r="K313" s="61">
        <f t="shared" si="27"/>
        <v>0.6666666667</v>
      </c>
    </row>
    <row r="314" ht="27.75" customHeight="1">
      <c r="A314" s="56" t="s">
        <v>2888</v>
      </c>
      <c r="B314" s="57" t="s">
        <v>31</v>
      </c>
      <c r="C314" s="58" t="s">
        <v>2889</v>
      </c>
      <c r="D314" s="57" t="s">
        <v>542</v>
      </c>
      <c r="E314" s="59" t="s">
        <v>1900</v>
      </c>
      <c r="F314" s="57" t="str">
        <f t="shared" si="25"/>
        <v>Menipis</v>
      </c>
      <c r="G314" s="64">
        <v>3.0</v>
      </c>
      <c r="H314" s="60">
        <v>20000.0</v>
      </c>
      <c r="I314" s="60">
        <v>40000.0</v>
      </c>
      <c r="J314" s="60">
        <f t="shared" si="26"/>
        <v>20000</v>
      </c>
      <c r="K314" s="61">
        <f t="shared" si="27"/>
        <v>1</v>
      </c>
    </row>
    <row r="315" ht="27.75" customHeight="1">
      <c r="A315" s="56" t="s">
        <v>2890</v>
      </c>
      <c r="B315" s="57" t="s">
        <v>31</v>
      </c>
      <c r="C315" s="58" t="s">
        <v>2891</v>
      </c>
      <c r="D315" s="57" t="s">
        <v>2410</v>
      </c>
      <c r="E315" s="59" t="s">
        <v>1900</v>
      </c>
      <c r="F315" s="57" t="str">
        <f t="shared" si="25"/>
        <v>Menipis</v>
      </c>
      <c r="G315" s="64">
        <v>1.0</v>
      </c>
      <c r="H315" s="60">
        <v>15000.0</v>
      </c>
      <c r="I315" s="60">
        <v>30000.0</v>
      </c>
      <c r="J315" s="60">
        <f t="shared" si="26"/>
        <v>15000</v>
      </c>
      <c r="K315" s="61">
        <f t="shared" si="27"/>
        <v>1</v>
      </c>
    </row>
    <row r="316" ht="27.75" customHeight="1">
      <c r="A316" s="56" t="s">
        <v>2892</v>
      </c>
      <c r="B316" s="57" t="s">
        <v>31</v>
      </c>
      <c r="C316" s="58" t="s">
        <v>2893</v>
      </c>
      <c r="D316" s="57" t="s">
        <v>542</v>
      </c>
      <c r="E316" s="59" t="s">
        <v>1900</v>
      </c>
      <c r="F316" s="57" t="str">
        <f t="shared" si="25"/>
        <v>Menipis</v>
      </c>
      <c r="G316" s="64">
        <v>1.0</v>
      </c>
      <c r="H316" s="60">
        <v>11000.0</v>
      </c>
      <c r="I316" s="60">
        <v>25000.0</v>
      </c>
      <c r="J316" s="60">
        <f t="shared" si="26"/>
        <v>14000</v>
      </c>
      <c r="K316" s="61">
        <f t="shared" si="27"/>
        <v>1.272727273</v>
      </c>
    </row>
    <row r="317" ht="27.75" customHeight="1">
      <c r="A317" s="56" t="s">
        <v>2894</v>
      </c>
      <c r="B317" s="57" t="s">
        <v>31</v>
      </c>
      <c r="C317" s="58" t="s">
        <v>2895</v>
      </c>
      <c r="D317" s="57" t="s">
        <v>363</v>
      </c>
      <c r="E317" s="59" t="s">
        <v>1900</v>
      </c>
      <c r="F317" s="57" t="str">
        <f t="shared" si="25"/>
        <v>Tersedia</v>
      </c>
      <c r="G317" s="64">
        <v>12.0</v>
      </c>
      <c r="H317" s="60">
        <v>4350.0</v>
      </c>
      <c r="I317" s="60">
        <v>20000.0</v>
      </c>
      <c r="J317" s="60">
        <f t="shared" si="26"/>
        <v>15650</v>
      </c>
      <c r="K317" s="61">
        <f t="shared" si="27"/>
        <v>3.597701149</v>
      </c>
    </row>
    <row r="318" ht="27.75" customHeight="1">
      <c r="A318" s="56" t="s">
        <v>2896</v>
      </c>
      <c r="B318" s="57" t="s">
        <v>31</v>
      </c>
      <c r="C318" s="58" t="s">
        <v>2897</v>
      </c>
      <c r="D318" s="57" t="s">
        <v>363</v>
      </c>
      <c r="E318" s="59" t="s">
        <v>1900</v>
      </c>
      <c r="F318" s="57" t="str">
        <f t="shared" si="25"/>
        <v>Tersedia</v>
      </c>
      <c r="G318" s="64">
        <v>20.0</v>
      </c>
      <c r="H318" s="60">
        <v>4000.0</v>
      </c>
      <c r="I318" s="60">
        <v>15000.0</v>
      </c>
      <c r="J318" s="60">
        <f t="shared" si="26"/>
        <v>11000</v>
      </c>
      <c r="K318" s="61">
        <f t="shared" si="27"/>
        <v>2.75</v>
      </c>
    </row>
    <row r="319" ht="27.75" customHeight="1">
      <c r="A319" s="56" t="s">
        <v>2898</v>
      </c>
      <c r="B319" s="57" t="s">
        <v>31</v>
      </c>
      <c r="C319" s="58" t="s">
        <v>2899</v>
      </c>
      <c r="D319" s="57" t="s">
        <v>363</v>
      </c>
      <c r="E319" s="59" t="s">
        <v>1900</v>
      </c>
      <c r="F319" s="57" t="str">
        <f t="shared" si="25"/>
        <v>Menipis</v>
      </c>
      <c r="G319" s="64">
        <v>1.0</v>
      </c>
      <c r="H319" s="60">
        <v>8000.0</v>
      </c>
      <c r="I319" s="60">
        <v>25000.0</v>
      </c>
      <c r="J319" s="60">
        <f t="shared" si="26"/>
        <v>17000</v>
      </c>
      <c r="K319" s="61">
        <f t="shared" si="27"/>
        <v>2.125</v>
      </c>
    </row>
    <row r="320" ht="27.75" customHeight="1">
      <c r="A320" s="56" t="s">
        <v>2900</v>
      </c>
      <c r="B320" s="57" t="s">
        <v>31</v>
      </c>
      <c r="C320" s="58" t="s">
        <v>2901</v>
      </c>
      <c r="D320" s="57" t="s">
        <v>363</v>
      </c>
      <c r="E320" s="59" t="s">
        <v>1900</v>
      </c>
      <c r="F320" s="57" t="str">
        <f t="shared" si="25"/>
        <v>Menipis</v>
      </c>
      <c r="G320" s="64">
        <v>2.0</v>
      </c>
      <c r="H320" s="60">
        <v>7000.0</v>
      </c>
      <c r="I320" s="60">
        <v>25000.0</v>
      </c>
      <c r="J320" s="60">
        <f t="shared" si="26"/>
        <v>18000</v>
      </c>
      <c r="K320" s="61">
        <f t="shared" si="27"/>
        <v>2.571428571</v>
      </c>
    </row>
    <row r="321" ht="27.75" customHeight="1">
      <c r="A321" s="56" t="s">
        <v>2902</v>
      </c>
      <c r="B321" s="57" t="s">
        <v>31</v>
      </c>
      <c r="C321" s="58" t="s">
        <v>2903</v>
      </c>
      <c r="D321" s="57" t="s">
        <v>363</v>
      </c>
      <c r="E321" s="59" t="s">
        <v>1900</v>
      </c>
      <c r="F321" s="57" t="str">
        <f t="shared" si="25"/>
        <v>Menipis</v>
      </c>
      <c r="G321" s="64">
        <v>1.0</v>
      </c>
      <c r="H321" s="60">
        <v>7000.0</v>
      </c>
      <c r="I321" s="60">
        <v>20000.0</v>
      </c>
      <c r="J321" s="60">
        <f t="shared" si="26"/>
        <v>13000</v>
      </c>
      <c r="K321" s="61">
        <f t="shared" si="27"/>
        <v>1.857142857</v>
      </c>
    </row>
    <row r="322" ht="27.75" customHeight="1">
      <c r="A322" s="56" t="s">
        <v>2904</v>
      </c>
      <c r="B322" s="57" t="s">
        <v>31</v>
      </c>
      <c r="C322" s="58" t="s">
        <v>2905</v>
      </c>
      <c r="D322" s="57" t="s">
        <v>363</v>
      </c>
      <c r="E322" s="59" t="s">
        <v>1900</v>
      </c>
      <c r="F322" s="57" t="str">
        <f t="shared" si="25"/>
        <v>Menipis</v>
      </c>
      <c r="G322" s="64">
        <v>3.0</v>
      </c>
      <c r="H322" s="60">
        <v>6000.0</v>
      </c>
      <c r="I322" s="60">
        <v>20000.0</v>
      </c>
      <c r="J322" s="60">
        <f t="shared" si="26"/>
        <v>14000</v>
      </c>
      <c r="K322" s="61">
        <f t="shared" si="27"/>
        <v>2.333333333</v>
      </c>
    </row>
    <row r="323" ht="27.75" customHeight="1">
      <c r="A323" s="56" t="s">
        <v>2906</v>
      </c>
      <c r="B323" s="57" t="s">
        <v>31</v>
      </c>
      <c r="C323" s="58" t="s">
        <v>2907</v>
      </c>
      <c r="D323" s="57" t="s">
        <v>363</v>
      </c>
      <c r="E323" s="59" t="s">
        <v>1900</v>
      </c>
      <c r="F323" s="57" t="str">
        <f t="shared" si="25"/>
        <v>Tersedia</v>
      </c>
      <c r="G323" s="64">
        <v>17.0</v>
      </c>
      <c r="H323" s="60">
        <v>6000.0</v>
      </c>
      <c r="I323" s="60">
        <v>20000.0</v>
      </c>
      <c r="J323" s="60">
        <f t="shared" si="26"/>
        <v>14000</v>
      </c>
      <c r="K323" s="61">
        <f t="shared" si="27"/>
        <v>2.333333333</v>
      </c>
    </row>
    <row r="324" ht="27.75" customHeight="1">
      <c r="A324" s="56" t="s">
        <v>2908</v>
      </c>
      <c r="B324" s="57" t="s">
        <v>31</v>
      </c>
      <c r="C324" s="58" t="s">
        <v>2909</v>
      </c>
      <c r="D324" s="57" t="s">
        <v>363</v>
      </c>
      <c r="E324" s="59" t="s">
        <v>1900</v>
      </c>
      <c r="F324" s="57" t="str">
        <f t="shared" si="25"/>
        <v>Tersedia</v>
      </c>
      <c r="G324" s="64">
        <v>16.0</v>
      </c>
      <c r="H324" s="60">
        <v>7000.0</v>
      </c>
      <c r="I324" s="60">
        <v>20000.0</v>
      </c>
      <c r="J324" s="60">
        <f t="shared" si="26"/>
        <v>13000</v>
      </c>
      <c r="K324" s="61">
        <f t="shared" si="27"/>
        <v>1.857142857</v>
      </c>
    </row>
    <row r="325" ht="27.75" customHeight="1">
      <c r="A325" s="56" t="s">
        <v>2910</v>
      </c>
      <c r="B325" s="57" t="s">
        <v>31</v>
      </c>
      <c r="C325" s="58" t="s">
        <v>2911</v>
      </c>
      <c r="D325" s="57" t="s">
        <v>363</v>
      </c>
      <c r="E325" s="59" t="s">
        <v>1900</v>
      </c>
      <c r="F325" s="57" t="str">
        <f t="shared" si="25"/>
        <v>Habis</v>
      </c>
      <c r="G325" s="64">
        <v>0.0</v>
      </c>
      <c r="H325" s="60">
        <v>11000.0</v>
      </c>
      <c r="I325" s="60">
        <v>22000.0</v>
      </c>
      <c r="J325" s="60">
        <f t="shared" si="26"/>
        <v>11000</v>
      </c>
      <c r="K325" s="61">
        <f t="shared" si="27"/>
        <v>1</v>
      </c>
    </row>
    <row r="326" ht="27.75" customHeight="1">
      <c r="A326" s="56" t="s">
        <v>2912</v>
      </c>
      <c r="B326" s="57" t="s">
        <v>31</v>
      </c>
      <c r="C326" s="58" t="s">
        <v>2913</v>
      </c>
      <c r="D326" s="57" t="s">
        <v>363</v>
      </c>
      <c r="E326" s="59" t="s">
        <v>1900</v>
      </c>
      <c r="F326" s="57" t="str">
        <f t="shared" si="25"/>
        <v>Habis</v>
      </c>
      <c r="G326" s="64">
        <v>0.0</v>
      </c>
      <c r="H326" s="60">
        <v>10000.0</v>
      </c>
      <c r="I326" s="60">
        <v>20000.0</v>
      </c>
      <c r="J326" s="60">
        <f t="shared" si="26"/>
        <v>10000</v>
      </c>
      <c r="K326" s="61">
        <f t="shared" si="27"/>
        <v>1</v>
      </c>
    </row>
    <row r="327" ht="27.75" customHeight="1">
      <c r="A327" s="56" t="s">
        <v>2914</v>
      </c>
      <c r="B327" s="57" t="s">
        <v>31</v>
      </c>
      <c r="C327" s="58" t="s">
        <v>2915</v>
      </c>
      <c r="D327" s="57" t="s">
        <v>845</v>
      </c>
      <c r="E327" s="59" t="s">
        <v>1900</v>
      </c>
      <c r="F327" s="57" t="str">
        <f t="shared" si="25"/>
        <v>Habis</v>
      </c>
      <c r="G327" s="64">
        <v>0.0</v>
      </c>
      <c r="H327" s="60">
        <v>11000.0</v>
      </c>
      <c r="I327" s="60">
        <v>22000.0</v>
      </c>
      <c r="J327" s="60">
        <f t="shared" si="26"/>
        <v>11000</v>
      </c>
      <c r="K327" s="61">
        <f t="shared" si="27"/>
        <v>1</v>
      </c>
    </row>
    <row r="328" ht="27.75" customHeight="1">
      <c r="A328" s="56" t="s">
        <v>2916</v>
      </c>
      <c r="B328" s="57" t="s">
        <v>31</v>
      </c>
      <c r="C328" s="58" t="s">
        <v>2917</v>
      </c>
      <c r="D328" s="57" t="s">
        <v>845</v>
      </c>
      <c r="E328" s="59" t="s">
        <v>1900</v>
      </c>
      <c r="F328" s="57" t="str">
        <f t="shared" si="25"/>
        <v>Habis</v>
      </c>
      <c r="G328" s="64">
        <v>0.0</v>
      </c>
      <c r="H328" s="60">
        <v>12000.0</v>
      </c>
      <c r="I328" s="60">
        <v>24000.0</v>
      </c>
      <c r="J328" s="60">
        <f t="shared" si="26"/>
        <v>12000</v>
      </c>
      <c r="K328" s="61"/>
    </row>
    <row r="329" ht="27.75" customHeight="1">
      <c r="A329" s="56" t="s">
        <v>2918</v>
      </c>
      <c r="B329" s="57" t="s">
        <v>31</v>
      </c>
      <c r="C329" s="58" t="s">
        <v>2919</v>
      </c>
      <c r="D329" s="57" t="s">
        <v>1485</v>
      </c>
      <c r="E329" s="59" t="s">
        <v>1900</v>
      </c>
      <c r="F329" s="57" t="str">
        <f t="shared" si="25"/>
        <v>Habis</v>
      </c>
      <c r="G329" s="64">
        <v>0.0</v>
      </c>
      <c r="H329" s="60">
        <v>6500.0</v>
      </c>
      <c r="I329" s="60">
        <v>20000.0</v>
      </c>
      <c r="J329" s="60">
        <f t="shared" si="26"/>
        <v>13500</v>
      </c>
      <c r="K329" s="61"/>
    </row>
    <row r="330" ht="27.75" customHeight="1">
      <c r="A330" s="56" t="s">
        <v>2920</v>
      </c>
      <c r="B330" s="57" t="s">
        <v>31</v>
      </c>
      <c r="C330" s="58" t="s">
        <v>2921</v>
      </c>
      <c r="D330" s="57" t="s">
        <v>1485</v>
      </c>
      <c r="E330" s="59" t="s">
        <v>1900</v>
      </c>
      <c r="F330" s="57" t="str">
        <f t="shared" si="25"/>
        <v>Habis</v>
      </c>
      <c r="G330" s="64">
        <v>0.0</v>
      </c>
      <c r="H330" s="60">
        <v>4600.0</v>
      </c>
      <c r="I330" s="60">
        <v>15000.0</v>
      </c>
      <c r="J330" s="60">
        <f t="shared" si="26"/>
        <v>10400</v>
      </c>
      <c r="K330" s="61"/>
    </row>
    <row r="331" ht="27.75" customHeight="1">
      <c r="A331" s="56" t="s">
        <v>2922</v>
      </c>
      <c r="B331" s="57" t="s">
        <v>31</v>
      </c>
      <c r="C331" s="58" t="s">
        <v>2923</v>
      </c>
      <c r="D331" s="57" t="s">
        <v>542</v>
      </c>
      <c r="E331" s="59" t="s">
        <v>1900</v>
      </c>
      <c r="F331" s="57" t="str">
        <f t="shared" si="25"/>
        <v>Habis</v>
      </c>
      <c r="G331" s="64">
        <v>0.0</v>
      </c>
      <c r="H331" s="60">
        <v>21000.0</v>
      </c>
      <c r="I331" s="60">
        <v>45000.0</v>
      </c>
      <c r="J331" s="60">
        <f t="shared" si="26"/>
        <v>24000</v>
      </c>
      <c r="K331" s="61"/>
    </row>
    <row r="332" ht="27.75" customHeight="1">
      <c r="A332" s="56" t="s">
        <v>2924</v>
      </c>
      <c r="B332" s="57" t="s">
        <v>31</v>
      </c>
      <c r="C332" s="58" t="s">
        <v>2925</v>
      </c>
      <c r="D332" s="57" t="s">
        <v>542</v>
      </c>
      <c r="E332" s="59" t="s">
        <v>1900</v>
      </c>
      <c r="F332" s="57" t="str">
        <f t="shared" si="25"/>
        <v>Habis</v>
      </c>
      <c r="G332" s="64">
        <v>0.0</v>
      </c>
      <c r="H332" s="60">
        <v>19000.0</v>
      </c>
      <c r="I332" s="60">
        <v>35000.0</v>
      </c>
      <c r="J332" s="60">
        <f t="shared" si="26"/>
        <v>16000</v>
      </c>
      <c r="K332" s="61"/>
    </row>
    <row r="333" ht="27.75" customHeight="1">
      <c r="A333" s="56" t="s">
        <v>2926</v>
      </c>
      <c r="B333" s="57" t="s">
        <v>31</v>
      </c>
      <c r="C333" s="58" t="s">
        <v>2927</v>
      </c>
      <c r="D333" s="57" t="s">
        <v>542</v>
      </c>
      <c r="E333" s="59" t="s">
        <v>1900</v>
      </c>
      <c r="F333" s="57" t="str">
        <f t="shared" si="25"/>
        <v>Habis</v>
      </c>
      <c r="G333" s="64">
        <v>0.0</v>
      </c>
      <c r="H333" s="60">
        <v>11000.0</v>
      </c>
      <c r="I333" s="60">
        <v>25000.0</v>
      </c>
      <c r="J333" s="60">
        <f t="shared" si="26"/>
        <v>14000</v>
      </c>
      <c r="K333" s="61"/>
    </row>
    <row r="334" ht="27.75" customHeight="1">
      <c r="A334" s="56" t="s">
        <v>2928</v>
      </c>
      <c r="B334" s="57" t="s">
        <v>31</v>
      </c>
      <c r="C334" s="58" t="s">
        <v>2929</v>
      </c>
      <c r="D334" s="57" t="s">
        <v>542</v>
      </c>
      <c r="E334" s="59" t="s">
        <v>1900</v>
      </c>
      <c r="F334" s="57" t="str">
        <f t="shared" si="25"/>
        <v>Habis</v>
      </c>
      <c r="G334" s="64">
        <v>0.0</v>
      </c>
      <c r="H334" s="60">
        <v>13000.0</v>
      </c>
      <c r="I334" s="60">
        <v>30000.0</v>
      </c>
      <c r="J334" s="60">
        <f t="shared" si="26"/>
        <v>17000</v>
      </c>
      <c r="K334" s="61"/>
    </row>
    <row r="335" ht="27.75" customHeight="1">
      <c r="A335" s="56" t="s">
        <v>2930</v>
      </c>
      <c r="B335" s="57" t="s">
        <v>31</v>
      </c>
      <c r="C335" s="58" t="s">
        <v>2931</v>
      </c>
      <c r="D335" s="65" t="s">
        <v>341</v>
      </c>
      <c r="E335" s="59" t="s">
        <v>1900</v>
      </c>
      <c r="F335" s="57" t="str">
        <f t="shared" si="25"/>
        <v>Tersedia</v>
      </c>
      <c r="G335" s="64">
        <v>40.0</v>
      </c>
      <c r="H335" s="60">
        <v>15500.0</v>
      </c>
      <c r="I335" s="60">
        <v>35000.0</v>
      </c>
      <c r="J335" s="60">
        <f t="shared" si="26"/>
        <v>19500</v>
      </c>
      <c r="K335" s="61">
        <f>J335/H335*100%</f>
        <v>1.258064516</v>
      </c>
    </row>
    <row r="336" ht="27.75" customHeight="1">
      <c r="A336" s="56" t="s">
        <v>2932</v>
      </c>
      <c r="B336" s="57" t="s">
        <v>1172</v>
      </c>
      <c r="C336" s="58" t="s">
        <v>2933</v>
      </c>
      <c r="D336" s="57" t="s">
        <v>2837</v>
      </c>
      <c r="E336" s="159" t="s">
        <v>2934</v>
      </c>
      <c r="F336" s="57" t="s">
        <v>1180</v>
      </c>
      <c r="G336" s="64">
        <v>3.0</v>
      </c>
      <c r="H336" s="60">
        <v>17500.0</v>
      </c>
      <c r="I336" s="60">
        <v>35000.0</v>
      </c>
      <c r="J336" s="60">
        <v>17500.0</v>
      </c>
      <c r="K336" s="61">
        <v>1.0</v>
      </c>
    </row>
    <row r="337" ht="27.75" customHeight="1">
      <c r="A337" s="56" t="s">
        <v>2935</v>
      </c>
      <c r="B337" s="57" t="s">
        <v>1172</v>
      </c>
      <c r="C337" s="58" t="s">
        <v>2936</v>
      </c>
      <c r="D337" s="57" t="s">
        <v>510</v>
      </c>
      <c r="E337" s="159" t="s">
        <v>2934</v>
      </c>
      <c r="F337" s="57" t="s">
        <v>1180</v>
      </c>
      <c r="G337" s="64">
        <v>2.0</v>
      </c>
      <c r="H337" s="60">
        <v>17000.0</v>
      </c>
      <c r="I337" s="60">
        <v>35000.0</v>
      </c>
      <c r="J337" s="60">
        <v>18000.0</v>
      </c>
      <c r="K337" s="61">
        <v>1.06</v>
      </c>
    </row>
    <row r="338" ht="27.75" customHeight="1">
      <c r="A338" s="56" t="s">
        <v>2937</v>
      </c>
      <c r="B338" s="57" t="s">
        <v>1172</v>
      </c>
      <c r="C338" s="58" t="s">
        <v>2938</v>
      </c>
      <c r="D338" s="57" t="s">
        <v>2410</v>
      </c>
      <c r="E338" s="159" t="s">
        <v>2934</v>
      </c>
      <c r="F338" s="57" t="s">
        <v>1180</v>
      </c>
      <c r="G338" s="64">
        <v>1.0</v>
      </c>
      <c r="H338" s="60">
        <v>15000.0</v>
      </c>
      <c r="I338" s="60">
        <v>30000.0</v>
      </c>
      <c r="J338" s="60">
        <v>15000.0</v>
      </c>
      <c r="K338" s="61">
        <v>1.0</v>
      </c>
    </row>
    <row r="339" ht="27.75" customHeight="1">
      <c r="A339" s="56" t="s">
        <v>2939</v>
      </c>
      <c r="B339" s="57" t="s">
        <v>1172</v>
      </c>
      <c r="C339" s="58" t="s">
        <v>2940</v>
      </c>
      <c r="D339" s="57" t="s">
        <v>1176</v>
      </c>
      <c r="E339" s="159" t="s">
        <v>387</v>
      </c>
      <c r="F339" s="57" t="s">
        <v>1180</v>
      </c>
      <c r="G339" s="64">
        <v>1.0</v>
      </c>
      <c r="H339" s="60">
        <v>42500.0</v>
      </c>
      <c r="I339" s="60">
        <v>80000.0</v>
      </c>
      <c r="J339" s="60">
        <v>37500.0</v>
      </c>
      <c r="K339" s="61">
        <v>0.88</v>
      </c>
    </row>
    <row r="340" ht="27.75" customHeight="1">
      <c r="A340" s="56" t="s">
        <v>2941</v>
      </c>
      <c r="B340" s="57" t="s">
        <v>31</v>
      </c>
      <c r="C340" s="58" t="s">
        <v>2942</v>
      </c>
      <c r="D340" s="57" t="s">
        <v>363</v>
      </c>
      <c r="E340" s="70" t="s">
        <v>410</v>
      </c>
      <c r="F340" s="57" t="str">
        <f t="shared" ref="F340:F350" si="28">IF(G340="", "", IF(G340&lt;=0, "Habis", IF(G340&lt;=3, "Menipis", "Tersedia")))</f>
        <v>Tersedia</v>
      </c>
      <c r="G340" s="56">
        <v>8.0</v>
      </c>
      <c r="H340" s="60">
        <v>7000.0</v>
      </c>
      <c r="I340" s="60">
        <v>20000.0</v>
      </c>
      <c r="J340" s="60">
        <f t="shared" ref="J340:J350" si="29">I340-H340</f>
        <v>13000</v>
      </c>
      <c r="K340" s="61">
        <f t="shared" ref="K340:K350" si="30">J340/H340*100%</f>
        <v>1.857142857</v>
      </c>
    </row>
    <row r="341" ht="27.75" customHeight="1">
      <c r="A341" s="56" t="s">
        <v>2943</v>
      </c>
      <c r="B341" s="57" t="s">
        <v>31</v>
      </c>
      <c r="C341" s="58" t="s">
        <v>2944</v>
      </c>
      <c r="D341" s="57" t="s">
        <v>363</v>
      </c>
      <c r="E341" s="70" t="s">
        <v>410</v>
      </c>
      <c r="F341" s="57" t="str">
        <f t="shared" si="28"/>
        <v>Tersedia</v>
      </c>
      <c r="G341" s="56">
        <v>12.0</v>
      </c>
      <c r="H341" s="60">
        <v>25000.0</v>
      </c>
      <c r="I341" s="60">
        <v>50000.0</v>
      </c>
      <c r="J341" s="60">
        <f t="shared" si="29"/>
        <v>25000</v>
      </c>
      <c r="K341" s="61">
        <f t="shared" si="30"/>
        <v>1</v>
      </c>
    </row>
    <row r="342" ht="27.75" customHeight="1">
      <c r="A342" s="56" t="s">
        <v>2945</v>
      </c>
      <c r="B342" s="57" t="s">
        <v>31</v>
      </c>
      <c r="C342" s="58" t="s">
        <v>2946</v>
      </c>
      <c r="D342" s="57" t="s">
        <v>363</v>
      </c>
      <c r="E342" s="70" t="s">
        <v>410</v>
      </c>
      <c r="F342" s="57" t="str">
        <f t="shared" si="28"/>
        <v>Tersedia</v>
      </c>
      <c r="G342" s="64">
        <v>13.0</v>
      </c>
      <c r="H342" s="60">
        <v>2500.0</v>
      </c>
      <c r="I342" s="60">
        <v>10000.0</v>
      </c>
      <c r="J342" s="60">
        <f t="shared" si="29"/>
        <v>7500</v>
      </c>
      <c r="K342" s="61">
        <f t="shared" si="30"/>
        <v>3</v>
      </c>
    </row>
    <row r="343" ht="27.75" customHeight="1">
      <c r="A343" s="56" t="s">
        <v>2947</v>
      </c>
      <c r="B343" s="57" t="s">
        <v>31</v>
      </c>
      <c r="C343" s="58" t="s">
        <v>2948</v>
      </c>
      <c r="D343" s="57" t="s">
        <v>363</v>
      </c>
      <c r="E343" s="59" t="s">
        <v>1900</v>
      </c>
      <c r="F343" s="57" t="str">
        <f t="shared" si="28"/>
        <v>Menipis</v>
      </c>
      <c r="G343" s="64">
        <v>3.0</v>
      </c>
      <c r="H343" s="60">
        <v>17500.0</v>
      </c>
      <c r="I343" s="60">
        <v>45000.0</v>
      </c>
      <c r="J343" s="60">
        <f t="shared" si="29"/>
        <v>27500</v>
      </c>
      <c r="K343" s="61">
        <f t="shared" si="30"/>
        <v>1.571428571</v>
      </c>
    </row>
    <row r="344" ht="27.75" customHeight="1">
      <c r="A344" s="56" t="s">
        <v>2949</v>
      </c>
      <c r="B344" s="57" t="s">
        <v>31</v>
      </c>
      <c r="C344" s="58" t="s">
        <v>2950</v>
      </c>
      <c r="D344" s="57" t="s">
        <v>1176</v>
      </c>
      <c r="E344" s="59" t="s">
        <v>1900</v>
      </c>
      <c r="F344" s="57" t="str">
        <f t="shared" si="28"/>
        <v>Menipis</v>
      </c>
      <c r="G344" s="64">
        <v>2.0</v>
      </c>
      <c r="H344" s="60">
        <v>35000.0</v>
      </c>
      <c r="I344" s="60">
        <v>55000.0</v>
      </c>
      <c r="J344" s="60">
        <f t="shared" si="29"/>
        <v>20000</v>
      </c>
      <c r="K344" s="61">
        <f t="shared" si="30"/>
        <v>0.5714285714</v>
      </c>
    </row>
    <row r="345" ht="27.75" customHeight="1">
      <c r="A345" s="56" t="s">
        <v>2951</v>
      </c>
      <c r="B345" s="57" t="s">
        <v>31</v>
      </c>
      <c r="C345" s="58" t="s">
        <v>2952</v>
      </c>
      <c r="D345" s="57" t="s">
        <v>1485</v>
      </c>
      <c r="E345" s="59" t="s">
        <v>2953</v>
      </c>
      <c r="F345" s="57" t="str">
        <f t="shared" si="28"/>
        <v>Habis</v>
      </c>
      <c r="G345" s="64">
        <v>0.0</v>
      </c>
      <c r="H345" s="60">
        <v>19500.0</v>
      </c>
      <c r="I345" s="60">
        <v>45000.0</v>
      </c>
      <c r="J345" s="60">
        <f t="shared" si="29"/>
        <v>25500</v>
      </c>
      <c r="K345" s="61">
        <f t="shared" si="30"/>
        <v>1.307692308</v>
      </c>
    </row>
    <row r="346" ht="27.75" customHeight="1">
      <c r="A346" s="56" t="s">
        <v>2954</v>
      </c>
      <c r="B346" s="57" t="s">
        <v>31</v>
      </c>
      <c r="C346" s="58" t="s">
        <v>2955</v>
      </c>
      <c r="D346" s="57" t="s">
        <v>1485</v>
      </c>
      <c r="E346" s="59" t="s">
        <v>2953</v>
      </c>
      <c r="F346" s="57" t="str">
        <f t="shared" si="28"/>
        <v>Habis</v>
      </c>
      <c r="G346" s="64">
        <v>0.0</v>
      </c>
      <c r="H346" s="60">
        <v>19500.0</v>
      </c>
      <c r="I346" s="60">
        <v>45000.0</v>
      </c>
      <c r="J346" s="60">
        <f t="shared" si="29"/>
        <v>25500</v>
      </c>
      <c r="K346" s="61">
        <f t="shared" si="30"/>
        <v>1.307692308</v>
      </c>
    </row>
    <row r="347" ht="27.75" customHeight="1">
      <c r="A347" s="56" t="s">
        <v>2956</v>
      </c>
      <c r="B347" s="57" t="s">
        <v>31</v>
      </c>
      <c r="C347" s="58" t="s">
        <v>2957</v>
      </c>
      <c r="D347" s="66" t="s">
        <v>945</v>
      </c>
      <c r="E347" s="59" t="s">
        <v>387</v>
      </c>
      <c r="F347" s="57" t="str">
        <f t="shared" si="28"/>
        <v>Tersedia</v>
      </c>
      <c r="G347" s="63">
        <v>5.0</v>
      </c>
      <c r="H347" s="60">
        <v>8500.0</v>
      </c>
      <c r="I347" s="60">
        <v>25000.0</v>
      </c>
      <c r="J347" s="60">
        <f t="shared" si="29"/>
        <v>16500</v>
      </c>
      <c r="K347" s="61">
        <f t="shared" si="30"/>
        <v>1.941176471</v>
      </c>
    </row>
    <row r="348" ht="27.75" customHeight="1">
      <c r="A348" s="56" t="s">
        <v>2958</v>
      </c>
      <c r="B348" s="57" t="s">
        <v>31</v>
      </c>
      <c r="C348" s="58" t="s">
        <v>2959</v>
      </c>
      <c r="D348" s="57" t="s">
        <v>363</v>
      </c>
      <c r="E348" s="70" t="s">
        <v>410</v>
      </c>
      <c r="F348" s="57" t="str">
        <f t="shared" si="28"/>
        <v>Tersedia</v>
      </c>
      <c r="G348" s="56">
        <v>20.0</v>
      </c>
      <c r="H348" s="60">
        <v>2500.0</v>
      </c>
      <c r="I348" s="60">
        <v>5000.0</v>
      </c>
      <c r="J348" s="60">
        <f t="shared" si="29"/>
        <v>2500</v>
      </c>
      <c r="K348" s="61">
        <f t="shared" si="30"/>
        <v>1</v>
      </c>
    </row>
    <row r="349" ht="27.75" customHeight="1">
      <c r="A349" s="56" t="s">
        <v>2960</v>
      </c>
      <c r="B349" s="57" t="s">
        <v>31</v>
      </c>
      <c r="C349" s="58" t="s">
        <v>2961</v>
      </c>
      <c r="D349" s="57" t="s">
        <v>363</v>
      </c>
      <c r="E349" s="59" t="s">
        <v>2418</v>
      </c>
      <c r="F349" s="57" t="str">
        <f t="shared" si="28"/>
        <v>Tersedia</v>
      </c>
      <c r="G349" s="64">
        <v>5.0</v>
      </c>
      <c r="H349" s="60">
        <v>12000.0</v>
      </c>
      <c r="I349" s="60">
        <v>25000.0</v>
      </c>
      <c r="J349" s="60">
        <f t="shared" si="29"/>
        <v>13000</v>
      </c>
      <c r="K349" s="61">
        <f t="shared" si="30"/>
        <v>1.083333333</v>
      </c>
    </row>
    <row r="350" ht="27.75" customHeight="1">
      <c r="A350" s="56" t="s">
        <v>2962</v>
      </c>
      <c r="B350" s="57" t="s">
        <v>31</v>
      </c>
      <c r="C350" s="58" t="s">
        <v>2963</v>
      </c>
      <c r="D350" s="57" t="s">
        <v>363</v>
      </c>
      <c r="E350" s="59" t="s">
        <v>2418</v>
      </c>
      <c r="F350" s="57" t="str">
        <f t="shared" si="28"/>
        <v>Tersedia</v>
      </c>
      <c r="G350" s="64">
        <v>4.0</v>
      </c>
      <c r="H350" s="60">
        <v>10000.0</v>
      </c>
      <c r="I350" s="60">
        <v>10000.0</v>
      </c>
      <c r="J350" s="60">
        <f t="shared" si="29"/>
        <v>0</v>
      </c>
      <c r="K350" s="61">
        <f t="shared" si="30"/>
        <v>0</v>
      </c>
    </row>
    <row r="351" ht="27.75" customHeight="1">
      <c r="A351" s="56" t="s">
        <v>2964</v>
      </c>
      <c r="B351" s="57" t="s">
        <v>1172</v>
      </c>
      <c r="C351" s="58" t="s">
        <v>2965</v>
      </c>
      <c r="D351" s="57" t="s">
        <v>1248</v>
      </c>
      <c r="E351" s="159" t="s">
        <v>1232</v>
      </c>
      <c r="F351" s="57" t="s">
        <v>1180</v>
      </c>
      <c r="G351" s="64">
        <v>1.0</v>
      </c>
      <c r="H351" s="60">
        <v>50000.0</v>
      </c>
      <c r="I351" s="60">
        <v>85000.0</v>
      </c>
      <c r="J351" s="60">
        <v>35000.0</v>
      </c>
      <c r="K351" s="61">
        <v>0.7</v>
      </c>
    </row>
    <row r="352" ht="27.75" customHeight="1">
      <c r="A352" s="56" t="s">
        <v>2966</v>
      </c>
      <c r="B352" s="57" t="s">
        <v>1172</v>
      </c>
      <c r="C352" s="58" t="s">
        <v>2967</v>
      </c>
      <c r="D352" s="57" t="s">
        <v>1248</v>
      </c>
      <c r="E352" s="159" t="s">
        <v>1232</v>
      </c>
      <c r="F352" s="57" t="s">
        <v>1180</v>
      </c>
      <c r="G352" s="64">
        <v>1.0</v>
      </c>
      <c r="H352" s="60">
        <v>17500.0</v>
      </c>
      <c r="I352" s="60">
        <v>35000.0</v>
      </c>
      <c r="J352" s="60">
        <v>17500.0</v>
      </c>
      <c r="K352" s="61">
        <v>1.0</v>
      </c>
    </row>
    <row r="353" ht="27.75" customHeight="1">
      <c r="A353" s="56" t="s">
        <v>2968</v>
      </c>
      <c r="B353" s="57" t="s">
        <v>31</v>
      </c>
      <c r="C353" s="58" t="s">
        <v>2969</v>
      </c>
      <c r="D353" s="57" t="s">
        <v>363</v>
      </c>
      <c r="E353" s="59" t="s">
        <v>2970</v>
      </c>
      <c r="F353" s="57" t="str">
        <f t="shared" ref="F353:F357" si="31">IF(G353="", "", IF(G353&lt;=0, "Habis", IF(G353&lt;=3, "Menipis", "Tersedia")))</f>
        <v>Tersedia</v>
      </c>
      <c r="G353" s="64">
        <v>4.0</v>
      </c>
      <c r="H353" s="60">
        <v>10000.0</v>
      </c>
      <c r="I353" s="60">
        <v>25000.0</v>
      </c>
      <c r="J353" s="60">
        <f t="shared" ref="J353:J357" si="32">I353-H353</f>
        <v>15000</v>
      </c>
      <c r="K353" s="61">
        <f t="shared" ref="K353:K357" si="33">J353/H353*100%</f>
        <v>1.5</v>
      </c>
    </row>
    <row r="354" ht="27.75" customHeight="1">
      <c r="A354" s="56" t="s">
        <v>2971</v>
      </c>
      <c r="B354" s="57" t="s">
        <v>31</v>
      </c>
      <c r="C354" s="58" t="s">
        <v>2972</v>
      </c>
      <c r="D354" s="57" t="s">
        <v>363</v>
      </c>
      <c r="E354" s="70" t="s">
        <v>410</v>
      </c>
      <c r="F354" s="57" t="str">
        <f t="shared" si="31"/>
        <v>Tersedia</v>
      </c>
      <c r="G354" s="56">
        <v>7.0</v>
      </c>
      <c r="H354" s="60">
        <v>5000.0</v>
      </c>
      <c r="I354" s="60">
        <v>10000.0</v>
      </c>
      <c r="J354" s="60">
        <f t="shared" si="32"/>
        <v>5000</v>
      </c>
      <c r="K354" s="61">
        <f t="shared" si="33"/>
        <v>1</v>
      </c>
    </row>
    <row r="355" ht="27.75" customHeight="1">
      <c r="A355" s="56" t="s">
        <v>2973</v>
      </c>
      <c r="B355" s="57" t="s">
        <v>31</v>
      </c>
      <c r="C355" s="58" t="s">
        <v>2974</v>
      </c>
      <c r="D355" s="57" t="s">
        <v>2839</v>
      </c>
      <c r="E355" s="59" t="s">
        <v>1822</v>
      </c>
      <c r="F355" s="57" t="str">
        <f t="shared" si="31"/>
        <v>Habis</v>
      </c>
      <c r="G355" s="56">
        <v>0.0</v>
      </c>
      <c r="H355" s="60">
        <v>60000.0</v>
      </c>
      <c r="I355" s="60">
        <v>85000.0</v>
      </c>
      <c r="J355" s="60">
        <f t="shared" si="32"/>
        <v>25000</v>
      </c>
      <c r="K355" s="61">
        <f t="shared" si="33"/>
        <v>0.4166666667</v>
      </c>
    </row>
    <row r="356" ht="27.75" customHeight="1">
      <c r="A356" s="56" t="s">
        <v>2975</v>
      </c>
      <c r="B356" s="57" t="s">
        <v>31</v>
      </c>
      <c r="C356" s="58" t="s">
        <v>2976</v>
      </c>
      <c r="D356" s="57" t="s">
        <v>2839</v>
      </c>
      <c r="E356" s="59" t="s">
        <v>1822</v>
      </c>
      <c r="F356" s="57" t="str">
        <f t="shared" si="31"/>
        <v>Menipis</v>
      </c>
      <c r="G356" s="56">
        <v>3.0</v>
      </c>
      <c r="H356" s="60">
        <v>85000.0</v>
      </c>
      <c r="I356" s="60">
        <v>150000.0</v>
      </c>
      <c r="J356" s="60">
        <f t="shared" si="32"/>
        <v>65000</v>
      </c>
      <c r="K356" s="61">
        <f t="shared" si="33"/>
        <v>0.7647058824</v>
      </c>
    </row>
    <row r="357" ht="27.75" customHeight="1">
      <c r="A357" s="56" t="s">
        <v>2977</v>
      </c>
      <c r="B357" s="57" t="s">
        <v>31</v>
      </c>
      <c r="C357" s="58" t="s">
        <v>2978</v>
      </c>
      <c r="D357" s="65" t="s">
        <v>363</v>
      </c>
      <c r="E357" s="59" t="s">
        <v>2979</v>
      </c>
      <c r="F357" s="57" t="str">
        <f t="shared" si="31"/>
        <v>Menipis</v>
      </c>
      <c r="G357" s="64">
        <v>1.0</v>
      </c>
      <c r="H357" s="60">
        <v>48000.0</v>
      </c>
      <c r="I357" s="60">
        <v>100000.0</v>
      </c>
      <c r="J357" s="60">
        <f t="shared" si="32"/>
        <v>52000</v>
      </c>
      <c r="K357" s="61">
        <f t="shared" si="33"/>
        <v>1.083333333</v>
      </c>
    </row>
    <row r="358" ht="27.75" customHeight="1">
      <c r="A358" s="56" t="s">
        <v>2980</v>
      </c>
      <c r="B358" s="57" t="s">
        <v>1172</v>
      </c>
      <c r="C358" s="58" t="s">
        <v>2981</v>
      </c>
      <c r="D358" s="57" t="s">
        <v>1248</v>
      </c>
      <c r="E358" s="159" t="s">
        <v>1232</v>
      </c>
      <c r="F358" s="57" t="s">
        <v>1180</v>
      </c>
      <c r="G358" s="64">
        <v>1.0</v>
      </c>
      <c r="H358" s="60">
        <v>13500.0</v>
      </c>
      <c r="I358" s="60">
        <v>35000.0</v>
      </c>
      <c r="J358" s="60">
        <v>21500.0</v>
      </c>
      <c r="K358" s="61">
        <v>1.59</v>
      </c>
    </row>
    <row r="359" ht="27.75" customHeight="1">
      <c r="A359" s="56" t="s">
        <v>2982</v>
      </c>
      <c r="B359" s="57" t="s">
        <v>31</v>
      </c>
      <c r="C359" s="58" t="s">
        <v>2983</v>
      </c>
      <c r="D359" s="57" t="s">
        <v>363</v>
      </c>
      <c r="E359" s="59" t="s">
        <v>2984</v>
      </c>
      <c r="F359" s="57" t="str">
        <f>IF(G359="", "", IF(G359&lt;=0, "Habis", IF(G359&lt;=3, "Menipis", "Tersedia")))</f>
        <v>Menipis</v>
      </c>
      <c r="G359" s="64">
        <v>1.0</v>
      </c>
      <c r="H359" s="60">
        <v>15000.0</v>
      </c>
      <c r="I359" s="60">
        <v>30000.0</v>
      </c>
      <c r="J359" s="60">
        <f>I359-H359</f>
        <v>15000</v>
      </c>
      <c r="K359" s="61">
        <f>J359/H359*100%</f>
        <v>1</v>
      </c>
    </row>
    <row r="360" ht="27.75" customHeight="1">
      <c r="A360" s="56" t="s">
        <v>2985</v>
      </c>
      <c r="B360" s="57" t="s">
        <v>1172</v>
      </c>
      <c r="C360" s="58" t="s">
        <v>2986</v>
      </c>
      <c r="D360" s="57" t="s">
        <v>945</v>
      </c>
      <c r="E360" s="159" t="s">
        <v>116</v>
      </c>
      <c r="F360" s="57" t="s">
        <v>1180</v>
      </c>
      <c r="G360" s="64">
        <v>1.0</v>
      </c>
      <c r="H360" s="60">
        <v>30000.0</v>
      </c>
      <c r="I360" s="60">
        <v>60000.0</v>
      </c>
      <c r="J360" s="60">
        <v>30000.0</v>
      </c>
      <c r="K360" s="61">
        <v>1.0</v>
      </c>
    </row>
    <row r="361" ht="27.75" customHeight="1">
      <c r="A361" s="56" t="s">
        <v>2987</v>
      </c>
      <c r="B361" s="57" t="s">
        <v>1172</v>
      </c>
      <c r="C361" s="58" t="s">
        <v>2988</v>
      </c>
      <c r="D361" s="57" t="s">
        <v>2854</v>
      </c>
      <c r="E361" s="159" t="s">
        <v>116</v>
      </c>
      <c r="F361" s="57" t="s">
        <v>1180</v>
      </c>
      <c r="G361" s="64">
        <v>1.0</v>
      </c>
      <c r="H361" s="60">
        <v>30000.0</v>
      </c>
      <c r="I361" s="60">
        <v>60000.0</v>
      </c>
      <c r="J361" s="60">
        <v>30000.0</v>
      </c>
      <c r="K361" s="61">
        <v>1.0</v>
      </c>
    </row>
    <row r="362" ht="27.75" customHeight="1">
      <c r="A362" s="56" t="s">
        <v>2989</v>
      </c>
      <c r="B362" s="57" t="s">
        <v>31</v>
      </c>
      <c r="C362" s="58" t="s">
        <v>2990</v>
      </c>
      <c r="D362" s="65" t="s">
        <v>1485</v>
      </c>
      <c r="E362" s="59" t="s">
        <v>2465</v>
      </c>
      <c r="F362" s="57" t="str">
        <f t="shared" ref="F362:F363" si="34">IF(G362="", "", IF(G362&lt;=0, "Habis", IF(G362&lt;=3, "Menipis", "Tersedia")))</f>
        <v>Menipis</v>
      </c>
      <c r="G362" s="56">
        <v>1.0</v>
      </c>
      <c r="H362" s="60">
        <v>45000.0</v>
      </c>
      <c r="I362" s="60">
        <v>70000.0</v>
      </c>
      <c r="J362" s="60">
        <f t="shared" ref="J362:J363" si="35">I362-H362</f>
        <v>25000</v>
      </c>
      <c r="K362" s="61">
        <f t="shared" ref="K362:K363" si="36">J362/H362*100%</f>
        <v>0.5555555556</v>
      </c>
    </row>
    <row r="363" ht="27.75" customHeight="1">
      <c r="A363" s="56" t="s">
        <v>2991</v>
      </c>
      <c r="B363" s="57" t="s">
        <v>31</v>
      </c>
      <c r="C363" s="58" t="s">
        <v>2992</v>
      </c>
      <c r="D363" s="65" t="s">
        <v>1485</v>
      </c>
      <c r="E363" s="59" t="s">
        <v>2465</v>
      </c>
      <c r="F363" s="57" t="str">
        <f t="shared" si="34"/>
        <v>Menipis</v>
      </c>
      <c r="G363" s="56">
        <v>1.0</v>
      </c>
      <c r="H363" s="60">
        <v>78000.0</v>
      </c>
      <c r="I363" s="60">
        <v>130000.0</v>
      </c>
      <c r="J363" s="60">
        <f t="shared" si="35"/>
        <v>52000</v>
      </c>
      <c r="K363" s="61">
        <f t="shared" si="36"/>
        <v>0.6666666667</v>
      </c>
    </row>
    <row r="364" ht="27.75" customHeight="1">
      <c r="A364" s="56" t="s">
        <v>926</v>
      </c>
      <c r="B364" s="57" t="s">
        <v>1172</v>
      </c>
      <c r="C364" s="58" t="s">
        <v>2993</v>
      </c>
      <c r="D364" s="57" t="s">
        <v>1248</v>
      </c>
      <c r="E364" s="159" t="s">
        <v>1232</v>
      </c>
      <c r="F364" s="57" t="s">
        <v>1180</v>
      </c>
      <c r="G364" s="64">
        <v>1.0</v>
      </c>
      <c r="H364" s="60">
        <v>12500.0</v>
      </c>
      <c r="I364" s="60">
        <v>30000.0</v>
      </c>
      <c r="J364" s="60">
        <v>17500.0</v>
      </c>
      <c r="K364" s="61">
        <v>1.4</v>
      </c>
    </row>
    <row r="365" ht="27.75" customHeight="1">
      <c r="A365" s="56" t="s">
        <v>2994</v>
      </c>
      <c r="B365" s="57" t="s">
        <v>31</v>
      </c>
      <c r="C365" s="58" t="s">
        <v>2995</v>
      </c>
      <c r="D365" s="57" t="s">
        <v>363</v>
      </c>
      <c r="E365" s="70" t="s">
        <v>410</v>
      </c>
      <c r="F365" s="57" t="str">
        <f t="shared" ref="F365:F371" si="37">IF(G365="", "", IF(G365&lt;=0, "Habis", IF(G365&lt;=3, "Menipis", "Tersedia")))</f>
        <v>Tersedia</v>
      </c>
      <c r="G365" s="56">
        <v>18.0</v>
      </c>
      <c r="H365" s="60">
        <v>8000.0</v>
      </c>
      <c r="I365" s="60">
        <v>20000.0</v>
      </c>
      <c r="J365" s="60">
        <f t="shared" ref="J365:J371" si="38">I365-H365</f>
        <v>12000</v>
      </c>
      <c r="K365" s="61">
        <f t="shared" ref="K365:K371" si="39">J365/H365*100%</f>
        <v>1.5</v>
      </c>
    </row>
    <row r="366" ht="27.75" customHeight="1">
      <c r="A366" s="56" t="s">
        <v>2996</v>
      </c>
      <c r="B366" s="57" t="s">
        <v>31</v>
      </c>
      <c r="C366" s="58" t="s">
        <v>2997</v>
      </c>
      <c r="D366" s="57" t="s">
        <v>363</v>
      </c>
      <c r="E366" s="70" t="s">
        <v>410</v>
      </c>
      <c r="F366" s="57" t="str">
        <f t="shared" si="37"/>
        <v>Menipis</v>
      </c>
      <c r="G366" s="56">
        <v>1.0</v>
      </c>
      <c r="H366" s="60">
        <v>15000.0</v>
      </c>
      <c r="I366" s="60">
        <v>25000.0</v>
      </c>
      <c r="J366" s="60">
        <f t="shared" si="38"/>
        <v>10000</v>
      </c>
      <c r="K366" s="61">
        <f t="shared" si="39"/>
        <v>0.6666666667</v>
      </c>
    </row>
    <row r="367" ht="27.75" customHeight="1">
      <c r="A367" s="56" t="s">
        <v>2998</v>
      </c>
      <c r="B367" s="57" t="s">
        <v>31</v>
      </c>
      <c r="C367" s="62" t="s">
        <v>2999</v>
      </c>
      <c r="D367" s="57" t="s">
        <v>363</v>
      </c>
      <c r="E367" s="59" t="s">
        <v>2423</v>
      </c>
      <c r="F367" s="57" t="str">
        <f t="shared" si="37"/>
        <v>Menipis</v>
      </c>
      <c r="G367" s="63">
        <v>2.0</v>
      </c>
      <c r="H367" s="242">
        <v>35000.0</v>
      </c>
      <c r="I367" s="60">
        <v>70000.0</v>
      </c>
      <c r="J367" s="60">
        <f t="shared" si="38"/>
        <v>35000</v>
      </c>
      <c r="K367" s="61">
        <f t="shared" si="39"/>
        <v>1</v>
      </c>
    </row>
    <row r="368" ht="27.75" customHeight="1">
      <c r="A368" s="56" t="s">
        <v>3000</v>
      </c>
      <c r="B368" s="57" t="s">
        <v>31</v>
      </c>
      <c r="C368" s="62" t="s">
        <v>3001</v>
      </c>
      <c r="D368" s="57" t="s">
        <v>363</v>
      </c>
      <c r="E368" s="59" t="s">
        <v>2423</v>
      </c>
      <c r="F368" s="57" t="str">
        <f t="shared" si="37"/>
        <v>Menipis</v>
      </c>
      <c r="G368" s="63">
        <v>1.0</v>
      </c>
      <c r="H368" s="60">
        <v>53000.0</v>
      </c>
      <c r="I368" s="60">
        <v>80000.0</v>
      </c>
      <c r="J368" s="60">
        <f t="shared" si="38"/>
        <v>27000</v>
      </c>
      <c r="K368" s="61">
        <f t="shared" si="39"/>
        <v>0.5094339623</v>
      </c>
    </row>
    <row r="369" ht="27.75" customHeight="1">
      <c r="A369" s="56" t="s">
        <v>3002</v>
      </c>
      <c r="B369" s="57" t="s">
        <v>31</v>
      </c>
      <c r="C369" s="58" t="s">
        <v>3003</v>
      </c>
      <c r="D369" s="57" t="s">
        <v>363</v>
      </c>
      <c r="E369" s="59" t="s">
        <v>1854</v>
      </c>
      <c r="F369" s="57" t="str">
        <f t="shared" si="37"/>
        <v>Habis</v>
      </c>
      <c r="G369" s="64">
        <v>0.0</v>
      </c>
      <c r="H369" s="60">
        <v>6500.0</v>
      </c>
      <c r="I369" s="60">
        <v>15000.0</v>
      </c>
      <c r="J369" s="60">
        <f t="shared" si="38"/>
        <v>8500</v>
      </c>
      <c r="K369" s="61">
        <f t="shared" si="39"/>
        <v>1.307692308</v>
      </c>
    </row>
    <row r="370" ht="27.75" customHeight="1">
      <c r="A370" s="56" t="s">
        <v>3004</v>
      </c>
      <c r="B370" s="57" t="s">
        <v>31</v>
      </c>
      <c r="C370" s="58" t="s">
        <v>3005</v>
      </c>
      <c r="D370" s="57" t="s">
        <v>363</v>
      </c>
      <c r="E370" s="59" t="s">
        <v>1854</v>
      </c>
      <c r="F370" s="57" t="str">
        <f t="shared" si="37"/>
        <v>Menipis</v>
      </c>
      <c r="G370" s="64">
        <v>2.0</v>
      </c>
      <c r="H370" s="60">
        <v>10000.0</v>
      </c>
      <c r="I370" s="60">
        <v>20000.0</v>
      </c>
      <c r="J370" s="60">
        <f t="shared" si="38"/>
        <v>10000</v>
      </c>
      <c r="K370" s="61">
        <f t="shared" si="39"/>
        <v>1</v>
      </c>
    </row>
    <row r="371" ht="27.75" customHeight="1">
      <c r="A371" s="56" t="s">
        <v>3006</v>
      </c>
      <c r="B371" s="57" t="s">
        <v>31</v>
      </c>
      <c r="C371" s="58" t="s">
        <v>3007</v>
      </c>
      <c r="D371" s="57" t="s">
        <v>363</v>
      </c>
      <c r="E371" s="59" t="s">
        <v>1854</v>
      </c>
      <c r="F371" s="57" t="str">
        <f t="shared" si="37"/>
        <v>Tersedia</v>
      </c>
      <c r="G371" s="64">
        <v>8.0</v>
      </c>
      <c r="H371" s="60">
        <v>5000.0</v>
      </c>
      <c r="I371" s="60">
        <v>15000.0</v>
      </c>
      <c r="J371" s="60">
        <f t="shared" si="38"/>
        <v>10000</v>
      </c>
      <c r="K371" s="61">
        <f t="shared" si="39"/>
        <v>2</v>
      </c>
    </row>
    <row r="372" ht="27.75" customHeight="1">
      <c r="A372" s="56" t="s">
        <v>3008</v>
      </c>
      <c r="B372" s="57" t="s">
        <v>1172</v>
      </c>
      <c r="C372" s="58" t="s">
        <v>3009</v>
      </c>
      <c r="D372" s="57" t="s">
        <v>1675</v>
      </c>
      <c r="E372" s="159" t="s">
        <v>1854</v>
      </c>
      <c r="F372" s="57" t="s">
        <v>1180</v>
      </c>
      <c r="G372" s="64">
        <v>2.0</v>
      </c>
      <c r="H372" s="60">
        <v>11000.0</v>
      </c>
      <c r="I372" s="60">
        <v>30000.0</v>
      </c>
      <c r="J372" s="60">
        <v>19000.0</v>
      </c>
      <c r="K372" s="61">
        <v>1.73</v>
      </c>
    </row>
    <row r="373" ht="27.75" customHeight="1">
      <c r="A373" s="56" t="s">
        <v>3010</v>
      </c>
      <c r="B373" s="57" t="s">
        <v>1354</v>
      </c>
      <c r="C373" s="58" t="s">
        <v>3011</v>
      </c>
      <c r="D373" s="57" t="s">
        <v>363</v>
      </c>
      <c r="E373" s="59" t="s">
        <v>1354</v>
      </c>
      <c r="F373" s="57" t="str">
        <f t="shared" ref="F373:F376" si="40">IF(G373="", "", IF(G373&lt;=0, "Habis", IF(G373&lt;=3, "Menipis", "Tersedia")))</f>
        <v>Tersedia</v>
      </c>
      <c r="G373" s="64">
        <v>14.0</v>
      </c>
      <c r="H373" s="60">
        <v>25000.0</v>
      </c>
      <c r="I373" s="60">
        <v>30000.0</v>
      </c>
      <c r="J373" s="60">
        <f t="shared" ref="J373:J376" si="41">I373-H373</f>
        <v>5000</v>
      </c>
      <c r="K373" s="61">
        <f t="shared" ref="K373:K376" si="42">J373/H373*100%</f>
        <v>0.2</v>
      </c>
    </row>
    <row r="374" ht="27.75" customHeight="1">
      <c r="A374" s="56" t="s">
        <v>3012</v>
      </c>
      <c r="B374" s="57" t="s">
        <v>1354</v>
      </c>
      <c r="C374" s="58" t="s">
        <v>3013</v>
      </c>
      <c r="D374" s="57" t="s">
        <v>363</v>
      </c>
      <c r="E374" s="59" t="s">
        <v>1354</v>
      </c>
      <c r="F374" s="57" t="str">
        <f t="shared" si="40"/>
        <v>Tersedia</v>
      </c>
      <c r="G374" s="64">
        <v>30.0</v>
      </c>
      <c r="H374" s="60">
        <v>8000.0</v>
      </c>
      <c r="I374" s="60">
        <v>10000.0</v>
      </c>
      <c r="J374" s="60">
        <f t="shared" si="41"/>
        <v>2000</v>
      </c>
      <c r="K374" s="61">
        <f t="shared" si="42"/>
        <v>0.25</v>
      </c>
    </row>
    <row r="375" ht="27.75" customHeight="1">
      <c r="A375" s="56" t="s">
        <v>3014</v>
      </c>
      <c r="B375" s="57" t="s">
        <v>1354</v>
      </c>
      <c r="C375" s="58" t="s">
        <v>3015</v>
      </c>
      <c r="D375" s="57" t="s">
        <v>363</v>
      </c>
      <c r="E375" s="59" t="s">
        <v>1354</v>
      </c>
      <c r="F375" s="57" t="str">
        <f t="shared" si="40"/>
        <v>Tersedia</v>
      </c>
      <c r="G375" s="64">
        <v>4.0</v>
      </c>
      <c r="H375" s="60">
        <v>5000.0</v>
      </c>
      <c r="I375" s="60">
        <v>10000.0</v>
      </c>
      <c r="J375" s="60">
        <f t="shared" si="41"/>
        <v>5000</v>
      </c>
      <c r="K375" s="61">
        <f t="shared" si="42"/>
        <v>1</v>
      </c>
    </row>
    <row r="376" ht="27.75" customHeight="1">
      <c r="A376" s="56" t="s">
        <v>3016</v>
      </c>
      <c r="B376" s="57" t="s">
        <v>1354</v>
      </c>
      <c r="C376" s="58" t="s">
        <v>3017</v>
      </c>
      <c r="D376" s="57" t="s">
        <v>363</v>
      </c>
      <c r="E376" s="59" t="s">
        <v>1354</v>
      </c>
      <c r="F376" s="57" t="str">
        <f t="shared" si="40"/>
        <v>Menipis</v>
      </c>
      <c r="G376" s="64">
        <v>3.0</v>
      </c>
      <c r="H376" s="60">
        <v>15000.0</v>
      </c>
      <c r="I376" s="60">
        <v>25000.0</v>
      </c>
      <c r="J376" s="60">
        <f t="shared" si="41"/>
        <v>10000</v>
      </c>
      <c r="K376" s="61">
        <f t="shared" si="42"/>
        <v>0.6666666667</v>
      </c>
    </row>
    <row r="377" ht="27.75" customHeight="1">
      <c r="A377" s="56" t="s">
        <v>3018</v>
      </c>
      <c r="B377" s="57" t="s">
        <v>1172</v>
      </c>
      <c r="C377" s="58" t="s">
        <v>3019</v>
      </c>
      <c r="D377" s="57" t="s">
        <v>1248</v>
      </c>
      <c r="E377" s="159" t="s">
        <v>1232</v>
      </c>
      <c r="F377" s="57" t="s">
        <v>1597</v>
      </c>
      <c r="G377" s="64">
        <v>15.0</v>
      </c>
      <c r="H377" s="60">
        <v>1000.0</v>
      </c>
      <c r="I377" s="60">
        <v>5000.0</v>
      </c>
      <c r="J377" s="60">
        <v>4000.0</v>
      </c>
      <c r="K377" s="61">
        <v>4.0</v>
      </c>
    </row>
    <row r="378" ht="27.75" customHeight="1">
      <c r="A378" s="56" t="s">
        <v>3020</v>
      </c>
      <c r="B378" s="57" t="s">
        <v>1172</v>
      </c>
      <c r="C378" s="58" t="s">
        <v>3021</v>
      </c>
      <c r="D378" s="57" t="s">
        <v>1248</v>
      </c>
      <c r="E378" s="159" t="s">
        <v>1232</v>
      </c>
      <c r="F378" s="57" t="s">
        <v>1597</v>
      </c>
      <c r="G378" s="64">
        <v>7.0</v>
      </c>
      <c r="H378" s="60">
        <v>1000.0</v>
      </c>
      <c r="I378" s="60">
        <v>5000.0</v>
      </c>
      <c r="J378" s="60">
        <v>4000.0</v>
      </c>
      <c r="K378" s="61">
        <v>4.0</v>
      </c>
    </row>
    <row r="379" ht="27.75" customHeight="1">
      <c r="A379" s="56" t="s">
        <v>3022</v>
      </c>
      <c r="B379" s="57" t="s">
        <v>31</v>
      </c>
      <c r="C379" s="58" t="s">
        <v>3023</v>
      </c>
      <c r="D379" s="57" t="s">
        <v>363</v>
      </c>
      <c r="E379" s="59" t="s">
        <v>3024</v>
      </c>
      <c r="F379" s="57" t="str">
        <f t="shared" ref="F379:F391" si="43">IF(G379="", "", IF(G379&lt;=0, "Habis", IF(G379&lt;=3, "Menipis", "Tersedia")))</f>
        <v>Menipis</v>
      </c>
      <c r="G379" s="64">
        <v>1.0</v>
      </c>
      <c r="H379" s="60">
        <v>76500.0</v>
      </c>
      <c r="I379" s="60">
        <v>153000.0</v>
      </c>
      <c r="J379" s="60">
        <f t="shared" ref="J379:J391" si="44">I379-H379</f>
        <v>76500</v>
      </c>
      <c r="K379" s="61">
        <f t="shared" ref="K379:K391" si="45">J379/H379*100%</f>
        <v>1</v>
      </c>
    </row>
    <row r="380" ht="27.75" customHeight="1">
      <c r="A380" s="56" t="s">
        <v>3025</v>
      </c>
      <c r="B380" s="57" t="s">
        <v>31</v>
      </c>
      <c r="C380" s="58" t="s">
        <v>3026</v>
      </c>
      <c r="D380" s="57" t="s">
        <v>1485</v>
      </c>
      <c r="E380" s="59" t="s">
        <v>3024</v>
      </c>
      <c r="F380" s="57" t="str">
        <f t="shared" si="43"/>
        <v>Menipis</v>
      </c>
      <c r="G380" s="64">
        <v>1.0</v>
      </c>
      <c r="H380" s="60">
        <v>103000.0</v>
      </c>
      <c r="I380" s="60">
        <v>160000.0</v>
      </c>
      <c r="J380" s="60">
        <f t="shared" si="44"/>
        <v>57000</v>
      </c>
      <c r="K380" s="61">
        <f t="shared" si="45"/>
        <v>0.5533980583</v>
      </c>
    </row>
    <row r="381" ht="27.75" customHeight="1">
      <c r="A381" s="56" t="s">
        <v>3027</v>
      </c>
      <c r="B381" s="57" t="s">
        <v>31</v>
      </c>
      <c r="C381" s="58" t="s">
        <v>3028</v>
      </c>
      <c r="D381" s="57" t="s">
        <v>363</v>
      </c>
      <c r="E381" s="70" t="s">
        <v>410</v>
      </c>
      <c r="F381" s="57" t="str">
        <f t="shared" si="43"/>
        <v>Tersedia</v>
      </c>
      <c r="G381" s="56">
        <v>59.0</v>
      </c>
      <c r="H381" s="60">
        <v>5000.0</v>
      </c>
      <c r="I381" s="60">
        <v>15000.0</v>
      </c>
      <c r="J381" s="60">
        <f t="shared" si="44"/>
        <v>10000</v>
      </c>
      <c r="K381" s="61">
        <f t="shared" si="45"/>
        <v>2</v>
      </c>
    </row>
    <row r="382" ht="27.75" customHeight="1">
      <c r="A382" s="56" t="s">
        <v>3029</v>
      </c>
      <c r="B382" s="57" t="s">
        <v>31</v>
      </c>
      <c r="C382" s="58" t="s">
        <v>3030</v>
      </c>
      <c r="D382" s="57" t="s">
        <v>363</v>
      </c>
      <c r="E382" s="59" t="s">
        <v>137</v>
      </c>
      <c r="F382" s="57" t="str">
        <f t="shared" si="43"/>
        <v>Menipis</v>
      </c>
      <c r="G382" s="64">
        <v>1.0</v>
      </c>
      <c r="H382" s="60">
        <v>202000.0</v>
      </c>
      <c r="I382" s="60">
        <v>275000.0</v>
      </c>
      <c r="J382" s="60">
        <f t="shared" si="44"/>
        <v>73000</v>
      </c>
      <c r="K382" s="61">
        <f t="shared" si="45"/>
        <v>0.3613861386</v>
      </c>
    </row>
    <row r="383" ht="27.75" customHeight="1">
      <c r="A383" s="56" t="s">
        <v>3031</v>
      </c>
      <c r="B383" s="57" t="s">
        <v>31</v>
      </c>
      <c r="C383" s="58" t="s">
        <v>3032</v>
      </c>
      <c r="D383" s="57" t="s">
        <v>2850</v>
      </c>
      <c r="E383" s="59" t="s">
        <v>1205</v>
      </c>
      <c r="F383" s="57" t="str">
        <f t="shared" si="43"/>
        <v>Menipis</v>
      </c>
      <c r="G383" s="64">
        <v>1.0</v>
      </c>
      <c r="H383" s="60">
        <v>35000.0</v>
      </c>
      <c r="I383" s="60">
        <v>70000.0</v>
      </c>
      <c r="J383" s="60">
        <f t="shared" si="44"/>
        <v>35000</v>
      </c>
      <c r="K383" s="61">
        <f t="shared" si="45"/>
        <v>1</v>
      </c>
    </row>
    <row r="384" ht="27.75" customHeight="1">
      <c r="A384" s="56" t="s">
        <v>3033</v>
      </c>
      <c r="B384" s="57" t="s">
        <v>31</v>
      </c>
      <c r="C384" s="58" t="s">
        <v>3034</v>
      </c>
      <c r="D384" s="57" t="s">
        <v>2850</v>
      </c>
      <c r="E384" s="59" t="s">
        <v>1205</v>
      </c>
      <c r="F384" s="57" t="str">
        <f t="shared" si="43"/>
        <v>Menipis</v>
      </c>
      <c r="G384" s="64">
        <v>1.0</v>
      </c>
      <c r="H384" s="60">
        <v>35000.0</v>
      </c>
      <c r="I384" s="60">
        <v>63000.0</v>
      </c>
      <c r="J384" s="60">
        <f t="shared" si="44"/>
        <v>28000</v>
      </c>
      <c r="K384" s="61">
        <f t="shared" si="45"/>
        <v>0.8</v>
      </c>
    </row>
    <row r="385" ht="27.75" customHeight="1">
      <c r="A385" s="56" t="s">
        <v>3035</v>
      </c>
      <c r="B385" s="57" t="s">
        <v>31</v>
      </c>
      <c r="C385" s="58" t="s">
        <v>3036</v>
      </c>
      <c r="D385" s="57" t="s">
        <v>2851</v>
      </c>
      <c r="E385" s="59" t="s">
        <v>1900</v>
      </c>
      <c r="F385" s="57" t="str">
        <f t="shared" si="43"/>
        <v>Tersedia</v>
      </c>
      <c r="G385" s="64">
        <v>8.0</v>
      </c>
      <c r="H385" s="60">
        <v>6000.0</v>
      </c>
      <c r="I385" s="60">
        <v>20000.0</v>
      </c>
      <c r="J385" s="60">
        <f t="shared" si="44"/>
        <v>14000</v>
      </c>
      <c r="K385" s="61">
        <f t="shared" si="45"/>
        <v>2.333333333</v>
      </c>
    </row>
    <row r="386" ht="27.75" customHeight="1">
      <c r="A386" s="56" t="s">
        <v>3037</v>
      </c>
      <c r="B386" s="57" t="s">
        <v>31</v>
      </c>
      <c r="C386" s="58" t="s">
        <v>3038</v>
      </c>
      <c r="D386" s="57" t="s">
        <v>2851</v>
      </c>
      <c r="E386" s="59" t="s">
        <v>1900</v>
      </c>
      <c r="F386" s="57" t="str">
        <f t="shared" si="43"/>
        <v>Habis</v>
      </c>
      <c r="G386" s="64">
        <v>0.0</v>
      </c>
      <c r="H386" s="60">
        <v>95000.0</v>
      </c>
      <c r="I386" s="60">
        <v>171000.0</v>
      </c>
      <c r="J386" s="60">
        <f t="shared" si="44"/>
        <v>76000</v>
      </c>
      <c r="K386" s="61">
        <f t="shared" si="45"/>
        <v>0.8</v>
      </c>
    </row>
    <row r="387" ht="27.75" customHeight="1">
      <c r="A387" s="56" t="s">
        <v>3039</v>
      </c>
      <c r="B387" s="57" t="s">
        <v>31</v>
      </c>
      <c r="C387" s="58" t="s">
        <v>3040</v>
      </c>
      <c r="D387" s="57" t="s">
        <v>2851</v>
      </c>
      <c r="E387" s="59" t="s">
        <v>1900</v>
      </c>
      <c r="F387" s="57" t="str">
        <f t="shared" si="43"/>
        <v>Habis</v>
      </c>
      <c r="G387" s="64">
        <v>0.0</v>
      </c>
      <c r="H387" s="60">
        <v>80000.0</v>
      </c>
      <c r="I387" s="60">
        <v>144000.0</v>
      </c>
      <c r="J387" s="60">
        <f t="shared" si="44"/>
        <v>64000</v>
      </c>
      <c r="K387" s="61">
        <f t="shared" si="45"/>
        <v>0.8</v>
      </c>
    </row>
    <row r="388" ht="27.75" customHeight="1">
      <c r="A388" s="56" t="s">
        <v>3041</v>
      </c>
      <c r="B388" s="57" t="s">
        <v>31</v>
      </c>
      <c r="C388" s="58" t="s">
        <v>3042</v>
      </c>
      <c r="D388" s="57" t="s">
        <v>2851</v>
      </c>
      <c r="E388" s="59" t="s">
        <v>1900</v>
      </c>
      <c r="F388" s="57" t="str">
        <f t="shared" si="43"/>
        <v>Habis</v>
      </c>
      <c r="G388" s="64">
        <v>0.0</v>
      </c>
      <c r="H388" s="60">
        <v>99000.0</v>
      </c>
      <c r="I388" s="60">
        <v>178200.0</v>
      </c>
      <c r="J388" s="60">
        <f t="shared" si="44"/>
        <v>79200</v>
      </c>
      <c r="K388" s="61">
        <f t="shared" si="45"/>
        <v>0.8</v>
      </c>
    </row>
    <row r="389" ht="27.75" customHeight="1">
      <c r="A389" s="56" t="s">
        <v>3043</v>
      </c>
      <c r="B389" s="57" t="s">
        <v>31</v>
      </c>
      <c r="C389" s="58" t="s">
        <v>3044</v>
      </c>
      <c r="D389" s="57" t="s">
        <v>2850</v>
      </c>
      <c r="E389" s="59" t="s">
        <v>2953</v>
      </c>
      <c r="F389" s="57" t="str">
        <f t="shared" si="43"/>
        <v>Tersedia</v>
      </c>
      <c r="G389" s="64">
        <v>7.0</v>
      </c>
      <c r="H389" s="60">
        <v>25000.0</v>
      </c>
      <c r="I389" s="60">
        <v>45000.0</v>
      </c>
      <c r="J389" s="60">
        <f t="shared" si="44"/>
        <v>20000</v>
      </c>
      <c r="K389" s="61">
        <f t="shared" si="45"/>
        <v>0.8</v>
      </c>
    </row>
    <row r="390" ht="27.75" customHeight="1">
      <c r="A390" s="56" t="s">
        <v>3045</v>
      </c>
      <c r="B390" s="57" t="s">
        <v>31</v>
      </c>
      <c r="C390" s="58" t="s">
        <v>3046</v>
      </c>
      <c r="D390" s="57" t="s">
        <v>2851</v>
      </c>
      <c r="E390" s="59" t="s">
        <v>2953</v>
      </c>
      <c r="F390" s="57" t="str">
        <f t="shared" si="43"/>
        <v>Habis</v>
      </c>
      <c r="G390" s="64">
        <v>0.0</v>
      </c>
      <c r="H390" s="60">
        <v>20000.0</v>
      </c>
      <c r="I390" s="60">
        <v>36000.0</v>
      </c>
      <c r="J390" s="60">
        <f t="shared" si="44"/>
        <v>16000</v>
      </c>
      <c r="K390" s="61">
        <f t="shared" si="45"/>
        <v>0.8</v>
      </c>
    </row>
    <row r="391" ht="27.75" customHeight="1">
      <c r="A391" s="56" t="s">
        <v>3047</v>
      </c>
      <c r="B391" s="57" t="s">
        <v>31</v>
      </c>
      <c r="C391" s="58" t="s">
        <v>3048</v>
      </c>
      <c r="D391" s="57" t="s">
        <v>363</v>
      </c>
      <c r="E391" s="70" t="s">
        <v>410</v>
      </c>
      <c r="F391" s="57" t="str">
        <f t="shared" si="43"/>
        <v>Tersedia</v>
      </c>
      <c r="G391" s="56">
        <v>6.0</v>
      </c>
      <c r="H391" s="60">
        <v>10000.0</v>
      </c>
      <c r="I391" s="60">
        <v>25000.0</v>
      </c>
      <c r="J391" s="60">
        <f t="shared" si="44"/>
        <v>15000</v>
      </c>
      <c r="K391" s="61">
        <f t="shared" si="45"/>
        <v>1.5</v>
      </c>
    </row>
    <row r="392" ht="27.75" customHeight="1">
      <c r="A392" s="56" t="s">
        <v>3049</v>
      </c>
      <c r="B392" s="57" t="s">
        <v>1172</v>
      </c>
      <c r="C392" s="58" t="s">
        <v>3050</v>
      </c>
      <c r="D392" s="57" t="s">
        <v>1248</v>
      </c>
      <c r="E392" s="159" t="s">
        <v>3051</v>
      </c>
      <c r="F392" s="57" t="s">
        <v>1180</v>
      </c>
      <c r="G392" s="64">
        <v>1.0</v>
      </c>
      <c r="H392" s="60">
        <v>110000.0</v>
      </c>
      <c r="I392" s="60">
        <v>220000.0</v>
      </c>
      <c r="J392" s="60">
        <v>110000.0</v>
      </c>
      <c r="K392" s="61">
        <v>1.0</v>
      </c>
    </row>
    <row r="393" ht="27.75" customHeight="1">
      <c r="A393" s="56" t="s">
        <v>3052</v>
      </c>
      <c r="B393" s="57" t="s">
        <v>31</v>
      </c>
      <c r="C393" s="58" t="s">
        <v>3053</v>
      </c>
      <c r="D393" s="57" t="s">
        <v>1112</v>
      </c>
      <c r="E393" s="59" t="s">
        <v>66</v>
      </c>
      <c r="F393" s="57" t="str">
        <f t="shared" ref="F393:F670" si="46">IF(G393="", "", IF(G393&lt;=0, "Habis", IF(G393&lt;=3, "Menipis", "Tersedia")))</f>
        <v>Menipis</v>
      </c>
      <c r="G393" s="56">
        <v>1.0</v>
      </c>
      <c r="H393" s="60">
        <v>143059.0</v>
      </c>
      <c r="I393" s="60">
        <v>250000.0</v>
      </c>
      <c r="J393" s="60">
        <f t="shared" ref="J393:J670" si="47">I393-H393</f>
        <v>106941</v>
      </c>
      <c r="K393" s="61">
        <f t="shared" ref="K393:K670" si="48">J393/H393*100%</f>
        <v>0.7475307391</v>
      </c>
    </row>
    <row r="394" ht="27.75" customHeight="1">
      <c r="A394" s="56" t="s">
        <v>3054</v>
      </c>
      <c r="B394" s="57" t="s">
        <v>31</v>
      </c>
      <c r="C394" s="62" t="s">
        <v>3055</v>
      </c>
      <c r="D394" s="57" t="s">
        <v>1112</v>
      </c>
      <c r="E394" s="59" t="s">
        <v>1272</v>
      </c>
      <c r="F394" s="57" t="str">
        <f t="shared" si="46"/>
        <v>Menipis</v>
      </c>
      <c r="G394" s="63">
        <v>3.0</v>
      </c>
      <c r="H394" s="60">
        <v>40000.0</v>
      </c>
      <c r="I394" s="60">
        <v>70000.0</v>
      </c>
      <c r="J394" s="60">
        <f t="shared" si="47"/>
        <v>30000</v>
      </c>
      <c r="K394" s="61">
        <f t="shared" si="48"/>
        <v>0.75</v>
      </c>
    </row>
    <row r="395" ht="27.75" customHeight="1">
      <c r="A395" s="56" t="s">
        <v>3056</v>
      </c>
      <c r="B395" s="57" t="s">
        <v>31</v>
      </c>
      <c r="C395" s="58" t="s">
        <v>3057</v>
      </c>
      <c r="D395" s="57" t="s">
        <v>1112</v>
      </c>
      <c r="E395" s="59" t="s">
        <v>1272</v>
      </c>
      <c r="F395" s="57" t="str">
        <f t="shared" si="46"/>
        <v>Menipis</v>
      </c>
      <c r="G395" s="56">
        <v>2.0</v>
      </c>
      <c r="H395" s="60">
        <v>40000.0</v>
      </c>
      <c r="I395" s="60">
        <v>80000.0</v>
      </c>
      <c r="J395" s="60">
        <f t="shared" si="47"/>
        <v>40000</v>
      </c>
      <c r="K395" s="61">
        <f t="shared" si="48"/>
        <v>1</v>
      </c>
    </row>
    <row r="396" ht="27.75" customHeight="1">
      <c r="A396" s="56" t="s">
        <v>3058</v>
      </c>
      <c r="B396" s="57" t="s">
        <v>31</v>
      </c>
      <c r="C396" s="58" t="s">
        <v>3059</v>
      </c>
      <c r="D396" s="57" t="s">
        <v>1112</v>
      </c>
      <c r="E396" s="59" t="s">
        <v>1272</v>
      </c>
      <c r="F396" s="57" t="str">
        <f t="shared" si="46"/>
        <v>Menipis</v>
      </c>
      <c r="G396" s="56">
        <v>1.0</v>
      </c>
      <c r="H396" s="60">
        <v>60000.0</v>
      </c>
      <c r="I396" s="60">
        <v>90000.0</v>
      </c>
      <c r="J396" s="60">
        <f t="shared" si="47"/>
        <v>30000</v>
      </c>
      <c r="K396" s="61">
        <f t="shared" si="48"/>
        <v>0.5</v>
      </c>
    </row>
    <row r="397" ht="27.75" customHeight="1">
      <c r="A397" s="56" t="s">
        <v>3060</v>
      </c>
      <c r="B397" s="57" t="s">
        <v>31</v>
      </c>
      <c r="C397" s="58" t="s">
        <v>3061</v>
      </c>
      <c r="D397" s="57" t="s">
        <v>1112</v>
      </c>
      <c r="E397" s="59" t="s">
        <v>1272</v>
      </c>
      <c r="F397" s="57" t="str">
        <f t="shared" si="46"/>
        <v>Menipis</v>
      </c>
      <c r="G397" s="56">
        <v>1.0</v>
      </c>
      <c r="H397" s="60">
        <v>50000.0</v>
      </c>
      <c r="I397" s="60">
        <v>80000.0</v>
      </c>
      <c r="J397" s="60">
        <f t="shared" si="47"/>
        <v>30000</v>
      </c>
      <c r="K397" s="61">
        <f t="shared" si="48"/>
        <v>0.6</v>
      </c>
    </row>
    <row r="398" ht="27.75" customHeight="1">
      <c r="A398" s="56" t="s">
        <v>3062</v>
      </c>
      <c r="B398" s="57" t="s">
        <v>31</v>
      </c>
      <c r="C398" s="58" t="s">
        <v>3063</v>
      </c>
      <c r="D398" s="57" t="s">
        <v>1112</v>
      </c>
      <c r="E398" s="59" t="s">
        <v>1272</v>
      </c>
      <c r="F398" s="57" t="str">
        <f t="shared" si="46"/>
        <v>Menipis</v>
      </c>
      <c r="G398" s="56">
        <v>1.0</v>
      </c>
      <c r="H398" s="60">
        <v>117000.0</v>
      </c>
      <c r="I398" s="60">
        <v>190000.0</v>
      </c>
      <c r="J398" s="60">
        <f t="shared" si="47"/>
        <v>73000</v>
      </c>
      <c r="K398" s="61">
        <f t="shared" si="48"/>
        <v>0.6239316239</v>
      </c>
    </row>
    <row r="399" ht="27.75" customHeight="1">
      <c r="A399" s="56" t="s">
        <v>3064</v>
      </c>
      <c r="B399" s="57" t="s">
        <v>31</v>
      </c>
      <c r="C399" s="58" t="s">
        <v>3065</v>
      </c>
      <c r="D399" s="57" t="s">
        <v>1112</v>
      </c>
      <c r="E399" s="59" t="s">
        <v>1649</v>
      </c>
      <c r="F399" s="57" t="str">
        <f t="shared" si="46"/>
        <v>Menipis</v>
      </c>
      <c r="G399" s="56">
        <v>1.0</v>
      </c>
      <c r="H399" s="60">
        <v>42000.0</v>
      </c>
      <c r="I399" s="60">
        <v>60000.0</v>
      </c>
      <c r="J399" s="60">
        <f t="shared" si="47"/>
        <v>18000</v>
      </c>
      <c r="K399" s="61">
        <f t="shared" si="48"/>
        <v>0.4285714286</v>
      </c>
    </row>
    <row r="400" ht="27.75" customHeight="1">
      <c r="A400" s="56" t="s">
        <v>3066</v>
      </c>
      <c r="B400" s="57" t="s">
        <v>31</v>
      </c>
      <c r="C400" s="58" t="s">
        <v>3067</v>
      </c>
      <c r="D400" s="57" t="s">
        <v>1112</v>
      </c>
      <c r="E400" s="59" t="s">
        <v>1649</v>
      </c>
      <c r="F400" s="57" t="str">
        <f t="shared" si="46"/>
        <v>Menipis</v>
      </c>
      <c r="G400" s="56">
        <v>1.0</v>
      </c>
      <c r="H400" s="60">
        <v>82000.0</v>
      </c>
      <c r="I400" s="60">
        <v>135000.0</v>
      </c>
      <c r="J400" s="60">
        <f t="shared" si="47"/>
        <v>53000</v>
      </c>
      <c r="K400" s="61">
        <f t="shared" si="48"/>
        <v>0.6463414634</v>
      </c>
    </row>
    <row r="401" ht="27.75" customHeight="1">
      <c r="A401" s="56" t="s">
        <v>3068</v>
      </c>
      <c r="B401" s="57" t="s">
        <v>31</v>
      </c>
      <c r="C401" s="58" t="s">
        <v>3069</v>
      </c>
      <c r="D401" s="57" t="s">
        <v>1112</v>
      </c>
      <c r="E401" s="59" t="s">
        <v>3070</v>
      </c>
      <c r="F401" s="57" t="str">
        <f t="shared" si="46"/>
        <v>Habis</v>
      </c>
      <c r="G401" s="56">
        <v>0.0</v>
      </c>
      <c r="H401" s="60">
        <v>124000.0</v>
      </c>
      <c r="I401" s="60">
        <v>223200.0</v>
      </c>
      <c r="J401" s="60">
        <f t="shared" si="47"/>
        <v>99200</v>
      </c>
      <c r="K401" s="61">
        <f t="shared" si="48"/>
        <v>0.8</v>
      </c>
    </row>
    <row r="402" ht="27.75" customHeight="1">
      <c r="A402" s="56" t="s">
        <v>3071</v>
      </c>
      <c r="B402" s="57" t="s">
        <v>31</v>
      </c>
      <c r="C402" s="58" t="s">
        <v>3072</v>
      </c>
      <c r="D402" s="57" t="s">
        <v>363</v>
      </c>
      <c r="E402" s="59" t="s">
        <v>3070</v>
      </c>
      <c r="F402" s="57" t="str">
        <f t="shared" si="46"/>
        <v>Menipis</v>
      </c>
      <c r="G402" s="56">
        <v>1.0</v>
      </c>
      <c r="H402" s="60">
        <v>125000.0</v>
      </c>
      <c r="I402" s="60">
        <v>190000.0</v>
      </c>
      <c r="J402" s="60">
        <f t="shared" si="47"/>
        <v>65000</v>
      </c>
      <c r="K402" s="61">
        <f t="shared" si="48"/>
        <v>0.52</v>
      </c>
    </row>
    <row r="403" ht="27.75" customHeight="1">
      <c r="A403" s="56" t="s">
        <v>3073</v>
      </c>
      <c r="B403" s="57" t="s">
        <v>31</v>
      </c>
      <c r="C403" s="62" t="s">
        <v>3074</v>
      </c>
      <c r="D403" s="57" t="s">
        <v>1112</v>
      </c>
      <c r="E403" s="59" t="s">
        <v>2455</v>
      </c>
      <c r="F403" s="57" t="str">
        <f t="shared" si="46"/>
        <v>Menipis</v>
      </c>
      <c r="G403" s="56">
        <v>1.0</v>
      </c>
      <c r="H403" s="60">
        <v>60000.0</v>
      </c>
      <c r="I403" s="60">
        <v>90000.0</v>
      </c>
      <c r="J403" s="60">
        <f t="shared" si="47"/>
        <v>30000</v>
      </c>
      <c r="K403" s="61">
        <f t="shared" si="48"/>
        <v>0.5</v>
      </c>
    </row>
    <row r="404" ht="27.75" customHeight="1">
      <c r="A404" s="56" t="s">
        <v>3075</v>
      </c>
      <c r="B404" s="57" t="s">
        <v>31</v>
      </c>
      <c r="C404" s="58" t="s">
        <v>3076</v>
      </c>
      <c r="D404" s="57" t="s">
        <v>1112</v>
      </c>
      <c r="E404" s="59" t="s">
        <v>2445</v>
      </c>
      <c r="F404" s="57" t="str">
        <f t="shared" si="46"/>
        <v>Menipis</v>
      </c>
      <c r="G404" s="56">
        <v>1.0</v>
      </c>
      <c r="H404" s="60">
        <v>72000.0</v>
      </c>
      <c r="I404" s="60">
        <v>100000.0</v>
      </c>
      <c r="J404" s="60">
        <f t="shared" si="47"/>
        <v>28000</v>
      </c>
      <c r="K404" s="61">
        <f t="shared" si="48"/>
        <v>0.3888888889</v>
      </c>
    </row>
    <row r="405" ht="27.75" customHeight="1">
      <c r="A405" s="56" t="s">
        <v>3077</v>
      </c>
      <c r="B405" s="57" t="s">
        <v>31</v>
      </c>
      <c r="C405" s="58" t="s">
        <v>3078</v>
      </c>
      <c r="D405" s="57" t="s">
        <v>1112</v>
      </c>
      <c r="E405" s="59" t="s">
        <v>2445</v>
      </c>
      <c r="F405" s="57" t="str">
        <f t="shared" si="46"/>
        <v>Menipis</v>
      </c>
      <c r="G405" s="56">
        <v>1.0</v>
      </c>
      <c r="H405" s="60">
        <v>107000.0</v>
      </c>
      <c r="I405" s="60">
        <v>150000.0</v>
      </c>
      <c r="J405" s="60">
        <f t="shared" si="47"/>
        <v>43000</v>
      </c>
      <c r="K405" s="61">
        <f t="shared" si="48"/>
        <v>0.4018691589</v>
      </c>
    </row>
    <row r="406" ht="27.75" customHeight="1">
      <c r="A406" s="56" t="s">
        <v>3079</v>
      </c>
      <c r="B406" s="57" t="s">
        <v>31</v>
      </c>
      <c r="C406" s="58" t="s">
        <v>3080</v>
      </c>
      <c r="D406" s="57" t="s">
        <v>1112</v>
      </c>
      <c r="E406" s="59" t="s">
        <v>2445</v>
      </c>
      <c r="F406" s="57" t="str">
        <f t="shared" si="46"/>
        <v>Tersedia</v>
      </c>
      <c r="G406" s="56">
        <v>5.0</v>
      </c>
      <c r="H406" s="60">
        <v>71000.0</v>
      </c>
      <c r="I406" s="60">
        <v>110000.0</v>
      </c>
      <c r="J406" s="60">
        <f t="shared" si="47"/>
        <v>39000</v>
      </c>
      <c r="K406" s="61">
        <f t="shared" si="48"/>
        <v>0.5492957746</v>
      </c>
    </row>
    <row r="407" ht="27.75" customHeight="1">
      <c r="A407" s="56" t="s">
        <v>3081</v>
      </c>
      <c r="B407" s="57" t="s">
        <v>31</v>
      </c>
      <c r="C407" s="58" t="s">
        <v>3082</v>
      </c>
      <c r="D407" s="57" t="s">
        <v>1112</v>
      </c>
      <c r="E407" s="59" t="s">
        <v>2445</v>
      </c>
      <c r="F407" s="57" t="str">
        <f t="shared" si="46"/>
        <v>Tersedia</v>
      </c>
      <c r="G407" s="56">
        <v>5.0</v>
      </c>
      <c r="H407" s="60">
        <v>83000.0</v>
      </c>
      <c r="I407" s="60">
        <v>120000.0</v>
      </c>
      <c r="J407" s="60">
        <f t="shared" si="47"/>
        <v>37000</v>
      </c>
      <c r="K407" s="61">
        <f t="shared" si="48"/>
        <v>0.4457831325</v>
      </c>
    </row>
    <row r="408" ht="27.75" customHeight="1">
      <c r="A408" s="56" t="s">
        <v>3083</v>
      </c>
      <c r="B408" s="57" t="s">
        <v>31</v>
      </c>
      <c r="C408" s="58" t="s">
        <v>3084</v>
      </c>
      <c r="D408" s="57" t="s">
        <v>1112</v>
      </c>
      <c r="E408" s="59" t="s">
        <v>2445</v>
      </c>
      <c r="F408" s="57" t="str">
        <f t="shared" si="46"/>
        <v>Menipis</v>
      </c>
      <c r="G408" s="56">
        <v>2.0</v>
      </c>
      <c r="H408" s="60">
        <v>72000.0</v>
      </c>
      <c r="I408" s="60">
        <v>110000.0</v>
      </c>
      <c r="J408" s="60">
        <f t="shared" si="47"/>
        <v>38000</v>
      </c>
      <c r="K408" s="61">
        <f t="shared" si="48"/>
        <v>0.5277777778</v>
      </c>
    </row>
    <row r="409" ht="27.75" customHeight="1">
      <c r="A409" s="56" t="s">
        <v>3085</v>
      </c>
      <c r="B409" s="57" t="s">
        <v>31</v>
      </c>
      <c r="C409" s="58" t="s">
        <v>3086</v>
      </c>
      <c r="D409" s="57" t="s">
        <v>1112</v>
      </c>
      <c r="E409" s="59" t="s">
        <v>2445</v>
      </c>
      <c r="F409" s="57" t="str">
        <f t="shared" si="46"/>
        <v>Menipis</v>
      </c>
      <c r="G409" s="56">
        <v>1.0</v>
      </c>
      <c r="H409" s="60">
        <v>72000.0</v>
      </c>
      <c r="I409" s="60">
        <v>110000.0</v>
      </c>
      <c r="J409" s="60">
        <f t="shared" si="47"/>
        <v>38000</v>
      </c>
      <c r="K409" s="61">
        <f t="shared" si="48"/>
        <v>0.5277777778</v>
      </c>
    </row>
    <row r="410" ht="27.75" customHeight="1">
      <c r="A410" s="56" t="s">
        <v>3087</v>
      </c>
      <c r="B410" s="57" t="s">
        <v>31</v>
      </c>
      <c r="C410" s="58" t="s">
        <v>3088</v>
      </c>
      <c r="D410" s="57" t="s">
        <v>1112</v>
      </c>
      <c r="E410" s="59" t="s">
        <v>2445</v>
      </c>
      <c r="F410" s="57" t="str">
        <f t="shared" si="46"/>
        <v>Menipis</v>
      </c>
      <c r="G410" s="56">
        <v>1.0</v>
      </c>
      <c r="H410" s="60">
        <v>115000.0</v>
      </c>
      <c r="I410" s="60">
        <v>160000.0</v>
      </c>
      <c r="J410" s="60">
        <f t="shared" si="47"/>
        <v>45000</v>
      </c>
      <c r="K410" s="61">
        <f t="shared" si="48"/>
        <v>0.3913043478</v>
      </c>
    </row>
    <row r="411" ht="27.75" customHeight="1">
      <c r="A411" s="56" t="s">
        <v>3089</v>
      </c>
      <c r="B411" s="57" t="s">
        <v>31</v>
      </c>
      <c r="C411" s="58" t="s">
        <v>3090</v>
      </c>
      <c r="D411" s="57" t="s">
        <v>1112</v>
      </c>
      <c r="E411" s="59" t="s">
        <v>2423</v>
      </c>
      <c r="F411" s="57" t="str">
        <f t="shared" si="46"/>
        <v>Menipis</v>
      </c>
      <c r="G411" s="64">
        <v>1.0</v>
      </c>
      <c r="H411" s="60">
        <v>70000.0</v>
      </c>
      <c r="I411" s="60">
        <v>120000.0</v>
      </c>
      <c r="J411" s="60">
        <f t="shared" si="47"/>
        <v>50000</v>
      </c>
      <c r="K411" s="61">
        <f t="shared" si="48"/>
        <v>0.7142857143</v>
      </c>
    </row>
    <row r="412" ht="27.75" customHeight="1">
      <c r="A412" s="56" t="s">
        <v>3091</v>
      </c>
      <c r="B412" s="57" t="s">
        <v>31</v>
      </c>
      <c r="C412" s="243" t="s">
        <v>3092</v>
      </c>
      <c r="D412" s="57" t="s">
        <v>1112</v>
      </c>
      <c r="E412" s="59" t="s">
        <v>2423</v>
      </c>
      <c r="F412" s="57" t="str">
        <f t="shared" si="46"/>
        <v>Menipis</v>
      </c>
      <c r="G412" s="63">
        <v>1.0</v>
      </c>
      <c r="H412" s="60">
        <v>23900.0</v>
      </c>
      <c r="I412" s="60">
        <v>50000.0</v>
      </c>
      <c r="J412" s="60">
        <f t="shared" si="47"/>
        <v>26100</v>
      </c>
      <c r="K412" s="61">
        <f t="shared" si="48"/>
        <v>1.092050209</v>
      </c>
    </row>
    <row r="413" ht="27.75" customHeight="1">
      <c r="A413" s="56" t="s">
        <v>3093</v>
      </c>
      <c r="B413" s="57" t="s">
        <v>31</v>
      </c>
      <c r="C413" s="58" t="s">
        <v>3094</v>
      </c>
      <c r="D413" s="57" t="s">
        <v>1112</v>
      </c>
      <c r="E413" s="59" t="s">
        <v>2423</v>
      </c>
      <c r="F413" s="57" t="str">
        <f t="shared" si="46"/>
        <v>Menipis</v>
      </c>
      <c r="G413" s="64">
        <v>1.0</v>
      </c>
      <c r="H413" s="60">
        <v>30000.0</v>
      </c>
      <c r="I413" s="60">
        <v>55000.0</v>
      </c>
      <c r="J413" s="60">
        <f t="shared" si="47"/>
        <v>25000</v>
      </c>
      <c r="K413" s="61">
        <f t="shared" si="48"/>
        <v>0.8333333333</v>
      </c>
    </row>
    <row r="414" ht="27.75" customHeight="1">
      <c r="A414" s="56" t="s">
        <v>3095</v>
      </c>
      <c r="B414" s="57" t="s">
        <v>31</v>
      </c>
      <c r="C414" s="58" t="s">
        <v>3096</v>
      </c>
      <c r="D414" s="57" t="s">
        <v>1112</v>
      </c>
      <c r="E414" s="59" t="s">
        <v>2423</v>
      </c>
      <c r="F414" s="57" t="str">
        <f t="shared" si="46"/>
        <v>Tersedia</v>
      </c>
      <c r="G414" s="64">
        <v>6.0</v>
      </c>
      <c r="H414" s="60">
        <v>12500.0</v>
      </c>
      <c r="I414" s="60">
        <v>25000.0</v>
      </c>
      <c r="J414" s="60">
        <f t="shared" si="47"/>
        <v>12500</v>
      </c>
      <c r="K414" s="61">
        <f t="shared" si="48"/>
        <v>1</v>
      </c>
    </row>
    <row r="415" ht="27.75" customHeight="1">
      <c r="A415" s="56" t="s">
        <v>3097</v>
      </c>
      <c r="B415" s="57" t="s">
        <v>31</v>
      </c>
      <c r="C415" s="58" t="s">
        <v>3098</v>
      </c>
      <c r="D415" s="57" t="s">
        <v>1112</v>
      </c>
      <c r="E415" s="59" t="s">
        <v>2423</v>
      </c>
      <c r="F415" s="57" t="str">
        <f t="shared" si="46"/>
        <v>Tersedia</v>
      </c>
      <c r="G415" s="64">
        <v>17.0</v>
      </c>
      <c r="H415" s="60">
        <v>14000.0</v>
      </c>
      <c r="I415" s="60">
        <v>30000.0</v>
      </c>
      <c r="J415" s="60">
        <f t="shared" si="47"/>
        <v>16000</v>
      </c>
      <c r="K415" s="61">
        <f t="shared" si="48"/>
        <v>1.142857143</v>
      </c>
    </row>
    <row r="416" ht="27.75" customHeight="1">
      <c r="A416" s="56" t="s">
        <v>3099</v>
      </c>
      <c r="B416" s="57" t="s">
        <v>31</v>
      </c>
      <c r="C416" s="58" t="s">
        <v>3100</v>
      </c>
      <c r="D416" s="57" t="s">
        <v>1112</v>
      </c>
      <c r="E416" s="59" t="s">
        <v>2423</v>
      </c>
      <c r="F416" s="57" t="str">
        <f t="shared" si="46"/>
        <v>Habis</v>
      </c>
      <c r="G416" s="64">
        <v>0.0</v>
      </c>
      <c r="H416" s="60">
        <v>14000.0</v>
      </c>
      <c r="I416" s="60">
        <v>25000.0</v>
      </c>
      <c r="J416" s="60">
        <f t="shared" si="47"/>
        <v>11000</v>
      </c>
      <c r="K416" s="61">
        <f t="shared" si="48"/>
        <v>0.7857142857</v>
      </c>
    </row>
    <row r="417" ht="27.75" customHeight="1">
      <c r="A417" s="56" t="s">
        <v>3101</v>
      </c>
      <c r="B417" s="57" t="s">
        <v>31</v>
      </c>
      <c r="C417" s="58" t="s">
        <v>3102</v>
      </c>
      <c r="D417" s="57" t="s">
        <v>1112</v>
      </c>
      <c r="E417" s="59" t="s">
        <v>2423</v>
      </c>
      <c r="F417" s="57" t="str">
        <f t="shared" si="46"/>
        <v>Habis</v>
      </c>
      <c r="G417" s="64">
        <v>0.0</v>
      </c>
      <c r="H417" s="60">
        <v>85000.0</v>
      </c>
      <c r="I417" s="60">
        <v>160000.0</v>
      </c>
      <c r="J417" s="60">
        <f t="shared" si="47"/>
        <v>75000</v>
      </c>
      <c r="K417" s="61">
        <f t="shared" si="48"/>
        <v>0.8823529412</v>
      </c>
    </row>
    <row r="418" ht="27.75" customHeight="1">
      <c r="A418" s="56" t="s">
        <v>3103</v>
      </c>
      <c r="B418" s="57" t="s">
        <v>31</v>
      </c>
      <c r="C418" s="58" t="s">
        <v>3104</v>
      </c>
      <c r="D418" s="57" t="s">
        <v>1112</v>
      </c>
      <c r="E418" s="59" t="s">
        <v>2423</v>
      </c>
      <c r="F418" s="57" t="str">
        <f t="shared" si="46"/>
        <v>Habis</v>
      </c>
      <c r="G418" s="64">
        <v>0.0</v>
      </c>
      <c r="H418" s="60">
        <v>45000.0</v>
      </c>
      <c r="I418" s="60">
        <v>80000.0</v>
      </c>
      <c r="J418" s="60">
        <f t="shared" si="47"/>
        <v>35000</v>
      </c>
      <c r="K418" s="61">
        <f t="shared" si="48"/>
        <v>0.7777777778</v>
      </c>
    </row>
    <row r="419" ht="27.75" customHeight="1">
      <c r="A419" s="56" t="s">
        <v>3105</v>
      </c>
      <c r="B419" s="57" t="s">
        <v>31</v>
      </c>
      <c r="C419" s="58" t="s">
        <v>3106</v>
      </c>
      <c r="D419" s="57" t="s">
        <v>1112</v>
      </c>
      <c r="E419" s="59" t="s">
        <v>2579</v>
      </c>
      <c r="F419" s="57" t="str">
        <f t="shared" si="46"/>
        <v>Menipis</v>
      </c>
      <c r="G419" s="64">
        <v>1.0</v>
      </c>
      <c r="H419" s="60">
        <v>31000.0</v>
      </c>
      <c r="I419" s="60">
        <v>55000.0</v>
      </c>
      <c r="J419" s="60">
        <f t="shared" si="47"/>
        <v>24000</v>
      </c>
      <c r="K419" s="61">
        <f t="shared" si="48"/>
        <v>0.7741935484</v>
      </c>
    </row>
    <row r="420" ht="27.75" customHeight="1">
      <c r="A420" s="56" t="s">
        <v>3107</v>
      </c>
      <c r="B420" s="57" t="s">
        <v>31</v>
      </c>
      <c r="C420" s="58" t="s">
        <v>3108</v>
      </c>
      <c r="D420" s="57" t="s">
        <v>1112</v>
      </c>
      <c r="E420" s="59" t="s">
        <v>2458</v>
      </c>
      <c r="F420" s="57" t="str">
        <f t="shared" si="46"/>
        <v>Habis</v>
      </c>
      <c r="G420" s="64">
        <v>0.0</v>
      </c>
      <c r="H420" s="60">
        <v>150040.0</v>
      </c>
      <c r="I420" s="60">
        <v>210056.0</v>
      </c>
      <c r="J420" s="60">
        <f t="shared" si="47"/>
        <v>60016</v>
      </c>
      <c r="K420" s="61">
        <f t="shared" si="48"/>
        <v>0.4</v>
      </c>
    </row>
    <row r="421" ht="27.75" customHeight="1">
      <c r="A421" s="56" t="s">
        <v>3109</v>
      </c>
      <c r="B421" s="57" t="s">
        <v>31</v>
      </c>
      <c r="C421" s="58" t="s">
        <v>3110</v>
      </c>
      <c r="D421" s="57" t="s">
        <v>1112</v>
      </c>
      <c r="E421" s="59" t="s">
        <v>1205</v>
      </c>
      <c r="F421" s="57" t="str">
        <f t="shared" si="46"/>
        <v>Menipis</v>
      </c>
      <c r="G421" s="64">
        <v>1.0</v>
      </c>
      <c r="H421" s="60">
        <v>20000.0</v>
      </c>
      <c r="I421" s="60">
        <v>55000.0</v>
      </c>
      <c r="J421" s="60">
        <f t="shared" si="47"/>
        <v>35000</v>
      </c>
      <c r="K421" s="61">
        <f t="shared" si="48"/>
        <v>1.75</v>
      </c>
    </row>
    <row r="422" ht="27.75" customHeight="1">
      <c r="A422" s="56" t="s">
        <v>3111</v>
      </c>
      <c r="B422" s="57" t="s">
        <v>31</v>
      </c>
      <c r="C422" s="58" t="s">
        <v>3112</v>
      </c>
      <c r="D422" s="57" t="s">
        <v>1112</v>
      </c>
      <c r="E422" s="59" t="s">
        <v>1205</v>
      </c>
      <c r="F422" s="57" t="str">
        <f t="shared" si="46"/>
        <v>Menipis</v>
      </c>
      <c r="G422" s="64">
        <v>1.0</v>
      </c>
      <c r="H422" s="60">
        <v>60000.0</v>
      </c>
      <c r="I422" s="60">
        <v>110000.0</v>
      </c>
      <c r="J422" s="60">
        <f t="shared" si="47"/>
        <v>50000</v>
      </c>
      <c r="K422" s="61">
        <f t="shared" si="48"/>
        <v>0.8333333333</v>
      </c>
    </row>
    <row r="423" ht="27.75" customHeight="1">
      <c r="A423" s="56" t="s">
        <v>3113</v>
      </c>
      <c r="B423" s="57" t="s">
        <v>31</v>
      </c>
      <c r="C423" s="58" t="s">
        <v>3114</v>
      </c>
      <c r="D423" s="57" t="s">
        <v>1112</v>
      </c>
      <c r="E423" s="59" t="s">
        <v>1205</v>
      </c>
      <c r="F423" s="57" t="str">
        <f t="shared" si="46"/>
        <v>Menipis</v>
      </c>
      <c r="G423" s="64">
        <v>2.0</v>
      </c>
      <c r="H423" s="60">
        <v>70000.0</v>
      </c>
      <c r="I423" s="60">
        <v>125000.0</v>
      </c>
      <c r="J423" s="60">
        <f t="shared" si="47"/>
        <v>55000</v>
      </c>
      <c r="K423" s="61">
        <f t="shared" si="48"/>
        <v>0.7857142857</v>
      </c>
    </row>
    <row r="424" ht="27.75" customHeight="1">
      <c r="A424" s="56" t="s">
        <v>3115</v>
      </c>
      <c r="B424" s="57" t="s">
        <v>31</v>
      </c>
      <c r="C424" s="58" t="s">
        <v>3116</v>
      </c>
      <c r="D424" s="57" t="s">
        <v>1112</v>
      </c>
      <c r="E424" s="59" t="s">
        <v>1205</v>
      </c>
      <c r="F424" s="57" t="str">
        <f t="shared" si="46"/>
        <v>Menipis</v>
      </c>
      <c r="G424" s="64">
        <v>1.0</v>
      </c>
      <c r="H424" s="60">
        <v>70000.0</v>
      </c>
      <c r="I424" s="60">
        <v>110000.0</v>
      </c>
      <c r="J424" s="60">
        <f t="shared" si="47"/>
        <v>40000</v>
      </c>
      <c r="K424" s="61">
        <f t="shared" si="48"/>
        <v>0.5714285714</v>
      </c>
    </row>
    <row r="425" ht="27.75" customHeight="1">
      <c r="A425" s="56" t="s">
        <v>3117</v>
      </c>
      <c r="B425" s="57" t="s">
        <v>31</v>
      </c>
      <c r="C425" s="58" t="s">
        <v>3118</v>
      </c>
      <c r="D425" s="57" t="s">
        <v>1112</v>
      </c>
      <c r="E425" s="59" t="s">
        <v>1205</v>
      </c>
      <c r="F425" s="57" t="str">
        <f t="shared" si="46"/>
        <v>Menipis</v>
      </c>
      <c r="G425" s="64">
        <v>2.0</v>
      </c>
      <c r="H425" s="60">
        <v>55000.0</v>
      </c>
      <c r="I425" s="60">
        <v>90000.0</v>
      </c>
      <c r="J425" s="60">
        <f t="shared" si="47"/>
        <v>35000</v>
      </c>
      <c r="K425" s="61">
        <f t="shared" si="48"/>
        <v>0.6363636364</v>
      </c>
    </row>
    <row r="426" ht="27.75" customHeight="1">
      <c r="A426" s="56" t="s">
        <v>3119</v>
      </c>
      <c r="B426" s="57" t="s">
        <v>31</v>
      </c>
      <c r="C426" s="58" t="s">
        <v>3120</v>
      </c>
      <c r="D426" s="57" t="s">
        <v>1112</v>
      </c>
      <c r="E426" s="59" t="s">
        <v>1205</v>
      </c>
      <c r="F426" s="57" t="str">
        <f t="shared" si="46"/>
        <v>Menipis</v>
      </c>
      <c r="G426" s="64">
        <v>1.0</v>
      </c>
      <c r="H426" s="60">
        <v>55000.0</v>
      </c>
      <c r="I426" s="60">
        <v>90000.0</v>
      </c>
      <c r="J426" s="60">
        <f t="shared" si="47"/>
        <v>35000</v>
      </c>
      <c r="K426" s="61">
        <f t="shared" si="48"/>
        <v>0.6363636364</v>
      </c>
    </row>
    <row r="427" ht="27.75" customHeight="1">
      <c r="A427" s="56" t="s">
        <v>3121</v>
      </c>
      <c r="B427" s="57" t="s">
        <v>31</v>
      </c>
      <c r="C427" s="58" t="s">
        <v>3122</v>
      </c>
      <c r="D427" s="57" t="s">
        <v>1112</v>
      </c>
      <c r="E427" s="59" t="s">
        <v>1205</v>
      </c>
      <c r="F427" s="57" t="str">
        <f t="shared" si="46"/>
        <v>Menipis</v>
      </c>
      <c r="G427" s="64">
        <v>1.0</v>
      </c>
      <c r="H427" s="60">
        <v>70000.0</v>
      </c>
      <c r="I427" s="60">
        <v>110000.0</v>
      </c>
      <c r="J427" s="60">
        <f t="shared" si="47"/>
        <v>40000</v>
      </c>
      <c r="K427" s="61">
        <f t="shared" si="48"/>
        <v>0.5714285714</v>
      </c>
    </row>
    <row r="428" ht="27.75" customHeight="1">
      <c r="A428" s="56" t="s">
        <v>3123</v>
      </c>
      <c r="B428" s="57" t="s">
        <v>31</v>
      </c>
      <c r="C428" s="58" t="s">
        <v>3124</v>
      </c>
      <c r="D428" s="57" t="s">
        <v>1112</v>
      </c>
      <c r="E428" s="59" t="s">
        <v>1205</v>
      </c>
      <c r="F428" s="57" t="str">
        <f t="shared" si="46"/>
        <v>Menipis</v>
      </c>
      <c r="G428" s="64">
        <v>1.0</v>
      </c>
      <c r="H428" s="60">
        <v>67000.0</v>
      </c>
      <c r="I428" s="60">
        <v>100000.0</v>
      </c>
      <c r="J428" s="60">
        <f t="shared" si="47"/>
        <v>33000</v>
      </c>
      <c r="K428" s="61">
        <f t="shared" si="48"/>
        <v>0.4925373134</v>
      </c>
    </row>
    <row r="429" ht="27.75" customHeight="1">
      <c r="A429" s="56" t="s">
        <v>3125</v>
      </c>
      <c r="B429" s="57" t="s">
        <v>31</v>
      </c>
      <c r="C429" s="58" t="s">
        <v>3126</v>
      </c>
      <c r="D429" s="57" t="s">
        <v>1112</v>
      </c>
      <c r="E429" s="59" t="s">
        <v>1205</v>
      </c>
      <c r="F429" s="57" t="str">
        <f t="shared" si="46"/>
        <v>Menipis</v>
      </c>
      <c r="G429" s="64">
        <v>2.0</v>
      </c>
      <c r="H429" s="60">
        <v>60000.0</v>
      </c>
      <c r="I429" s="60">
        <v>95000.0</v>
      </c>
      <c r="J429" s="60">
        <f t="shared" si="47"/>
        <v>35000</v>
      </c>
      <c r="K429" s="61">
        <f t="shared" si="48"/>
        <v>0.5833333333</v>
      </c>
    </row>
    <row r="430" ht="27.75" customHeight="1">
      <c r="A430" s="56" t="s">
        <v>3127</v>
      </c>
      <c r="B430" s="57" t="s">
        <v>31</v>
      </c>
      <c r="C430" s="58" t="s">
        <v>3128</v>
      </c>
      <c r="D430" s="57" t="s">
        <v>1112</v>
      </c>
      <c r="E430" s="59" t="s">
        <v>1205</v>
      </c>
      <c r="F430" s="57" t="str">
        <f t="shared" si="46"/>
        <v>Menipis</v>
      </c>
      <c r="G430" s="64">
        <v>2.0</v>
      </c>
      <c r="H430" s="60">
        <v>46000.0</v>
      </c>
      <c r="I430" s="60">
        <v>70000.0</v>
      </c>
      <c r="J430" s="60">
        <f t="shared" si="47"/>
        <v>24000</v>
      </c>
      <c r="K430" s="61">
        <f t="shared" si="48"/>
        <v>0.5217391304</v>
      </c>
    </row>
    <row r="431" ht="27.75" customHeight="1">
      <c r="A431" s="56" t="s">
        <v>3129</v>
      </c>
      <c r="B431" s="57" t="s">
        <v>31</v>
      </c>
      <c r="C431" s="58" t="s">
        <v>3130</v>
      </c>
      <c r="D431" s="57" t="s">
        <v>1112</v>
      </c>
      <c r="E431" s="59" t="s">
        <v>1205</v>
      </c>
      <c r="F431" s="57" t="str">
        <f t="shared" si="46"/>
        <v>Menipis</v>
      </c>
      <c r="G431" s="64">
        <v>1.0</v>
      </c>
      <c r="H431" s="60">
        <v>63000.0</v>
      </c>
      <c r="I431" s="60">
        <v>100000.0</v>
      </c>
      <c r="J431" s="60">
        <f t="shared" si="47"/>
        <v>37000</v>
      </c>
      <c r="K431" s="61">
        <f t="shared" si="48"/>
        <v>0.5873015873</v>
      </c>
    </row>
    <row r="432" ht="27.75" customHeight="1">
      <c r="A432" s="56" t="s">
        <v>3131</v>
      </c>
      <c r="B432" s="57" t="s">
        <v>31</v>
      </c>
      <c r="C432" s="58" t="s">
        <v>3132</v>
      </c>
      <c r="D432" s="57" t="s">
        <v>1112</v>
      </c>
      <c r="E432" s="59" t="s">
        <v>1205</v>
      </c>
      <c r="F432" s="57" t="str">
        <f t="shared" si="46"/>
        <v>Menipis</v>
      </c>
      <c r="G432" s="64">
        <v>1.0</v>
      </c>
      <c r="H432" s="60">
        <v>52000.0</v>
      </c>
      <c r="I432" s="60">
        <v>80000.0</v>
      </c>
      <c r="J432" s="60">
        <f t="shared" si="47"/>
        <v>28000</v>
      </c>
      <c r="K432" s="61">
        <f t="shared" si="48"/>
        <v>0.5384615385</v>
      </c>
    </row>
    <row r="433" ht="27.75" customHeight="1">
      <c r="A433" s="56" t="s">
        <v>3133</v>
      </c>
      <c r="B433" s="57" t="s">
        <v>31</v>
      </c>
      <c r="C433" s="58" t="s">
        <v>3134</v>
      </c>
      <c r="D433" s="57" t="s">
        <v>1112</v>
      </c>
      <c r="E433" s="59" t="s">
        <v>1205</v>
      </c>
      <c r="F433" s="57" t="str">
        <f t="shared" si="46"/>
        <v>Menipis</v>
      </c>
      <c r="G433" s="64">
        <v>1.0</v>
      </c>
      <c r="H433" s="60">
        <v>68000.0</v>
      </c>
      <c r="I433" s="60">
        <v>110000.0</v>
      </c>
      <c r="J433" s="60">
        <f t="shared" si="47"/>
        <v>42000</v>
      </c>
      <c r="K433" s="61">
        <f t="shared" si="48"/>
        <v>0.6176470588</v>
      </c>
    </row>
    <row r="434" ht="27.75" customHeight="1">
      <c r="A434" s="56" t="s">
        <v>3135</v>
      </c>
      <c r="B434" s="57" t="s">
        <v>31</v>
      </c>
      <c r="C434" s="58" t="s">
        <v>3136</v>
      </c>
      <c r="D434" s="57" t="s">
        <v>1112</v>
      </c>
      <c r="E434" s="59" t="s">
        <v>1205</v>
      </c>
      <c r="F434" s="57" t="str">
        <f t="shared" si="46"/>
        <v>Menipis</v>
      </c>
      <c r="G434" s="64">
        <v>1.0</v>
      </c>
      <c r="H434" s="60">
        <v>61000.0</v>
      </c>
      <c r="I434" s="60">
        <v>95000.0</v>
      </c>
      <c r="J434" s="60">
        <f t="shared" si="47"/>
        <v>34000</v>
      </c>
      <c r="K434" s="61">
        <f t="shared" si="48"/>
        <v>0.5573770492</v>
      </c>
    </row>
    <row r="435" ht="27.75" customHeight="1">
      <c r="A435" s="56" t="s">
        <v>3137</v>
      </c>
      <c r="B435" s="57" t="s">
        <v>31</v>
      </c>
      <c r="C435" s="58" t="s">
        <v>3138</v>
      </c>
      <c r="D435" s="57" t="s">
        <v>1112</v>
      </c>
      <c r="E435" s="59" t="s">
        <v>1205</v>
      </c>
      <c r="F435" s="57" t="str">
        <f t="shared" si="46"/>
        <v>Menipis</v>
      </c>
      <c r="G435" s="64">
        <v>1.0</v>
      </c>
      <c r="H435" s="60">
        <v>75000.0</v>
      </c>
      <c r="I435" s="60">
        <v>110000.0</v>
      </c>
      <c r="J435" s="60">
        <f t="shared" si="47"/>
        <v>35000</v>
      </c>
      <c r="K435" s="61">
        <f t="shared" si="48"/>
        <v>0.4666666667</v>
      </c>
    </row>
    <row r="436" ht="27.75" customHeight="1">
      <c r="A436" s="56" t="s">
        <v>3139</v>
      </c>
      <c r="B436" s="57" t="s">
        <v>31</v>
      </c>
      <c r="C436" s="58" t="s">
        <v>3140</v>
      </c>
      <c r="D436" s="57" t="s">
        <v>1112</v>
      </c>
      <c r="E436" s="59" t="s">
        <v>1205</v>
      </c>
      <c r="F436" s="57" t="str">
        <f t="shared" si="46"/>
        <v>Menipis</v>
      </c>
      <c r="G436" s="64">
        <v>2.0</v>
      </c>
      <c r="H436" s="60">
        <v>59000.0</v>
      </c>
      <c r="I436" s="60">
        <v>90000.0</v>
      </c>
      <c r="J436" s="60">
        <f t="shared" si="47"/>
        <v>31000</v>
      </c>
      <c r="K436" s="61">
        <f t="shared" si="48"/>
        <v>0.5254237288</v>
      </c>
    </row>
    <row r="437" ht="27.75" customHeight="1">
      <c r="A437" s="56" t="s">
        <v>3141</v>
      </c>
      <c r="B437" s="57" t="s">
        <v>31</v>
      </c>
      <c r="C437" s="58" t="s">
        <v>3142</v>
      </c>
      <c r="D437" s="57" t="s">
        <v>1112</v>
      </c>
      <c r="E437" s="59" t="s">
        <v>1205</v>
      </c>
      <c r="F437" s="57" t="str">
        <f t="shared" si="46"/>
        <v>Menipis</v>
      </c>
      <c r="G437" s="64">
        <v>2.0</v>
      </c>
      <c r="H437" s="60">
        <v>63089.0</v>
      </c>
      <c r="I437" s="60">
        <v>110000.0</v>
      </c>
      <c r="J437" s="60">
        <f t="shared" si="47"/>
        <v>46911</v>
      </c>
      <c r="K437" s="61">
        <f t="shared" si="48"/>
        <v>0.7435686094</v>
      </c>
    </row>
    <row r="438" ht="27.75" customHeight="1">
      <c r="A438" s="56" t="s">
        <v>3143</v>
      </c>
      <c r="B438" s="57" t="s">
        <v>31</v>
      </c>
      <c r="C438" s="58" t="s">
        <v>3144</v>
      </c>
      <c r="D438" s="57" t="s">
        <v>1112</v>
      </c>
      <c r="E438" s="59" t="s">
        <v>1205</v>
      </c>
      <c r="F438" s="57" t="str">
        <f t="shared" si="46"/>
        <v>Habis</v>
      </c>
      <c r="G438" s="64">
        <v>0.0</v>
      </c>
      <c r="H438" s="60">
        <v>65000.0</v>
      </c>
      <c r="I438" s="60">
        <v>135000.0</v>
      </c>
      <c r="J438" s="60">
        <f t="shared" si="47"/>
        <v>70000</v>
      </c>
      <c r="K438" s="61">
        <f t="shared" si="48"/>
        <v>1.076923077</v>
      </c>
    </row>
    <row r="439" ht="27.75" customHeight="1">
      <c r="A439" s="56" t="s">
        <v>3145</v>
      </c>
      <c r="B439" s="57" t="s">
        <v>31</v>
      </c>
      <c r="C439" s="58" t="s">
        <v>3146</v>
      </c>
      <c r="D439" s="57" t="s">
        <v>1112</v>
      </c>
      <c r="E439" s="59" t="s">
        <v>1205</v>
      </c>
      <c r="F439" s="57" t="str">
        <f t="shared" si="46"/>
        <v>Habis</v>
      </c>
      <c r="G439" s="64">
        <v>0.0</v>
      </c>
      <c r="H439" s="60">
        <v>65000.0</v>
      </c>
      <c r="I439" s="60">
        <v>110000.0</v>
      </c>
      <c r="J439" s="60">
        <f t="shared" si="47"/>
        <v>45000</v>
      </c>
      <c r="K439" s="61">
        <f t="shared" si="48"/>
        <v>0.6923076923</v>
      </c>
    </row>
    <row r="440" ht="27.75" customHeight="1">
      <c r="A440" s="56" t="s">
        <v>3147</v>
      </c>
      <c r="B440" s="57" t="s">
        <v>31</v>
      </c>
      <c r="C440" s="58" t="s">
        <v>3148</v>
      </c>
      <c r="D440" s="57" t="s">
        <v>1112</v>
      </c>
      <c r="E440" s="59" t="s">
        <v>1205</v>
      </c>
      <c r="F440" s="57" t="str">
        <f t="shared" si="46"/>
        <v>Habis</v>
      </c>
      <c r="G440" s="64">
        <v>0.0</v>
      </c>
      <c r="H440" s="60">
        <v>22000.0</v>
      </c>
      <c r="I440" s="60">
        <v>40000.0</v>
      </c>
      <c r="J440" s="60">
        <f t="shared" si="47"/>
        <v>18000</v>
      </c>
      <c r="K440" s="61">
        <f t="shared" si="48"/>
        <v>0.8181818182</v>
      </c>
    </row>
    <row r="441" ht="27.75" customHeight="1">
      <c r="A441" s="56" t="s">
        <v>3149</v>
      </c>
      <c r="B441" s="57" t="s">
        <v>31</v>
      </c>
      <c r="C441" s="58" t="s">
        <v>3150</v>
      </c>
      <c r="D441" s="57" t="s">
        <v>1112</v>
      </c>
      <c r="E441" s="59" t="s">
        <v>1205</v>
      </c>
      <c r="F441" s="57" t="str">
        <f t="shared" si="46"/>
        <v>Habis</v>
      </c>
      <c r="G441" s="64">
        <v>0.0</v>
      </c>
      <c r="H441" s="60">
        <v>18432.0</v>
      </c>
      <c r="I441" s="60">
        <v>33178.0</v>
      </c>
      <c r="J441" s="60">
        <f t="shared" si="47"/>
        <v>14746</v>
      </c>
      <c r="K441" s="61">
        <f t="shared" si="48"/>
        <v>0.8000217014</v>
      </c>
    </row>
    <row r="442" ht="27.75" customHeight="1">
      <c r="A442" s="56" t="s">
        <v>3151</v>
      </c>
      <c r="B442" s="57" t="s">
        <v>31</v>
      </c>
      <c r="C442" s="58" t="s">
        <v>3152</v>
      </c>
      <c r="D442" s="57" t="s">
        <v>1112</v>
      </c>
      <c r="E442" s="59" t="s">
        <v>2442</v>
      </c>
      <c r="F442" s="57" t="str">
        <f t="shared" si="46"/>
        <v>Menipis</v>
      </c>
      <c r="G442" s="64">
        <v>1.0</v>
      </c>
      <c r="H442" s="60">
        <v>150000.0</v>
      </c>
      <c r="I442" s="60">
        <v>250000.0</v>
      </c>
      <c r="J442" s="60">
        <f t="shared" si="47"/>
        <v>100000</v>
      </c>
      <c r="K442" s="61">
        <f t="shared" si="48"/>
        <v>0.6666666667</v>
      </c>
    </row>
    <row r="443" ht="27.75" customHeight="1">
      <c r="A443" s="56" t="s">
        <v>3153</v>
      </c>
      <c r="B443" s="57" t="s">
        <v>31</v>
      </c>
      <c r="C443" s="58" t="s">
        <v>3154</v>
      </c>
      <c r="D443" s="57" t="s">
        <v>1112</v>
      </c>
      <c r="E443" s="59" t="s">
        <v>2442</v>
      </c>
      <c r="F443" s="57" t="str">
        <f t="shared" si="46"/>
        <v>Menipis</v>
      </c>
      <c r="G443" s="64">
        <v>1.0</v>
      </c>
      <c r="H443" s="60">
        <v>72000.0</v>
      </c>
      <c r="I443" s="60">
        <v>110000.0</v>
      </c>
      <c r="J443" s="60">
        <f t="shared" si="47"/>
        <v>38000</v>
      </c>
      <c r="K443" s="61">
        <f t="shared" si="48"/>
        <v>0.5277777778</v>
      </c>
    </row>
    <row r="444" ht="27.75" customHeight="1">
      <c r="A444" s="56" t="s">
        <v>3155</v>
      </c>
      <c r="B444" s="57" t="s">
        <v>31</v>
      </c>
      <c r="C444" s="58" t="s">
        <v>3156</v>
      </c>
      <c r="D444" s="57" t="s">
        <v>1112</v>
      </c>
      <c r="E444" s="59" t="s">
        <v>2442</v>
      </c>
      <c r="F444" s="57" t="str">
        <f t="shared" si="46"/>
        <v>Menipis</v>
      </c>
      <c r="G444" s="64">
        <v>2.0</v>
      </c>
      <c r="H444" s="60">
        <v>75000.0</v>
      </c>
      <c r="I444" s="60">
        <v>100000.0</v>
      </c>
      <c r="J444" s="60">
        <f t="shared" si="47"/>
        <v>25000</v>
      </c>
      <c r="K444" s="61">
        <f t="shared" si="48"/>
        <v>0.3333333333</v>
      </c>
    </row>
    <row r="445" ht="27.75" customHeight="1">
      <c r="A445" s="56" t="s">
        <v>3157</v>
      </c>
      <c r="B445" s="57" t="s">
        <v>31</v>
      </c>
      <c r="C445" s="58" t="s">
        <v>3158</v>
      </c>
      <c r="D445" s="57" t="s">
        <v>2852</v>
      </c>
      <c r="E445" s="59" t="s">
        <v>2442</v>
      </c>
      <c r="F445" s="57" t="str">
        <f t="shared" si="46"/>
        <v>Menipis</v>
      </c>
      <c r="G445" s="64">
        <v>2.0</v>
      </c>
      <c r="H445" s="60">
        <v>38000.0</v>
      </c>
      <c r="I445" s="60">
        <v>55000.0</v>
      </c>
      <c r="J445" s="60">
        <f t="shared" si="47"/>
        <v>17000</v>
      </c>
      <c r="K445" s="61">
        <f t="shared" si="48"/>
        <v>0.4473684211</v>
      </c>
    </row>
    <row r="446" ht="27.75" customHeight="1">
      <c r="A446" s="56" t="s">
        <v>3159</v>
      </c>
      <c r="B446" s="57" t="s">
        <v>31</v>
      </c>
      <c r="C446" s="58" t="s">
        <v>3160</v>
      </c>
      <c r="D446" s="57" t="s">
        <v>1112</v>
      </c>
      <c r="E446" s="59" t="s">
        <v>2442</v>
      </c>
      <c r="F446" s="57" t="str">
        <f t="shared" si="46"/>
        <v>Habis</v>
      </c>
      <c r="G446" s="64">
        <v>0.0</v>
      </c>
      <c r="H446" s="60">
        <v>149017.0</v>
      </c>
      <c r="I446" s="60">
        <v>268231.0</v>
      </c>
      <c r="J446" s="60">
        <f t="shared" si="47"/>
        <v>119214</v>
      </c>
      <c r="K446" s="61">
        <f t="shared" si="48"/>
        <v>0.8000026843</v>
      </c>
    </row>
    <row r="447" ht="27.75" customHeight="1">
      <c r="A447" s="56" t="s">
        <v>3161</v>
      </c>
      <c r="B447" s="57" t="s">
        <v>31</v>
      </c>
      <c r="C447" s="58" t="s">
        <v>3162</v>
      </c>
      <c r="D447" s="57" t="s">
        <v>1112</v>
      </c>
      <c r="E447" s="59" t="s">
        <v>2442</v>
      </c>
      <c r="F447" s="57" t="str">
        <f t="shared" si="46"/>
        <v>Habis</v>
      </c>
      <c r="G447" s="64">
        <v>0.0</v>
      </c>
      <c r="H447" s="60">
        <v>92171.0</v>
      </c>
      <c r="I447" s="60">
        <v>165908.0</v>
      </c>
      <c r="J447" s="60">
        <f t="shared" si="47"/>
        <v>73737</v>
      </c>
      <c r="K447" s="61">
        <f t="shared" si="48"/>
        <v>0.8000021699</v>
      </c>
    </row>
    <row r="448" ht="27.75" customHeight="1">
      <c r="A448" s="56" t="s">
        <v>3163</v>
      </c>
      <c r="B448" s="57" t="s">
        <v>31</v>
      </c>
      <c r="C448" s="58" t="s">
        <v>3164</v>
      </c>
      <c r="D448" s="57" t="s">
        <v>1112</v>
      </c>
      <c r="E448" s="59" t="s">
        <v>2442</v>
      </c>
      <c r="F448" s="57" t="str">
        <f t="shared" si="46"/>
        <v>Habis</v>
      </c>
      <c r="G448" s="64">
        <v>0.0</v>
      </c>
      <c r="H448" s="60">
        <v>68567.0</v>
      </c>
      <c r="I448" s="60">
        <v>123421.0</v>
      </c>
      <c r="J448" s="60">
        <f t="shared" si="47"/>
        <v>54854</v>
      </c>
      <c r="K448" s="61">
        <f t="shared" si="48"/>
        <v>0.8000058337</v>
      </c>
    </row>
    <row r="449" ht="27.75" customHeight="1">
      <c r="A449" s="56" t="s">
        <v>3165</v>
      </c>
      <c r="B449" s="57" t="s">
        <v>31</v>
      </c>
      <c r="C449" s="58" t="s">
        <v>3166</v>
      </c>
      <c r="D449" s="57" t="s">
        <v>1112</v>
      </c>
      <c r="E449" s="59" t="s">
        <v>2442</v>
      </c>
      <c r="F449" s="57" t="str">
        <f t="shared" si="46"/>
        <v>Habis</v>
      </c>
      <c r="G449" s="64">
        <v>0.0</v>
      </c>
      <c r="H449" s="60">
        <v>73342.0</v>
      </c>
      <c r="I449" s="60">
        <v>132016.0</v>
      </c>
      <c r="J449" s="60">
        <f t="shared" si="47"/>
        <v>58674</v>
      </c>
      <c r="K449" s="61">
        <f t="shared" si="48"/>
        <v>0.8000054539</v>
      </c>
    </row>
    <row r="450" ht="27.75" customHeight="1">
      <c r="A450" s="56" t="s">
        <v>3167</v>
      </c>
      <c r="B450" s="57" t="s">
        <v>31</v>
      </c>
      <c r="C450" s="58" t="s">
        <v>3168</v>
      </c>
      <c r="D450" s="57" t="s">
        <v>1112</v>
      </c>
      <c r="E450" s="59" t="s">
        <v>2442</v>
      </c>
      <c r="F450" s="57" t="str">
        <f t="shared" si="46"/>
        <v>Habis</v>
      </c>
      <c r="G450" s="64">
        <v>0.0</v>
      </c>
      <c r="H450" s="60">
        <v>36182.0</v>
      </c>
      <c r="I450" s="60">
        <v>65128.0</v>
      </c>
      <c r="J450" s="60">
        <f t="shared" si="47"/>
        <v>28946</v>
      </c>
      <c r="K450" s="61">
        <f t="shared" si="48"/>
        <v>0.8000110552</v>
      </c>
    </row>
    <row r="451" ht="27.75" customHeight="1">
      <c r="A451" s="56" t="s">
        <v>3169</v>
      </c>
      <c r="B451" s="57" t="s">
        <v>31</v>
      </c>
      <c r="C451" s="58" t="s">
        <v>3170</v>
      </c>
      <c r="D451" s="57" t="s">
        <v>1112</v>
      </c>
      <c r="E451" s="59" t="s">
        <v>1900</v>
      </c>
      <c r="F451" s="57" t="str">
        <f t="shared" si="46"/>
        <v>Menipis</v>
      </c>
      <c r="G451" s="64">
        <v>1.0</v>
      </c>
      <c r="H451" s="60">
        <v>35000.0</v>
      </c>
      <c r="I451" s="60">
        <v>75000.0</v>
      </c>
      <c r="J451" s="60">
        <f t="shared" si="47"/>
        <v>40000</v>
      </c>
      <c r="K451" s="61">
        <f t="shared" si="48"/>
        <v>1.142857143</v>
      </c>
    </row>
    <row r="452" ht="27.75" customHeight="1">
      <c r="A452" s="56" t="s">
        <v>3171</v>
      </c>
      <c r="B452" s="57" t="s">
        <v>31</v>
      </c>
      <c r="C452" s="58" t="s">
        <v>3172</v>
      </c>
      <c r="D452" s="57" t="s">
        <v>1112</v>
      </c>
      <c r="E452" s="59" t="s">
        <v>1900</v>
      </c>
      <c r="F452" s="57" t="str">
        <f t="shared" si="46"/>
        <v>Menipis</v>
      </c>
      <c r="G452" s="64">
        <v>2.0</v>
      </c>
      <c r="H452" s="60">
        <v>25000.0</v>
      </c>
      <c r="I452" s="60">
        <v>35000.0</v>
      </c>
      <c r="J452" s="60">
        <f t="shared" si="47"/>
        <v>10000</v>
      </c>
      <c r="K452" s="61">
        <f t="shared" si="48"/>
        <v>0.4</v>
      </c>
    </row>
    <row r="453" ht="27.75" customHeight="1">
      <c r="A453" s="56" t="s">
        <v>3173</v>
      </c>
      <c r="B453" s="57" t="s">
        <v>31</v>
      </c>
      <c r="C453" s="58" t="s">
        <v>3174</v>
      </c>
      <c r="D453" s="57" t="s">
        <v>1112</v>
      </c>
      <c r="E453" s="59" t="s">
        <v>1900</v>
      </c>
      <c r="F453" s="57" t="str">
        <f t="shared" si="46"/>
        <v>Menipis</v>
      </c>
      <c r="G453" s="64">
        <v>1.0</v>
      </c>
      <c r="H453" s="60">
        <v>45000.0</v>
      </c>
      <c r="I453" s="60">
        <v>80000.0</v>
      </c>
      <c r="J453" s="60">
        <f t="shared" si="47"/>
        <v>35000</v>
      </c>
      <c r="K453" s="61">
        <f t="shared" si="48"/>
        <v>0.7777777778</v>
      </c>
    </row>
    <row r="454" ht="27.75" customHeight="1">
      <c r="A454" s="56" t="s">
        <v>3175</v>
      </c>
      <c r="B454" s="57" t="s">
        <v>31</v>
      </c>
      <c r="C454" s="58" t="s">
        <v>3176</v>
      </c>
      <c r="D454" s="57" t="s">
        <v>1112</v>
      </c>
      <c r="E454" s="59" t="s">
        <v>1900</v>
      </c>
      <c r="F454" s="57" t="str">
        <f t="shared" si="46"/>
        <v>Menipis</v>
      </c>
      <c r="G454" s="64">
        <v>2.0</v>
      </c>
      <c r="H454" s="60">
        <v>40000.0</v>
      </c>
      <c r="I454" s="60">
        <v>65000.0</v>
      </c>
      <c r="J454" s="60">
        <f t="shared" si="47"/>
        <v>25000</v>
      </c>
      <c r="K454" s="61">
        <f t="shared" si="48"/>
        <v>0.625</v>
      </c>
    </row>
    <row r="455" ht="27.75" customHeight="1">
      <c r="A455" s="56" t="s">
        <v>3177</v>
      </c>
      <c r="B455" s="57" t="s">
        <v>31</v>
      </c>
      <c r="C455" s="58" t="s">
        <v>3178</v>
      </c>
      <c r="D455" s="57" t="s">
        <v>1112</v>
      </c>
      <c r="E455" s="59" t="s">
        <v>1900</v>
      </c>
      <c r="F455" s="57" t="str">
        <f t="shared" si="46"/>
        <v>Menipis</v>
      </c>
      <c r="G455" s="64">
        <v>1.0</v>
      </c>
      <c r="H455" s="60">
        <v>45000.0</v>
      </c>
      <c r="I455" s="60">
        <v>75000.0</v>
      </c>
      <c r="J455" s="60">
        <f t="shared" si="47"/>
        <v>30000</v>
      </c>
      <c r="K455" s="61">
        <f t="shared" si="48"/>
        <v>0.6666666667</v>
      </c>
    </row>
    <row r="456" ht="27.75" customHeight="1">
      <c r="A456" s="56" t="s">
        <v>3179</v>
      </c>
      <c r="B456" s="57" t="s">
        <v>31</v>
      </c>
      <c r="C456" s="58" t="s">
        <v>3180</v>
      </c>
      <c r="D456" s="57" t="s">
        <v>1112</v>
      </c>
      <c r="E456" s="59" t="s">
        <v>1900</v>
      </c>
      <c r="F456" s="57" t="str">
        <f t="shared" si="46"/>
        <v>Menipis</v>
      </c>
      <c r="G456" s="64">
        <v>1.0</v>
      </c>
      <c r="H456" s="60">
        <v>45000.0</v>
      </c>
      <c r="I456" s="60">
        <v>75000.0</v>
      </c>
      <c r="J456" s="60">
        <f t="shared" si="47"/>
        <v>30000</v>
      </c>
      <c r="K456" s="61">
        <f t="shared" si="48"/>
        <v>0.6666666667</v>
      </c>
    </row>
    <row r="457" ht="27.75" customHeight="1">
      <c r="A457" s="56" t="s">
        <v>3181</v>
      </c>
      <c r="B457" s="57" t="s">
        <v>31</v>
      </c>
      <c r="C457" s="58" t="s">
        <v>3182</v>
      </c>
      <c r="D457" s="57" t="s">
        <v>1112</v>
      </c>
      <c r="E457" s="59" t="s">
        <v>1900</v>
      </c>
      <c r="F457" s="57" t="str">
        <f t="shared" si="46"/>
        <v>Menipis</v>
      </c>
      <c r="G457" s="64">
        <v>1.0</v>
      </c>
      <c r="H457" s="60">
        <v>40000.0</v>
      </c>
      <c r="I457" s="60">
        <v>75000.0</v>
      </c>
      <c r="J457" s="60">
        <f t="shared" si="47"/>
        <v>35000</v>
      </c>
      <c r="K457" s="61">
        <f t="shared" si="48"/>
        <v>0.875</v>
      </c>
    </row>
    <row r="458" ht="27.75" customHeight="1">
      <c r="A458" s="56" t="s">
        <v>3183</v>
      </c>
      <c r="B458" s="57" t="s">
        <v>31</v>
      </c>
      <c r="C458" s="58" t="s">
        <v>3184</v>
      </c>
      <c r="D458" s="57" t="s">
        <v>1112</v>
      </c>
      <c r="E458" s="59" t="s">
        <v>1900</v>
      </c>
      <c r="F458" s="57" t="str">
        <f t="shared" si="46"/>
        <v>Menipis</v>
      </c>
      <c r="G458" s="64">
        <v>1.0</v>
      </c>
      <c r="H458" s="60">
        <v>49000.0</v>
      </c>
      <c r="I458" s="60">
        <v>80000.0</v>
      </c>
      <c r="J458" s="60">
        <f t="shared" si="47"/>
        <v>31000</v>
      </c>
      <c r="K458" s="61">
        <f t="shared" si="48"/>
        <v>0.6326530612</v>
      </c>
    </row>
    <row r="459" ht="27.75" customHeight="1">
      <c r="A459" s="56" t="s">
        <v>3185</v>
      </c>
      <c r="B459" s="57" t="s">
        <v>31</v>
      </c>
      <c r="C459" s="58" t="s">
        <v>3186</v>
      </c>
      <c r="D459" s="57" t="s">
        <v>1112</v>
      </c>
      <c r="E459" s="59" t="s">
        <v>1900</v>
      </c>
      <c r="F459" s="57" t="str">
        <f t="shared" si="46"/>
        <v>Tersedia</v>
      </c>
      <c r="G459" s="64">
        <v>17.0</v>
      </c>
      <c r="H459" s="60">
        <v>10300.0</v>
      </c>
      <c r="I459" s="60">
        <v>20000.0</v>
      </c>
      <c r="J459" s="60">
        <f t="shared" si="47"/>
        <v>9700</v>
      </c>
      <c r="K459" s="61">
        <f t="shared" si="48"/>
        <v>0.9417475728</v>
      </c>
    </row>
    <row r="460" ht="27.75" customHeight="1">
      <c r="A460" s="56" t="s">
        <v>3187</v>
      </c>
      <c r="B460" s="57" t="s">
        <v>31</v>
      </c>
      <c r="C460" s="58" t="s">
        <v>3188</v>
      </c>
      <c r="D460" s="57" t="s">
        <v>1112</v>
      </c>
      <c r="E460" s="59" t="s">
        <v>1900</v>
      </c>
      <c r="F460" s="57" t="str">
        <f t="shared" si="46"/>
        <v>Tersedia</v>
      </c>
      <c r="G460" s="64">
        <v>10.0</v>
      </c>
      <c r="H460" s="60">
        <v>15000.0</v>
      </c>
      <c r="I460" s="60">
        <v>25000.0</v>
      </c>
      <c r="J460" s="60">
        <f t="shared" si="47"/>
        <v>10000</v>
      </c>
      <c r="K460" s="61">
        <f t="shared" si="48"/>
        <v>0.6666666667</v>
      </c>
    </row>
    <row r="461" ht="27.75" customHeight="1">
      <c r="A461" s="56" t="s">
        <v>3189</v>
      </c>
      <c r="B461" s="57" t="s">
        <v>31</v>
      </c>
      <c r="C461" s="58" t="s">
        <v>3190</v>
      </c>
      <c r="D461" s="57" t="s">
        <v>1112</v>
      </c>
      <c r="E461" s="59" t="s">
        <v>1900</v>
      </c>
      <c r="F461" s="57" t="str">
        <f t="shared" si="46"/>
        <v>Menipis</v>
      </c>
      <c r="G461" s="64">
        <v>1.0</v>
      </c>
      <c r="H461" s="60">
        <v>35000.0</v>
      </c>
      <c r="I461" s="60">
        <v>55000.0</v>
      </c>
      <c r="J461" s="60">
        <f t="shared" si="47"/>
        <v>20000</v>
      </c>
      <c r="K461" s="61">
        <f t="shared" si="48"/>
        <v>0.5714285714</v>
      </c>
    </row>
    <row r="462" ht="27.75" customHeight="1">
      <c r="A462" s="56" t="s">
        <v>3191</v>
      </c>
      <c r="B462" s="57" t="s">
        <v>31</v>
      </c>
      <c r="C462" s="58" t="s">
        <v>3192</v>
      </c>
      <c r="D462" s="57" t="s">
        <v>1112</v>
      </c>
      <c r="E462" s="59" t="s">
        <v>1900</v>
      </c>
      <c r="F462" s="57" t="str">
        <f t="shared" si="46"/>
        <v>Tersedia</v>
      </c>
      <c r="G462" s="64">
        <v>7.0</v>
      </c>
      <c r="H462" s="60">
        <v>17000.0</v>
      </c>
      <c r="I462" s="60">
        <v>30000.0</v>
      </c>
      <c r="J462" s="60">
        <f t="shared" si="47"/>
        <v>13000</v>
      </c>
      <c r="K462" s="61">
        <f t="shared" si="48"/>
        <v>0.7647058824</v>
      </c>
    </row>
    <row r="463" ht="27.75" customHeight="1">
      <c r="A463" s="56" t="s">
        <v>3193</v>
      </c>
      <c r="B463" s="57" t="s">
        <v>31</v>
      </c>
      <c r="C463" s="58" t="s">
        <v>3194</v>
      </c>
      <c r="D463" s="57" t="s">
        <v>1112</v>
      </c>
      <c r="E463" s="59" t="s">
        <v>1900</v>
      </c>
      <c r="F463" s="57" t="str">
        <f t="shared" si="46"/>
        <v>Menipis</v>
      </c>
      <c r="G463" s="64">
        <v>2.0</v>
      </c>
      <c r="H463" s="60">
        <v>32016.0</v>
      </c>
      <c r="I463" s="60">
        <v>55000.0</v>
      </c>
      <c r="J463" s="60">
        <f t="shared" si="47"/>
        <v>22984</v>
      </c>
      <c r="K463" s="61">
        <f t="shared" si="48"/>
        <v>0.7178910545</v>
      </c>
    </row>
    <row r="464" ht="27.75" customHeight="1">
      <c r="A464" s="56" t="s">
        <v>3195</v>
      </c>
      <c r="B464" s="57" t="s">
        <v>31</v>
      </c>
      <c r="C464" s="58" t="s">
        <v>3196</v>
      </c>
      <c r="D464" s="57" t="s">
        <v>1112</v>
      </c>
      <c r="E464" s="59" t="s">
        <v>1900</v>
      </c>
      <c r="F464" s="57" t="str">
        <f t="shared" si="46"/>
        <v>Menipis</v>
      </c>
      <c r="G464" s="64">
        <v>1.0</v>
      </c>
      <c r="H464" s="60">
        <v>35000.0</v>
      </c>
      <c r="I464" s="60">
        <v>70000.0</v>
      </c>
      <c r="J464" s="60">
        <f t="shared" si="47"/>
        <v>35000</v>
      </c>
      <c r="K464" s="61">
        <f t="shared" si="48"/>
        <v>1</v>
      </c>
    </row>
    <row r="465" ht="27.75" customHeight="1">
      <c r="A465" s="56" t="s">
        <v>3197</v>
      </c>
      <c r="B465" s="57" t="s">
        <v>31</v>
      </c>
      <c r="C465" s="58" t="s">
        <v>3198</v>
      </c>
      <c r="D465" s="57" t="s">
        <v>1112</v>
      </c>
      <c r="E465" s="59" t="s">
        <v>1900</v>
      </c>
      <c r="F465" s="57" t="str">
        <f t="shared" si="46"/>
        <v>Menipis</v>
      </c>
      <c r="G465" s="64">
        <v>3.0</v>
      </c>
      <c r="H465" s="60">
        <v>34000.0</v>
      </c>
      <c r="I465" s="60">
        <v>70000.0</v>
      </c>
      <c r="J465" s="60">
        <f t="shared" si="47"/>
        <v>36000</v>
      </c>
      <c r="K465" s="61">
        <f t="shared" si="48"/>
        <v>1.058823529</v>
      </c>
    </row>
    <row r="466" ht="27.75" customHeight="1">
      <c r="A466" s="56" t="s">
        <v>3199</v>
      </c>
      <c r="B466" s="57" t="s">
        <v>31</v>
      </c>
      <c r="C466" s="58" t="s">
        <v>3200</v>
      </c>
      <c r="D466" s="57" t="s">
        <v>1112</v>
      </c>
      <c r="E466" s="59" t="s">
        <v>1900</v>
      </c>
      <c r="F466" s="57" t="str">
        <f t="shared" si="46"/>
        <v>Menipis</v>
      </c>
      <c r="G466" s="64">
        <v>1.0</v>
      </c>
      <c r="H466" s="60">
        <v>25000.0</v>
      </c>
      <c r="I466" s="60">
        <v>50000.0</v>
      </c>
      <c r="J466" s="60">
        <f t="shared" si="47"/>
        <v>25000</v>
      </c>
      <c r="K466" s="61">
        <f t="shared" si="48"/>
        <v>1</v>
      </c>
    </row>
    <row r="467" ht="27.75" customHeight="1">
      <c r="A467" s="56" t="s">
        <v>3201</v>
      </c>
      <c r="B467" s="57" t="s">
        <v>31</v>
      </c>
      <c r="C467" s="58" t="s">
        <v>3202</v>
      </c>
      <c r="D467" s="57" t="s">
        <v>1112</v>
      </c>
      <c r="E467" s="59" t="s">
        <v>1900</v>
      </c>
      <c r="F467" s="57" t="str">
        <f t="shared" si="46"/>
        <v>Menipis</v>
      </c>
      <c r="G467" s="64">
        <v>2.0</v>
      </c>
      <c r="H467" s="60">
        <v>61000.0</v>
      </c>
      <c r="I467" s="60">
        <v>110000.0</v>
      </c>
      <c r="J467" s="60">
        <f t="shared" si="47"/>
        <v>49000</v>
      </c>
      <c r="K467" s="61">
        <f t="shared" si="48"/>
        <v>0.8032786885</v>
      </c>
    </row>
    <row r="468" ht="27.75" customHeight="1">
      <c r="A468" s="56" t="s">
        <v>3203</v>
      </c>
      <c r="B468" s="57" t="s">
        <v>31</v>
      </c>
      <c r="C468" s="58" t="s">
        <v>3204</v>
      </c>
      <c r="D468" s="57" t="s">
        <v>1112</v>
      </c>
      <c r="E468" s="59" t="s">
        <v>1900</v>
      </c>
      <c r="F468" s="57" t="str">
        <f t="shared" si="46"/>
        <v>Menipis</v>
      </c>
      <c r="G468" s="64">
        <v>1.0</v>
      </c>
      <c r="H468" s="60">
        <v>37000.0</v>
      </c>
      <c r="I468" s="60">
        <v>70000.0</v>
      </c>
      <c r="J468" s="60">
        <f t="shared" si="47"/>
        <v>33000</v>
      </c>
      <c r="K468" s="61">
        <f t="shared" si="48"/>
        <v>0.8918918919</v>
      </c>
    </row>
    <row r="469" ht="27.75" customHeight="1">
      <c r="A469" s="56" t="s">
        <v>3205</v>
      </c>
      <c r="B469" s="57" t="s">
        <v>31</v>
      </c>
      <c r="C469" s="58" t="s">
        <v>3206</v>
      </c>
      <c r="D469" s="57" t="s">
        <v>1112</v>
      </c>
      <c r="E469" s="59" t="s">
        <v>1900</v>
      </c>
      <c r="F469" s="57" t="str">
        <f t="shared" si="46"/>
        <v>Menipis</v>
      </c>
      <c r="G469" s="64">
        <v>1.0</v>
      </c>
      <c r="H469" s="60">
        <v>25000.0</v>
      </c>
      <c r="I469" s="60">
        <v>50000.0</v>
      </c>
      <c r="J469" s="60">
        <f t="shared" si="47"/>
        <v>25000</v>
      </c>
      <c r="K469" s="61">
        <f t="shared" si="48"/>
        <v>1</v>
      </c>
    </row>
    <row r="470" ht="27.75" customHeight="1">
      <c r="A470" s="56" t="s">
        <v>3207</v>
      </c>
      <c r="B470" s="57" t="s">
        <v>31</v>
      </c>
      <c r="C470" s="58" t="s">
        <v>3208</v>
      </c>
      <c r="D470" s="57" t="s">
        <v>1112</v>
      </c>
      <c r="E470" s="59" t="s">
        <v>1900</v>
      </c>
      <c r="F470" s="57" t="str">
        <f t="shared" si="46"/>
        <v>Menipis</v>
      </c>
      <c r="G470" s="64">
        <v>1.0</v>
      </c>
      <c r="H470" s="60">
        <v>40000.0</v>
      </c>
      <c r="I470" s="60">
        <v>75000.0</v>
      </c>
      <c r="J470" s="60">
        <f t="shared" si="47"/>
        <v>35000</v>
      </c>
      <c r="K470" s="61">
        <f t="shared" si="48"/>
        <v>0.875</v>
      </c>
    </row>
    <row r="471" ht="27.75" customHeight="1">
      <c r="A471" s="56" t="s">
        <v>3209</v>
      </c>
      <c r="B471" s="57" t="s">
        <v>31</v>
      </c>
      <c r="C471" s="58" t="s">
        <v>3210</v>
      </c>
      <c r="D471" s="57" t="s">
        <v>1112</v>
      </c>
      <c r="E471" s="59" t="s">
        <v>1900</v>
      </c>
      <c r="F471" s="57" t="str">
        <f t="shared" si="46"/>
        <v>Menipis</v>
      </c>
      <c r="G471" s="64">
        <v>2.0</v>
      </c>
      <c r="H471" s="60">
        <v>32000.0</v>
      </c>
      <c r="I471" s="60">
        <v>70000.0</v>
      </c>
      <c r="J471" s="60">
        <f t="shared" si="47"/>
        <v>38000</v>
      </c>
      <c r="K471" s="61">
        <f t="shared" si="48"/>
        <v>1.1875</v>
      </c>
    </row>
    <row r="472" ht="27.75" customHeight="1">
      <c r="A472" s="56" t="s">
        <v>3211</v>
      </c>
      <c r="B472" s="57" t="s">
        <v>31</v>
      </c>
      <c r="C472" s="58" t="s">
        <v>3212</v>
      </c>
      <c r="D472" s="57" t="s">
        <v>1112</v>
      </c>
      <c r="E472" s="59" t="s">
        <v>1900</v>
      </c>
      <c r="F472" s="57" t="str">
        <f t="shared" si="46"/>
        <v>Tersedia</v>
      </c>
      <c r="G472" s="64">
        <v>5.0</v>
      </c>
      <c r="H472" s="60">
        <v>35000.0</v>
      </c>
      <c r="I472" s="60">
        <v>55000.0</v>
      </c>
      <c r="J472" s="60">
        <f t="shared" si="47"/>
        <v>20000</v>
      </c>
      <c r="K472" s="61">
        <f t="shared" si="48"/>
        <v>0.5714285714</v>
      </c>
    </row>
    <row r="473" ht="27.75" customHeight="1">
      <c r="A473" s="56" t="s">
        <v>3213</v>
      </c>
      <c r="B473" s="57" t="s">
        <v>31</v>
      </c>
      <c r="C473" s="58" t="s">
        <v>3214</v>
      </c>
      <c r="D473" s="57" t="s">
        <v>1112</v>
      </c>
      <c r="E473" s="59" t="s">
        <v>1900</v>
      </c>
      <c r="F473" s="57" t="str">
        <f t="shared" si="46"/>
        <v>Tersedia</v>
      </c>
      <c r="G473" s="64">
        <v>8.0</v>
      </c>
      <c r="H473" s="60">
        <v>15000.0</v>
      </c>
      <c r="I473" s="60">
        <v>25000.0</v>
      </c>
      <c r="J473" s="60">
        <f t="shared" si="47"/>
        <v>10000</v>
      </c>
      <c r="K473" s="61">
        <f t="shared" si="48"/>
        <v>0.6666666667</v>
      </c>
    </row>
    <row r="474" ht="27.75" customHeight="1">
      <c r="A474" s="56" t="s">
        <v>3215</v>
      </c>
      <c r="B474" s="57" t="s">
        <v>31</v>
      </c>
      <c r="C474" s="58" t="s">
        <v>3216</v>
      </c>
      <c r="D474" s="57" t="s">
        <v>1112</v>
      </c>
      <c r="E474" s="59" t="s">
        <v>1900</v>
      </c>
      <c r="F474" s="57" t="str">
        <f t="shared" si="46"/>
        <v>Menipis</v>
      </c>
      <c r="G474" s="64">
        <v>1.0</v>
      </c>
      <c r="H474" s="60">
        <v>41000.0</v>
      </c>
      <c r="I474" s="60">
        <v>70000.0</v>
      </c>
      <c r="J474" s="60">
        <f t="shared" si="47"/>
        <v>29000</v>
      </c>
      <c r="K474" s="61">
        <f t="shared" si="48"/>
        <v>0.7073170732</v>
      </c>
    </row>
    <row r="475" ht="27.75" customHeight="1">
      <c r="A475" s="56" t="s">
        <v>3217</v>
      </c>
      <c r="B475" s="57" t="s">
        <v>31</v>
      </c>
      <c r="C475" s="58" t="s">
        <v>3218</v>
      </c>
      <c r="D475" s="57" t="s">
        <v>1112</v>
      </c>
      <c r="E475" s="59" t="s">
        <v>1900</v>
      </c>
      <c r="F475" s="57" t="str">
        <f t="shared" si="46"/>
        <v>Menipis</v>
      </c>
      <c r="G475" s="64">
        <v>2.0</v>
      </c>
      <c r="H475" s="60">
        <v>40000.0</v>
      </c>
      <c r="I475" s="60">
        <v>75000.0</v>
      </c>
      <c r="J475" s="60">
        <f t="shared" si="47"/>
        <v>35000</v>
      </c>
      <c r="K475" s="61">
        <f t="shared" si="48"/>
        <v>0.875</v>
      </c>
    </row>
    <row r="476" ht="27.75" customHeight="1">
      <c r="A476" s="56" t="s">
        <v>3219</v>
      </c>
      <c r="B476" s="57" t="s">
        <v>31</v>
      </c>
      <c r="C476" s="58" t="s">
        <v>3220</v>
      </c>
      <c r="D476" s="57" t="s">
        <v>1112</v>
      </c>
      <c r="E476" s="59" t="s">
        <v>1900</v>
      </c>
      <c r="F476" s="57" t="str">
        <f t="shared" si="46"/>
        <v>Menipis</v>
      </c>
      <c r="G476" s="64">
        <v>2.0</v>
      </c>
      <c r="H476" s="60">
        <v>43000.0</v>
      </c>
      <c r="I476" s="60">
        <v>75000.0</v>
      </c>
      <c r="J476" s="60">
        <f t="shared" si="47"/>
        <v>32000</v>
      </c>
      <c r="K476" s="61">
        <f t="shared" si="48"/>
        <v>0.7441860465</v>
      </c>
    </row>
    <row r="477" ht="27.75" customHeight="1">
      <c r="A477" s="56" t="s">
        <v>3221</v>
      </c>
      <c r="B477" s="57" t="s">
        <v>31</v>
      </c>
      <c r="C477" s="58" t="s">
        <v>3222</v>
      </c>
      <c r="D477" s="57" t="s">
        <v>1112</v>
      </c>
      <c r="E477" s="59" t="s">
        <v>1900</v>
      </c>
      <c r="F477" s="57" t="str">
        <f t="shared" si="46"/>
        <v>Menipis</v>
      </c>
      <c r="G477" s="64">
        <v>2.0</v>
      </c>
      <c r="H477" s="60">
        <v>36000.0</v>
      </c>
      <c r="I477" s="60">
        <v>70000.0</v>
      </c>
      <c r="J477" s="60">
        <f t="shared" si="47"/>
        <v>34000</v>
      </c>
      <c r="K477" s="61">
        <f t="shared" si="48"/>
        <v>0.9444444444</v>
      </c>
    </row>
    <row r="478" ht="27.75" customHeight="1">
      <c r="A478" s="56" t="s">
        <v>3223</v>
      </c>
      <c r="B478" s="57" t="s">
        <v>31</v>
      </c>
      <c r="C478" s="58" t="s">
        <v>3224</v>
      </c>
      <c r="D478" s="57" t="s">
        <v>1112</v>
      </c>
      <c r="E478" s="59" t="s">
        <v>1900</v>
      </c>
      <c r="F478" s="57" t="str">
        <f t="shared" si="46"/>
        <v>Habis</v>
      </c>
      <c r="G478" s="64">
        <v>0.0</v>
      </c>
      <c r="H478" s="60">
        <v>27847.0</v>
      </c>
      <c r="I478" s="60">
        <v>50125.0</v>
      </c>
      <c r="J478" s="60">
        <f t="shared" si="47"/>
        <v>22278</v>
      </c>
      <c r="K478" s="61">
        <f t="shared" si="48"/>
        <v>0.8000143642</v>
      </c>
    </row>
    <row r="479" ht="27.75" customHeight="1">
      <c r="A479" s="56" t="s">
        <v>3225</v>
      </c>
      <c r="B479" s="57" t="s">
        <v>31</v>
      </c>
      <c r="C479" s="58" t="s">
        <v>3226</v>
      </c>
      <c r="D479" s="57" t="s">
        <v>1112</v>
      </c>
      <c r="E479" s="59" t="s">
        <v>1900</v>
      </c>
      <c r="F479" s="57" t="str">
        <f t="shared" si="46"/>
        <v>Habis</v>
      </c>
      <c r="G479" s="64">
        <v>0.0</v>
      </c>
      <c r="H479" s="60">
        <v>30913.0</v>
      </c>
      <c r="I479" s="60">
        <v>55643.0</v>
      </c>
      <c r="J479" s="60">
        <f t="shared" si="47"/>
        <v>24730</v>
      </c>
      <c r="K479" s="61">
        <f t="shared" si="48"/>
        <v>0.7999870605</v>
      </c>
    </row>
    <row r="480" ht="27.75" customHeight="1">
      <c r="A480" s="56" t="s">
        <v>3227</v>
      </c>
      <c r="B480" s="57" t="s">
        <v>31</v>
      </c>
      <c r="C480" s="58" t="s">
        <v>3228</v>
      </c>
      <c r="D480" s="57" t="s">
        <v>1112</v>
      </c>
      <c r="E480" s="59" t="s">
        <v>1900</v>
      </c>
      <c r="F480" s="57" t="str">
        <f t="shared" si="46"/>
        <v>Habis</v>
      </c>
      <c r="G480" s="64">
        <v>0.0</v>
      </c>
      <c r="H480" s="60">
        <v>32000.0</v>
      </c>
      <c r="I480" s="60">
        <v>57600.0</v>
      </c>
      <c r="J480" s="60">
        <f t="shared" si="47"/>
        <v>25600</v>
      </c>
      <c r="K480" s="61">
        <f t="shared" si="48"/>
        <v>0.8</v>
      </c>
    </row>
    <row r="481" ht="27.75" customHeight="1">
      <c r="A481" s="56" t="s">
        <v>3229</v>
      </c>
      <c r="B481" s="57" t="s">
        <v>31</v>
      </c>
      <c r="C481" s="58" t="s">
        <v>3230</v>
      </c>
      <c r="D481" s="57" t="s">
        <v>1112</v>
      </c>
      <c r="E481" s="59" t="s">
        <v>1900</v>
      </c>
      <c r="F481" s="57" t="str">
        <f t="shared" si="46"/>
        <v>Habis</v>
      </c>
      <c r="G481" s="64">
        <v>0.0</v>
      </c>
      <c r="H481" s="60">
        <v>9650.0</v>
      </c>
      <c r="I481" s="60">
        <v>17370.0</v>
      </c>
      <c r="J481" s="60">
        <f t="shared" si="47"/>
        <v>7720</v>
      </c>
      <c r="K481" s="61">
        <f t="shared" si="48"/>
        <v>0.8</v>
      </c>
    </row>
    <row r="482" ht="27.75" customHeight="1">
      <c r="A482" s="56" t="s">
        <v>3231</v>
      </c>
      <c r="B482" s="57" t="s">
        <v>31</v>
      </c>
      <c r="C482" s="58" t="s">
        <v>3232</v>
      </c>
      <c r="D482" s="57" t="s">
        <v>1112</v>
      </c>
      <c r="E482" s="59" t="s">
        <v>1900</v>
      </c>
      <c r="F482" s="57" t="str">
        <f t="shared" si="46"/>
        <v>Habis</v>
      </c>
      <c r="G482" s="64">
        <v>0.0</v>
      </c>
      <c r="H482" s="60">
        <v>13000.0</v>
      </c>
      <c r="I482" s="60">
        <v>23400.0</v>
      </c>
      <c r="J482" s="60">
        <f t="shared" si="47"/>
        <v>10400</v>
      </c>
      <c r="K482" s="61">
        <f t="shared" si="48"/>
        <v>0.8</v>
      </c>
    </row>
    <row r="483" ht="27.75" customHeight="1">
      <c r="A483" s="56" t="s">
        <v>3233</v>
      </c>
      <c r="B483" s="57" t="s">
        <v>31</v>
      </c>
      <c r="C483" s="58" t="s">
        <v>3234</v>
      </c>
      <c r="D483" s="57" t="s">
        <v>1112</v>
      </c>
      <c r="E483" s="59" t="s">
        <v>1900</v>
      </c>
      <c r="F483" s="57" t="str">
        <f t="shared" si="46"/>
        <v>Habis</v>
      </c>
      <c r="G483" s="64">
        <v>0.0</v>
      </c>
      <c r="H483" s="60">
        <v>12500.0</v>
      </c>
      <c r="I483" s="60">
        <v>22500.0</v>
      </c>
      <c r="J483" s="60">
        <f t="shared" si="47"/>
        <v>10000</v>
      </c>
      <c r="K483" s="61">
        <f t="shared" si="48"/>
        <v>0.8</v>
      </c>
    </row>
    <row r="484" ht="27.75" customHeight="1">
      <c r="A484" s="56" t="s">
        <v>3235</v>
      </c>
      <c r="B484" s="57" t="s">
        <v>31</v>
      </c>
      <c r="C484" s="58" t="s">
        <v>3236</v>
      </c>
      <c r="D484" s="57" t="s">
        <v>1112</v>
      </c>
      <c r="E484" s="59" t="s">
        <v>1900</v>
      </c>
      <c r="F484" s="57" t="str">
        <f t="shared" si="46"/>
        <v>Habis</v>
      </c>
      <c r="G484" s="64">
        <v>0.0</v>
      </c>
      <c r="H484" s="60">
        <v>21522.0</v>
      </c>
      <c r="I484" s="60">
        <v>38740.0</v>
      </c>
      <c r="J484" s="60">
        <f t="shared" si="47"/>
        <v>17218</v>
      </c>
      <c r="K484" s="61">
        <f t="shared" si="48"/>
        <v>0.8000185856</v>
      </c>
    </row>
    <row r="485" ht="27.75" customHeight="1">
      <c r="A485" s="56" t="s">
        <v>3237</v>
      </c>
      <c r="B485" s="57" t="s">
        <v>31</v>
      </c>
      <c r="C485" s="58" t="s">
        <v>3238</v>
      </c>
      <c r="D485" s="57" t="s">
        <v>1112</v>
      </c>
      <c r="E485" s="59" t="s">
        <v>1900</v>
      </c>
      <c r="F485" s="57" t="str">
        <f t="shared" si="46"/>
        <v>Habis</v>
      </c>
      <c r="G485" s="64">
        <v>0.0</v>
      </c>
      <c r="H485" s="60">
        <v>6000.0</v>
      </c>
      <c r="I485" s="60">
        <v>10800.0</v>
      </c>
      <c r="J485" s="60">
        <f t="shared" si="47"/>
        <v>4800</v>
      </c>
      <c r="K485" s="61">
        <f t="shared" si="48"/>
        <v>0.8</v>
      </c>
    </row>
    <row r="486" ht="27.75" customHeight="1">
      <c r="A486" s="56" t="s">
        <v>3239</v>
      </c>
      <c r="B486" s="57" t="s">
        <v>31</v>
      </c>
      <c r="C486" s="58" t="s">
        <v>3240</v>
      </c>
      <c r="D486" s="57" t="s">
        <v>1112</v>
      </c>
      <c r="E486" s="59" t="s">
        <v>1900</v>
      </c>
      <c r="F486" s="57" t="str">
        <f t="shared" si="46"/>
        <v>Habis</v>
      </c>
      <c r="G486" s="64">
        <v>0.0</v>
      </c>
      <c r="H486" s="60">
        <v>37627.0</v>
      </c>
      <c r="I486" s="60">
        <v>67729.0</v>
      </c>
      <c r="J486" s="60">
        <f t="shared" si="47"/>
        <v>30102</v>
      </c>
      <c r="K486" s="61">
        <f t="shared" si="48"/>
        <v>0.8000106307</v>
      </c>
    </row>
    <row r="487" ht="27.75" customHeight="1">
      <c r="A487" s="56" t="s">
        <v>3241</v>
      </c>
      <c r="B487" s="57" t="s">
        <v>31</v>
      </c>
      <c r="C487" s="58" t="s">
        <v>3242</v>
      </c>
      <c r="D487" s="57" t="s">
        <v>1112</v>
      </c>
      <c r="E487" s="59" t="s">
        <v>1900</v>
      </c>
      <c r="F487" s="57" t="str">
        <f t="shared" si="46"/>
        <v>Habis</v>
      </c>
      <c r="G487" s="64">
        <v>0.0</v>
      </c>
      <c r="H487" s="60">
        <v>40634.0</v>
      </c>
      <c r="I487" s="60">
        <v>73141.0</v>
      </c>
      <c r="J487" s="60">
        <f t="shared" si="47"/>
        <v>32507</v>
      </c>
      <c r="K487" s="61">
        <f t="shared" si="48"/>
        <v>0.799995078</v>
      </c>
    </row>
    <row r="488" ht="27.75" customHeight="1">
      <c r="A488" s="56" t="s">
        <v>3243</v>
      </c>
      <c r="B488" s="57" t="s">
        <v>31</v>
      </c>
      <c r="C488" s="58" t="s">
        <v>3244</v>
      </c>
      <c r="D488" s="57" t="s">
        <v>1112</v>
      </c>
      <c r="E488" s="59" t="s">
        <v>1900</v>
      </c>
      <c r="F488" s="57" t="str">
        <f t="shared" si="46"/>
        <v>Habis</v>
      </c>
      <c r="G488" s="64">
        <v>0.0</v>
      </c>
      <c r="H488" s="60">
        <v>37627.0</v>
      </c>
      <c r="I488" s="60">
        <v>67729.0</v>
      </c>
      <c r="J488" s="60">
        <f t="shared" si="47"/>
        <v>30102</v>
      </c>
      <c r="K488" s="61">
        <f t="shared" si="48"/>
        <v>0.8000106307</v>
      </c>
    </row>
    <row r="489" ht="27.75" customHeight="1">
      <c r="A489" s="56" t="s">
        <v>3245</v>
      </c>
      <c r="B489" s="57" t="s">
        <v>31</v>
      </c>
      <c r="C489" s="58" t="s">
        <v>3246</v>
      </c>
      <c r="D489" s="57" t="s">
        <v>1112</v>
      </c>
      <c r="E489" s="59" t="s">
        <v>1900</v>
      </c>
      <c r="F489" s="57" t="str">
        <f t="shared" si="46"/>
        <v>Habis</v>
      </c>
      <c r="G489" s="64">
        <v>0.0</v>
      </c>
      <c r="H489" s="60">
        <v>41919.0</v>
      </c>
      <c r="I489" s="60">
        <v>75454.0</v>
      </c>
      <c r="J489" s="60">
        <f t="shared" si="47"/>
        <v>33535</v>
      </c>
      <c r="K489" s="61">
        <f t="shared" si="48"/>
        <v>0.7999952289</v>
      </c>
    </row>
    <row r="490" ht="27.75" customHeight="1">
      <c r="A490" s="56" t="s">
        <v>3247</v>
      </c>
      <c r="B490" s="57" t="s">
        <v>31</v>
      </c>
      <c r="C490" s="58" t="s">
        <v>3248</v>
      </c>
      <c r="D490" s="57" t="s">
        <v>1112</v>
      </c>
      <c r="E490" s="59" t="s">
        <v>1900</v>
      </c>
      <c r="F490" s="57" t="str">
        <f t="shared" si="46"/>
        <v>Habis</v>
      </c>
      <c r="G490" s="64">
        <v>0.0</v>
      </c>
      <c r="H490" s="60">
        <v>50450.0</v>
      </c>
      <c r="I490" s="60">
        <v>90810.0</v>
      </c>
      <c r="J490" s="60">
        <f t="shared" si="47"/>
        <v>40360</v>
      </c>
      <c r="K490" s="61">
        <f t="shared" si="48"/>
        <v>0.8</v>
      </c>
    </row>
    <row r="491" ht="27.75" customHeight="1">
      <c r="A491" s="56" t="s">
        <v>3249</v>
      </c>
      <c r="B491" s="57" t="s">
        <v>31</v>
      </c>
      <c r="C491" s="58" t="s">
        <v>3250</v>
      </c>
      <c r="D491" s="57" t="s">
        <v>1112</v>
      </c>
      <c r="E491" s="59" t="s">
        <v>1900</v>
      </c>
      <c r="F491" s="57" t="str">
        <f t="shared" si="46"/>
        <v>Habis</v>
      </c>
      <c r="G491" s="64">
        <v>0.0</v>
      </c>
      <c r="H491" s="60">
        <v>38307.0</v>
      </c>
      <c r="I491" s="60">
        <v>68953.0</v>
      </c>
      <c r="J491" s="60">
        <f t="shared" si="47"/>
        <v>30646</v>
      </c>
      <c r="K491" s="61">
        <f t="shared" si="48"/>
        <v>0.800010442</v>
      </c>
    </row>
    <row r="492" ht="27.75" customHeight="1">
      <c r="A492" s="56" t="s">
        <v>3251</v>
      </c>
      <c r="B492" s="57" t="s">
        <v>31</v>
      </c>
      <c r="C492" s="58" t="s">
        <v>3252</v>
      </c>
      <c r="D492" s="57" t="s">
        <v>1112</v>
      </c>
      <c r="E492" s="59" t="s">
        <v>1900</v>
      </c>
      <c r="F492" s="57" t="str">
        <f t="shared" si="46"/>
        <v>Habis</v>
      </c>
      <c r="G492" s="64">
        <v>0.0</v>
      </c>
      <c r="H492" s="60">
        <v>43478.0</v>
      </c>
      <c r="I492" s="60">
        <v>78260.0</v>
      </c>
      <c r="J492" s="60">
        <f t="shared" si="47"/>
        <v>34782</v>
      </c>
      <c r="K492" s="61">
        <f t="shared" si="48"/>
        <v>0.7999907999</v>
      </c>
    </row>
    <row r="493" ht="27.75" customHeight="1">
      <c r="A493" s="56" t="s">
        <v>3253</v>
      </c>
      <c r="B493" s="57" t="s">
        <v>31</v>
      </c>
      <c r="C493" s="58" t="s">
        <v>3254</v>
      </c>
      <c r="D493" s="57" t="s">
        <v>1112</v>
      </c>
      <c r="E493" s="59" t="s">
        <v>1900</v>
      </c>
      <c r="F493" s="57" t="str">
        <f t="shared" si="46"/>
        <v>Habis</v>
      </c>
      <c r="G493" s="64">
        <v>0.0</v>
      </c>
      <c r="H493" s="60">
        <v>43478.0</v>
      </c>
      <c r="I493" s="60">
        <v>78260.0</v>
      </c>
      <c r="J493" s="60">
        <f t="shared" si="47"/>
        <v>34782</v>
      </c>
      <c r="K493" s="61">
        <f t="shared" si="48"/>
        <v>0.7999907999</v>
      </c>
    </row>
    <row r="494" ht="27.75" customHeight="1">
      <c r="A494" s="56" t="s">
        <v>3255</v>
      </c>
      <c r="B494" s="57" t="s">
        <v>31</v>
      </c>
      <c r="C494" s="58" t="s">
        <v>3256</v>
      </c>
      <c r="D494" s="57" t="s">
        <v>1112</v>
      </c>
      <c r="E494" s="59" t="s">
        <v>1900</v>
      </c>
      <c r="F494" s="57" t="str">
        <f t="shared" si="46"/>
        <v>Habis</v>
      </c>
      <c r="G494" s="64">
        <v>0.0</v>
      </c>
      <c r="H494" s="60">
        <v>39195.0</v>
      </c>
      <c r="I494" s="60">
        <v>75000.0</v>
      </c>
      <c r="J494" s="60">
        <f t="shared" si="47"/>
        <v>35805</v>
      </c>
      <c r="K494" s="61">
        <f t="shared" si="48"/>
        <v>0.9135093762</v>
      </c>
    </row>
    <row r="495" ht="27.75" customHeight="1">
      <c r="A495" s="56" t="s">
        <v>3257</v>
      </c>
      <c r="B495" s="57" t="s">
        <v>31</v>
      </c>
      <c r="C495" s="58" t="s">
        <v>3258</v>
      </c>
      <c r="D495" s="57" t="s">
        <v>1112</v>
      </c>
      <c r="E495" s="59" t="s">
        <v>1900</v>
      </c>
      <c r="F495" s="57" t="str">
        <f t="shared" si="46"/>
        <v>Habis</v>
      </c>
      <c r="G495" s="64">
        <v>0.0</v>
      </c>
      <c r="H495" s="60">
        <v>46443.0</v>
      </c>
      <c r="I495" s="60">
        <v>85000.0</v>
      </c>
      <c r="J495" s="60">
        <f t="shared" si="47"/>
        <v>38557</v>
      </c>
      <c r="K495" s="61">
        <f t="shared" si="48"/>
        <v>0.8302004608</v>
      </c>
    </row>
    <row r="496" ht="27.75" customHeight="1">
      <c r="A496" s="56" t="s">
        <v>3259</v>
      </c>
      <c r="B496" s="57" t="s">
        <v>31</v>
      </c>
      <c r="C496" s="58" t="s">
        <v>3260</v>
      </c>
      <c r="D496" s="57" t="s">
        <v>1112</v>
      </c>
      <c r="E496" s="59" t="s">
        <v>1900</v>
      </c>
      <c r="F496" s="57" t="str">
        <f t="shared" si="46"/>
        <v>Habis</v>
      </c>
      <c r="G496" s="64">
        <v>0.0</v>
      </c>
      <c r="H496" s="60">
        <v>10300.0</v>
      </c>
      <c r="I496" s="60">
        <v>25000.0</v>
      </c>
      <c r="J496" s="60">
        <f t="shared" si="47"/>
        <v>14700</v>
      </c>
      <c r="K496" s="61">
        <f t="shared" si="48"/>
        <v>1.427184466</v>
      </c>
    </row>
    <row r="497" ht="27.75" customHeight="1">
      <c r="A497" s="56" t="s">
        <v>3261</v>
      </c>
      <c r="B497" s="57" t="s">
        <v>31</v>
      </c>
      <c r="C497" s="58" t="s">
        <v>3262</v>
      </c>
      <c r="D497" s="57" t="s">
        <v>1112</v>
      </c>
      <c r="E497" s="59" t="s">
        <v>1900</v>
      </c>
      <c r="F497" s="57" t="str">
        <f t="shared" si="46"/>
        <v>Habis</v>
      </c>
      <c r="G497" s="64">
        <v>0.0</v>
      </c>
      <c r="H497" s="60">
        <v>14250.0</v>
      </c>
      <c r="I497" s="60">
        <v>30000.0</v>
      </c>
      <c r="J497" s="60">
        <f t="shared" si="47"/>
        <v>15750</v>
      </c>
      <c r="K497" s="61">
        <f t="shared" si="48"/>
        <v>1.105263158</v>
      </c>
    </row>
    <row r="498" ht="27.75" customHeight="1">
      <c r="A498" s="56" t="s">
        <v>3263</v>
      </c>
      <c r="B498" s="57" t="s">
        <v>31</v>
      </c>
      <c r="C498" s="58" t="s">
        <v>3264</v>
      </c>
      <c r="D498" s="57" t="s">
        <v>1112</v>
      </c>
      <c r="E498" s="59" t="s">
        <v>1900</v>
      </c>
      <c r="F498" s="57" t="str">
        <f t="shared" si="46"/>
        <v>Habis</v>
      </c>
      <c r="G498" s="64">
        <v>0.0</v>
      </c>
      <c r="H498" s="60">
        <v>13500.0</v>
      </c>
      <c r="I498" s="60">
        <v>25000.0</v>
      </c>
      <c r="J498" s="60">
        <f t="shared" si="47"/>
        <v>11500</v>
      </c>
      <c r="K498" s="61">
        <f t="shared" si="48"/>
        <v>0.8518518519</v>
      </c>
    </row>
    <row r="499" ht="27.75" customHeight="1">
      <c r="A499" s="56" t="s">
        <v>3265</v>
      </c>
      <c r="B499" s="57" t="s">
        <v>31</v>
      </c>
      <c r="C499" s="58" t="s">
        <v>3266</v>
      </c>
      <c r="D499" s="57" t="s">
        <v>1112</v>
      </c>
      <c r="E499" s="59" t="s">
        <v>1900</v>
      </c>
      <c r="F499" s="57" t="str">
        <f t="shared" si="46"/>
        <v>Habis</v>
      </c>
      <c r="G499" s="64">
        <v>0.0</v>
      </c>
      <c r="H499" s="60">
        <v>32882.0</v>
      </c>
      <c r="I499" s="60">
        <v>60000.0</v>
      </c>
      <c r="J499" s="60">
        <f t="shared" si="47"/>
        <v>27118</v>
      </c>
      <c r="K499" s="61">
        <f t="shared" si="48"/>
        <v>0.8247065264</v>
      </c>
    </row>
    <row r="500" ht="27.75" customHeight="1">
      <c r="A500" s="56" t="s">
        <v>3267</v>
      </c>
      <c r="B500" s="57" t="s">
        <v>31</v>
      </c>
      <c r="C500" s="58" t="s">
        <v>3268</v>
      </c>
      <c r="D500" s="57" t="s">
        <v>1112</v>
      </c>
      <c r="E500" s="59" t="s">
        <v>1900</v>
      </c>
      <c r="F500" s="57" t="str">
        <f t="shared" si="46"/>
        <v>Habis</v>
      </c>
      <c r="G500" s="64">
        <v>0.0</v>
      </c>
      <c r="H500" s="60">
        <v>34810.0</v>
      </c>
      <c r="I500" s="60">
        <v>65000.0</v>
      </c>
      <c r="J500" s="60">
        <f t="shared" si="47"/>
        <v>30190</v>
      </c>
      <c r="K500" s="61">
        <f t="shared" si="48"/>
        <v>0.8672795174</v>
      </c>
    </row>
    <row r="501" ht="27.75" customHeight="1">
      <c r="A501" s="56" t="s">
        <v>3269</v>
      </c>
      <c r="B501" s="57" t="s">
        <v>31</v>
      </c>
      <c r="C501" s="58" t="s">
        <v>3270</v>
      </c>
      <c r="D501" s="57" t="s">
        <v>1112</v>
      </c>
      <c r="E501" s="59" t="s">
        <v>1900</v>
      </c>
      <c r="F501" s="57" t="str">
        <f t="shared" si="46"/>
        <v>Habis</v>
      </c>
      <c r="G501" s="64">
        <v>0.0</v>
      </c>
      <c r="H501" s="60">
        <v>15000.0</v>
      </c>
      <c r="I501" s="60">
        <v>30000.0</v>
      </c>
      <c r="J501" s="60">
        <f t="shared" si="47"/>
        <v>15000</v>
      </c>
      <c r="K501" s="61">
        <f t="shared" si="48"/>
        <v>1</v>
      </c>
    </row>
    <row r="502" ht="27.75" customHeight="1">
      <c r="A502" s="56" t="s">
        <v>3271</v>
      </c>
      <c r="B502" s="57" t="s">
        <v>31</v>
      </c>
      <c r="C502" s="58" t="s">
        <v>3272</v>
      </c>
      <c r="D502" s="57" t="s">
        <v>1112</v>
      </c>
      <c r="E502" s="59" t="s">
        <v>1900</v>
      </c>
      <c r="F502" s="57" t="str">
        <f t="shared" si="46"/>
        <v>Habis</v>
      </c>
      <c r="G502" s="64">
        <v>0.0</v>
      </c>
      <c r="H502" s="60">
        <v>16750.0</v>
      </c>
      <c r="I502" s="60">
        <v>35000.0</v>
      </c>
      <c r="J502" s="60">
        <f t="shared" si="47"/>
        <v>18250</v>
      </c>
      <c r="K502" s="61">
        <f t="shared" si="48"/>
        <v>1.089552239</v>
      </c>
    </row>
    <row r="503" ht="27.75" customHeight="1">
      <c r="A503" s="56" t="s">
        <v>3273</v>
      </c>
      <c r="B503" s="57" t="s">
        <v>31</v>
      </c>
      <c r="C503" s="58" t="s">
        <v>3274</v>
      </c>
      <c r="D503" s="57" t="s">
        <v>1112</v>
      </c>
      <c r="E503" s="59" t="s">
        <v>1900</v>
      </c>
      <c r="F503" s="57" t="str">
        <f t="shared" si="46"/>
        <v>Habis</v>
      </c>
      <c r="G503" s="64">
        <v>0.0</v>
      </c>
      <c r="H503" s="60">
        <v>33316.0</v>
      </c>
      <c r="I503" s="60">
        <v>60000.0</v>
      </c>
      <c r="J503" s="60">
        <f t="shared" si="47"/>
        <v>26684</v>
      </c>
      <c r="K503" s="61">
        <f t="shared" si="48"/>
        <v>0.800936487</v>
      </c>
    </row>
    <row r="504" ht="27.75" customHeight="1">
      <c r="A504" s="56" t="s">
        <v>3275</v>
      </c>
      <c r="B504" s="57" t="s">
        <v>31</v>
      </c>
      <c r="C504" s="58" t="s">
        <v>3276</v>
      </c>
      <c r="D504" s="57" t="s">
        <v>1112</v>
      </c>
      <c r="E504" s="59" t="s">
        <v>1900</v>
      </c>
      <c r="F504" s="57" t="str">
        <f t="shared" si="46"/>
        <v>Habis</v>
      </c>
      <c r="G504" s="64">
        <v>0.0</v>
      </c>
      <c r="H504" s="60">
        <v>48994.0</v>
      </c>
      <c r="I504" s="60">
        <v>90000.0</v>
      </c>
      <c r="J504" s="60">
        <f t="shared" si="47"/>
        <v>41006</v>
      </c>
      <c r="K504" s="61">
        <f t="shared" si="48"/>
        <v>0.8369596277</v>
      </c>
    </row>
    <row r="505" ht="27.75" customHeight="1">
      <c r="A505" s="56" t="s">
        <v>3277</v>
      </c>
      <c r="B505" s="57" t="s">
        <v>31</v>
      </c>
      <c r="C505" s="58" t="s">
        <v>3278</v>
      </c>
      <c r="D505" s="57" t="s">
        <v>1112</v>
      </c>
      <c r="E505" s="59" t="s">
        <v>1900</v>
      </c>
      <c r="F505" s="57" t="str">
        <f t="shared" si="46"/>
        <v>Habis</v>
      </c>
      <c r="G505" s="64">
        <v>0.0</v>
      </c>
      <c r="H505" s="60">
        <v>6000.0</v>
      </c>
      <c r="I505" s="60">
        <v>15000.0</v>
      </c>
      <c r="J505" s="60">
        <f t="shared" si="47"/>
        <v>9000</v>
      </c>
      <c r="K505" s="61">
        <f t="shared" si="48"/>
        <v>1.5</v>
      </c>
    </row>
    <row r="506" ht="27.75" customHeight="1">
      <c r="A506" s="56" t="s">
        <v>3279</v>
      </c>
      <c r="B506" s="57" t="s">
        <v>31</v>
      </c>
      <c r="C506" s="58" t="s">
        <v>3280</v>
      </c>
      <c r="D506" s="57" t="s">
        <v>1112</v>
      </c>
      <c r="E506" s="59" t="s">
        <v>1900</v>
      </c>
      <c r="F506" s="57" t="str">
        <f t="shared" si="46"/>
        <v>Habis</v>
      </c>
      <c r="G506" s="64">
        <v>0.0</v>
      </c>
      <c r="H506" s="60">
        <v>5892.0</v>
      </c>
      <c r="I506" s="60">
        <v>15000.0</v>
      </c>
      <c r="J506" s="60">
        <f t="shared" si="47"/>
        <v>9108</v>
      </c>
      <c r="K506" s="61">
        <f t="shared" si="48"/>
        <v>1.545824847</v>
      </c>
    </row>
    <row r="507" ht="27.75" customHeight="1">
      <c r="A507" s="56" t="s">
        <v>3281</v>
      </c>
      <c r="B507" s="57" t="s">
        <v>31</v>
      </c>
      <c r="C507" s="58" t="s">
        <v>3282</v>
      </c>
      <c r="D507" s="57" t="s">
        <v>1112</v>
      </c>
      <c r="E507" s="59" t="s">
        <v>1900</v>
      </c>
      <c r="F507" s="57" t="str">
        <f t="shared" si="46"/>
        <v>Habis</v>
      </c>
      <c r="G507" s="64">
        <v>0.0</v>
      </c>
      <c r="H507" s="60">
        <v>90000.0</v>
      </c>
      <c r="I507" s="60">
        <v>162000.0</v>
      </c>
      <c r="J507" s="60">
        <f t="shared" si="47"/>
        <v>72000</v>
      </c>
      <c r="K507" s="61">
        <f t="shared" si="48"/>
        <v>0.8</v>
      </c>
    </row>
    <row r="508" ht="27.75" customHeight="1">
      <c r="A508" s="56" t="s">
        <v>3283</v>
      </c>
      <c r="B508" s="57" t="s">
        <v>31</v>
      </c>
      <c r="C508" s="58" t="s">
        <v>3284</v>
      </c>
      <c r="D508" s="57" t="s">
        <v>1112</v>
      </c>
      <c r="E508" s="59" t="s">
        <v>1900</v>
      </c>
      <c r="F508" s="57" t="str">
        <f t="shared" si="46"/>
        <v>Habis</v>
      </c>
      <c r="G508" s="64">
        <v>0.0</v>
      </c>
      <c r="H508" s="60">
        <v>9500.0</v>
      </c>
      <c r="I508" s="60">
        <v>20000.0</v>
      </c>
      <c r="J508" s="60">
        <f t="shared" si="47"/>
        <v>10500</v>
      </c>
      <c r="K508" s="61">
        <f t="shared" si="48"/>
        <v>1.105263158</v>
      </c>
    </row>
    <row r="509" ht="27.75" customHeight="1">
      <c r="A509" s="56" t="s">
        <v>3285</v>
      </c>
      <c r="B509" s="57" t="s">
        <v>31</v>
      </c>
      <c r="C509" s="58" t="s">
        <v>3286</v>
      </c>
      <c r="D509" s="57" t="s">
        <v>1112</v>
      </c>
      <c r="E509" s="59" t="s">
        <v>1900</v>
      </c>
      <c r="F509" s="57" t="str">
        <f t="shared" si="46"/>
        <v>Habis</v>
      </c>
      <c r="G509" s="64">
        <v>0.0</v>
      </c>
      <c r="H509" s="60">
        <v>32016.0</v>
      </c>
      <c r="I509" s="60">
        <v>60000.0</v>
      </c>
      <c r="J509" s="60">
        <f t="shared" si="47"/>
        <v>27984</v>
      </c>
      <c r="K509" s="61">
        <f t="shared" si="48"/>
        <v>0.8740629685</v>
      </c>
    </row>
    <row r="510" ht="27.75" customHeight="1">
      <c r="A510" s="56" t="s">
        <v>3287</v>
      </c>
      <c r="B510" s="57" t="s">
        <v>31</v>
      </c>
      <c r="C510" s="58" t="s">
        <v>3288</v>
      </c>
      <c r="D510" s="57" t="s">
        <v>1112</v>
      </c>
      <c r="E510" s="59" t="s">
        <v>1900</v>
      </c>
      <c r="F510" s="57" t="str">
        <f t="shared" si="46"/>
        <v>Habis</v>
      </c>
      <c r="G510" s="64">
        <v>0.0</v>
      </c>
      <c r="H510" s="60">
        <v>38538.0</v>
      </c>
      <c r="I510" s="60">
        <v>70000.0</v>
      </c>
      <c r="J510" s="60">
        <f t="shared" si="47"/>
        <v>31462</v>
      </c>
      <c r="K510" s="61">
        <f t="shared" si="48"/>
        <v>0.8163890186</v>
      </c>
    </row>
    <row r="511" ht="27.75" customHeight="1">
      <c r="A511" s="56" t="s">
        <v>3289</v>
      </c>
      <c r="B511" s="57" t="s">
        <v>31</v>
      </c>
      <c r="C511" s="58" t="s">
        <v>3290</v>
      </c>
      <c r="D511" s="57" t="s">
        <v>1112</v>
      </c>
      <c r="E511" s="59" t="s">
        <v>1900</v>
      </c>
      <c r="F511" s="57" t="str">
        <f t="shared" si="46"/>
        <v>Habis</v>
      </c>
      <c r="G511" s="64">
        <v>0.0</v>
      </c>
      <c r="H511" s="60">
        <v>55336.0</v>
      </c>
      <c r="I511" s="60">
        <v>90000.0</v>
      </c>
      <c r="J511" s="60">
        <f t="shared" si="47"/>
        <v>34664</v>
      </c>
      <c r="K511" s="61">
        <f t="shared" si="48"/>
        <v>0.626427642</v>
      </c>
    </row>
    <row r="512" ht="27.75" customHeight="1">
      <c r="A512" s="56" t="s">
        <v>3291</v>
      </c>
      <c r="B512" s="57" t="s">
        <v>31</v>
      </c>
      <c r="C512" s="58" t="s">
        <v>3292</v>
      </c>
      <c r="D512" s="57" t="s">
        <v>1112</v>
      </c>
      <c r="E512" s="59" t="s">
        <v>1900</v>
      </c>
      <c r="F512" s="57" t="str">
        <f t="shared" si="46"/>
        <v>Habis</v>
      </c>
      <c r="G512" s="64">
        <v>0.0</v>
      </c>
      <c r="H512" s="60">
        <v>33597.0</v>
      </c>
      <c r="I512" s="60">
        <v>65000.0</v>
      </c>
      <c r="J512" s="60">
        <f t="shared" si="47"/>
        <v>31403</v>
      </c>
      <c r="K512" s="61">
        <f t="shared" si="48"/>
        <v>0.9346965503</v>
      </c>
    </row>
    <row r="513" ht="27.75" customHeight="1">
      <c r="A513" s="56" t="s">
        <v>3293</v>
      </c>
      <c r="B513" s="57" t="s">
        <v>31</v>
      </c>
      <c r="C513" s="58" t="s">
        <v>3294</v>
      </c>
      <c r="D513" s="57" t="s">
        <v>1112</v>
      </c>
      <c r="E513" s="59" t="s">
        <v>1900</v>
      </c>
      <c r="F513" s="57" t="str">
        <f t="shared" si="46"/>
        <v>Habis</v>
      </c>
      <c r="G513" s="64">
        <v>0.0</v>
      </c>
      <c r="H513" s="60">
        <v>41502.0</v>
      </c>
      <c r="I513" s="60">
        <v>75000.0</v>
      </c>
      <c r="J513" s="60">
        <f t="shared" si="47"/>
        <v>33498</v>
      </c>
      <c r="K513" s="61">
        <f t="shared" si="48"/>
        <v>0.8071418245</v>
      </c>
    </row>
    <row r="514" ht="27.75" customHeight="1">
      <c r="A514" s="56" t="s">
        <v>3295</v>
      </c>
      <c r="B514" s="57" t="s">
        <v>31</v>
      </c>
      <c r="C514" s="58" t="s">
        <v>3296</v>
      </c>
      <c r="D514" s="57" t="s">
        <v>1112</v>
      </c>
      <c r="E514" s="59" t="s">
        <v>1900</v>
      </c>
      <c r="F514" s="57" t="str">
        <f t="shared" si="46"/>
        <v>Habis</v>
      </c>
      <c r="G514" s="64">
        <v>0.0</v>
      </c>
      <c r="H514" s="60">
        <v>33597.0</v>
      </c>
      <c r="I514" s="60">
        <v>65000.0</v>
      </c>
      <c r="J514" s="60">
        <f t="shared" si="47"/>
        <v>31403</v>
      </c>
      <c r="K514" s="61">
        <f t="shared" si="48"/>
        <v>0.9346965503</v>
      </c>
    </row>
    <row r="515" ht="27.75" customHeight="1">
      <c r="A515" s="56" t="s">
        <v>3297</v>
      </c>
      <c r="B515" s="57" t="s">
        <v>31</v>
      </c>
      <c r="C515" s="58" t="s">
        <v>3298</v>
      </c>
      <c r="D515" s="57" t="s">
        <v>1112</v>
      </c>
      <c r="E515" s="59" t="s">
        <v>1900</v>
      </c>
      <c r="F515" s="57" t="str">
        <f t="shared" si="46"/>
        <v>Habis</v>
      </c>
      <c r="G515" s="64">
        <v>0.0</v>
      </c>
      <c r="H515" s="60">
        <v>32032.0</v>
      </c>
      <c r="I515" s="60">
        <v>60000.0</v>
      </c>
      <c r="J515" s="60">
        <f t="shared" si="47"/>
        <v>27968</v>
      </c>
      <c r="K515" s="61">
        <f t="shared" si="48"/>
        <v>0.8731268731</v>
      </c>
    </row>
    <row r="516" ht="27.75" customHeight="1">
      <c r="A516" s="56" t="s">
        <v>3299</v>
      </c>
      <c r="B516" s="57" t="s">
        <v>31</v>
      </c>
      <c r="C516" s="58" t="s">
        <v>3300</v>
      </c>
      <c r="D516" s="57" t="s">
        <v>1112</v>
      </c>
      <c r="E516" s="59" t="s">
        <v>1900</v>
      </c>
      <c r="F516" s="57" t="str">
        <f t="shared" si="46"/>
        <v>Habis</v>
      </c>
      <c r="G516" s="64">
        <v>0.0</v>
      </c>
      <c r="H516" s="60">
        <v>24127.0</v>
      </c>
      <c r="I516" s="60">
        <v>45000.0</v>
      </c>
      <c r="J516" s="60">
        <f t="shared" si="47"/>
        <v>20873</v>
      </c>
      <c r="K516" s="61">
        <f t="shared" si="48"/>
        <v>0.8651303519</v>
      </c>
    </row>
    <row r="517" ht="27.75" customHeight="1">
      <c r="A517" s="56" t="s">
        <v>3301</v>
      </c>
      <c r="B517" s="57" t="s">
        <v>31</v>
      </c>
      <c r="C517" s="58" t="s">
        <v>3302</v>
      </c>
      <c r="D517" s="57" t="s">
        <v>1112</v>
      </c>
      <c r="E517" s="59" t="s">
        <v>1900</v>
      </c>
      <c r="F517" s="57" t="str">
        <f t="shared" si="46"/>
        <v>Habis</v>
      </c>
      <c r="G517" s="64">
        <v>0.0</v>
      </c>
      <c r="H517" s="60">
        <v>63823.0</v>
      </c>
      <c r="I517" s="60">
        <v>115000.0</v>
      </c>
      <c r="J517" s="60">
        <f t="shared" si="47"/>
        <v>51177</v>
      </c>
      <c r="K517" s="61">
        <f t="shared" si="48"/>
        <v>0.8018582643</v>
      </c>
    </row>
    <row r="518" ht="27.75" customHeight="1">
      <c r="A518" s="56" t="s">
        <v>3303</v>
      </c>
      <c r="B518" s="57" t="s">
        <v>31</v>
      </c>
      <c r="C518" s="58" t="s">
        <v>3304</v>
      </c>
      <c r="D518" s="57" t="s">
        <v>1112</v>
      </c>
      <c r="E518" s="59" t="s">
        <v>1900</v>
      </c>
      <c r="F518" s="57" t="str">
        <f t="shared" si="46"/>
        <v>Habis</v>
      </c>
      <c r="G518" s="64">
        <v>0.0</v>
      </c>
      <c r="H518" s="60">
        <v>22067.0</v>
      </c>
      <c r="I518" s="60">
        <v>40000.0</v>
      </c>
      <c r="J518" s="60">
        <f t="shared" si="47"/>
        <v>17933</v>
      </c>
      <c r="K518" s="61">
        <f t="shared" si="48"/>
        <v>0.8126614402</v>
      </c>
    </row>
    <row r="519" ht="27.75" customHeight="1">
      <c r="A519" s="56" t="s">
        <v>3305</v>
      </c>
      <c r="B519" s="57" t="s">
        <v>31</v>
      </c>
      <c r="C519" s="58" t="s">
        <v>3306</v>
      </c>
      <c r="D519" s="57" t="s">
        <v>1112</v>
      </c>
      <c r="E519" s="59" t="s">
        <v>1900</v>
      </c>
      <c r="F519" s="57" t="str">
        <f t="shared" si="46"/>
        <v>Habis</v>
      </c>
      <c r="G519" s="64">
        <v>0.0</v>
      </c>
      <c r="H519" s="60">
        <v>27151.0</v>
      </c>
      <c r="I519" s="60">
        <v>50000.0</v>
      </c>
      <c r="J519" s="60">
        <f t="shared" si="47"/>
        <v>22849</v>
      </c>
      <c r="K519" s="61">
        <f t="shared" si="48"/>
        <v>0.8415527973</v>
      </c>
    </row>
    <row r="520" ht="27.75" customHeight="1">
      <c r="A520" s="56" t="s">
        <v>3307</v>
      </c>
      <c r="B520" s="57" t="s">
        <v>31</v>
      </c>
      <c r="C520" s="58" t="s">
        <v>3308</v>
      </c>
      <c r="D520" s="57" t="s">
        <v>1112</v>
      </c>
      <c r="E520" s="59" t="s">
        <v>1900</v>
      </c>
      <c r="F520" s="57" t="str">
        <f t="shared" si="46"/>
        <v>Habis</v>
      </c>
      <c r="G520" s="64">
        <v>0.0</v>
      </c>
      <c r="H520" s="60">
        <v>35573.0</v>
      </c>
      <c r="I520" s="60">
        <v>65000.0</v>
      </c>
      <c r="J520" s="60">
        <f t="shared" si="47"/>
        <v>29427</v>
      </c>
      <c r="K520" s="61">
        <f t="shared" si="48"/>
        <v>0.827228516</v>
      </c>
    </row>
    <row r="521" ht="27.75" customHeight="1">
      <c r="A521" s="56" t="s">
        <v>3309</v>
      </c>
      <c r="B521" s="57" t="s">
        <v>31</v>
      </c>
      <c r="C521" s="58" t="s">
        <v>3310</v>
      </c>
      <c r="D521" s="57" t="s">
        <v>1112</v>
      </c>
      <c r="E521" s="59" t="s">
        <v>1900</v>
      </c>
      <c r="F521" s="57" t="str">
        <f t="shared" si="46"/>
        <v>Habis</v>
      </c>
      <c r="G521" s="64">
        <v>0.0</v>
      </c>
      <c r="H521" s="60">
        <v>29092.0</v>
      </c>
      <c r="I521" s="60">
        <v>55000.0</v>
      </c>
      <c r="J521" s="60">
        <f t="shared" si="47"/>
        <v>25908</v>
      </c>
      <c r="K521" s="61">
        <f t="shared" si="48"/>
        <v>0.8905541042</v>
      </c>
    </row>
    <row r="522" ht="27.75" customHeight="1">
      <c r="A522" s="56" t="s">
        <v>3311</v>
      </c>
      <c r="B522" s="57" t="s">
        <v>31</v>
      </c>
      <c r="C522" s="58" t="s">
        <v>3312</v>
      </c>
      <c r="D522" s="57" t="s">
        <v>1112</v>
      </c>
      <c r="E522" s="59" t="s">
        <v>1900</v>
      </c>
      <c r="F522" s="57" t="str">
        <f t="shared" si="46"/>
        <v>Habis</v>
      </c>
      <c r="G522" s="64">
        <v>0.0</v>
      </c>
      <c r="H522" s="60">
        <v>25840.0</v>
      </c>
      <c r="I522" s="60">
        <v>50000.0</v>
      </c>
      <c r="J522" s="60">
        <f t="shared" si="47"/>
        <v>24160</v>
      </c>
      <c r="K522" s="61">
        <f t="shared" si="48"/>
        <v>0.9349845201</v>
      </c>
    </row>
    <row r="523" ht="27.75" customHeight="1">
      <c r="A523" s="56" t="s">
        <v>3313</v>
      </c>
      <c r="B523" s="57" t="s">
        <v>31</v>
      </c>
      <c r="C523" s="58" t="s">
        <v>3314</v>
      </c>
      <c r="D523" s="57" t="s">
        <v>1112</v>
      </c>
      <c r="E523" s="59" t="s">
        <v>1900</v>
      </c>
      <c r="F523" s="57" t="str">
        <f t="shared" si="46"/>
        <v>Habis</v>
      </c>
      <c r="G523" s="64">
        <v>0.0</v>
      </c>
      <c r="H523" s="60">
        <v>26130.0</v>
      </c>
      <c r="I523" s="60">
        <v>55000.0</v>
      </c>
      <c r="J523" s="60">
        <f t="shared" si="47"/>
        <v>28870</v>
      </c>
      <c r="K523" s="61">
        <f t="shared" si="48"/>
        <v>1.104860314</v>
      </c>
    </row>
    <row r="524" ht="27.75" customHeight="1">
      <c r="A524" s="56" t="s">
        <v>3315</v>
      </c>
      <c r="B524" s="57" t="s">
        <v>31</v>
      </c>
      <c r="C524" s="58" t="s">
        <v>3316</v>
      </c>
      <c r="D524" s="57" t="s">
        <v>1112</v>
      </c>
      <c r="E524" s="59" t="s">
        <v>1900</v>
      </c>
      <c r="F524" s="57" t="str">
        <f t="shared" si="46"/>
        <v>Habis</v>
      </c>
      <c r="G524" s="64">
        <v>0.0</v>
      </c>
      <c r="H524" s="60">
        <v>28808.0</v>
      </c>
      <c r="I524" s="60">
        <v>55000.0</v>
      </c>
      <c r="J524" s="60">
        <f t="shared" si="47"/>
        <v>26192</v>
      </c>
      <c r="K524" s="61">
        <f t="shared" si="48"/>
        <v>0.9091918911</v>
      </c>
    </row>
    <row r="525" ht="27.75" customHeight="1">
      <c r="A525" s="56" t="s">
        <v>3317</v>
      </c>
      <c r="B525" s="57" t="s">
        <v>31</v>
      </c>
      <c r="C525" s="58" t="s">
        <v>3318</v>
      </c>
      <c r="D525" s="57" t="s">
        <v>1112</v>
      </c>
      <c r="E525" s="59" t="s">
        <v>1900</v>
      </c>
      <c r="F525" s="57" t="str">
        <f t="shared" si="46"/>
        <v>Habis</v>
      </c>
      <c r="G525" s="64">
        <v>0.0</v>
      </c>
      <c r="H525" s="60">
        <v>22560.0</v>
      </c>
      <c r="I525" s="60">
        <v>50000.0</v>
      </c>
      <c r="J525" s="60">
        <f t="shared" si="47"/>
        <v>27440</v>
      </c>
      <c r="K525" s="61">
        <f t="shared" si="48"/>
        <v>1.216312057</v>
      </c>
    </row>
    <row r="526" ht="27.75" customHeight="1">
      <c r="A526" s="56" t="s">
        <v>3319</v>
      </c>
      <c r="B526" s="57" t="s">
        <v>31</v>
      </c>
      <c r="C526" s="58" t="s">
        <v>3320</v>
      </c>
      <c r="D526" s="57" t="s">
        <v>1112</v>
      </c>
      <c r="E526" s="59" t="s">
        <v>3321</v>
      </c>
      <c r="F526" s="57" t="str">
        <f t="shared" si="46"/>
        <v>Menipis</v>
      </c>
      <c r="G526" s="64">
        <v>1.0</v>
      </c>
      <c r="H526" s="60">
        <v>110000.0</v>
      </c>
      <c r="I526" s="60">
        <v>155000.0</v>
      </c>
      <c r="J526" s="60">
        <f t="shared" si="47"/>
        <v>45000</v>
      </c>
      <c r="K526" s="61">
        <f t="shared" si="48"/>
        <v>0.4090909091</v>
      </c>
    </row>
    <row r="527" ht="27.75" customHeight="1">
      <c r="A527" s="56" t="s">
        <v>3322</v>
      </c>
      <c r="B527" s="57" t="s">
        <v>31</v>
      </c>
      <c r="C527" s="58" t="s">
        <v>3323</v>
      </c>
      <c r="D527" s="57" t="s">
        <v>1112</v>
      </c>
      <c r="E527" s="59" t="s">
        <v>3321</v>
      </c>
      <c r="F527" s="57" t="str">
        <f t="shared" si="46"/>
        <v>Habis</v>
      </c>
      <c r="G527" s="64">
        <v>0.0</v>
      </c>
      <c r="H527" s="60">
        <v>79195.0</v>
      </c>
      <c r="I527" s="60">
        <v>142551.0</v>
      </c>
      <c r="J527" s="60">
        <f t="shared" si="47"/>
        <v>63356</v>
      </c>
      <c r="K527" s="61">
        <f t="shared" si="48"/>
        <v>0.8</v>
      </c>
    </row>
    <row r="528" ht="27.75" customHeight="1">
      <c r="A528" s="56" t="s">
        <v>3324</v>
      </c>
      <c r="B528" s="57" t="s">
        <v>31</v>
      </c>
      <c r="C528" s="58" t="s">
        <v>3325</v>
      </c>
      <c r="D528" s="57" t="s">
        <v>1112</v>
      </c>
      <c r="E528" s="59" t="s">
        <v>3321</v>
      </c>
      <c r="F528" s="57" t="str">
        <f t="shared" si="46"/>
        <v>Habis</v>
      </c>
      <c r="G528" s="64">
        <v>0.0</v>
      </c>
      <c r="H528" s="60">
        <v>106045.0</v>
      </c>
      <c r="I528" s="60">
        <v>190881.0</v>
      </c>
      <c r="J528" s="60">
        <f t="shared" si="47"/>
        <v>84836</v>
      </c>
      <c r="K528" s="61">
        <f t="shared" si="48"/>
        <v>0.8</v>
      </c>
    </row>
    <row r="529" ht="27.75" customHeight="1">
      <c r="A529" s="56" t="s">
        <v>3326</v>
      </c>
      <c r="B529" s="57" t="s">
        <v>31</v>
      </c>
      <c r="C529" s="58" t="s">
        <v>3327</v>
      </c>
      <c r="D529" s="57" t="s">
        <v>1112</v>
      </c>
      <c r="E529" s="59" t="s">
        <v>91</v>
      </c>
      <c r="F529" s="57" t="str">
        <f t="shared" si="46"/>
        <v>Habis</v>
      </c>
      <c r="G529" s="64">
        <v>0.0</v>
      </c>
      <c r="H529" s="60">
        <v>59289.0</v>
      </c>
      <c r="I529" s="60">
        <v>106720.0</v>
      </c>
      <c r="J529" s="60">
        <f t="shared" si="47"/>
        <v>47431</v>
      </c>
      <c r="K529" s="61">
        <f t="shared" si="48"/>
        <v>0.7999966267</v>
      </c>
    </row>
    <row r="530" ht="27.75" customHeight="1">
      <c r="A530" s="56" t="s">
        <v>3328</v>
      </c>
      <c r="B530" s="57" t="s">
        <v>31</v>
      </c>
      <c r="C530" s="58" t="s">
        <v>3329</v>
      </c>
      <c r="D530" s="57" t="s">
        <v>1112</v>
      </c>
      <c r="E530" s="59" t="s">
        <v>91</v>
      </c>
      <c r="F530" s="57" t="str">
        <f t="shared" si="46"/>
        <v>Habis</v>
      </c>
      <c r="G530" s="64">
        <v>0.0</v>
      </c>
      <c r="H530" s="60">
        <v>113080.0</v>
      </c>
      <c r="I530" s="60">
        <v>203544.0</v>
      </c>
      <c r="J530" s="60">
        <f t="shared" si="47"/>
        <v>90464</v>
      </c>
      <c r="K530" s="61">
        <f t="shared" si="48"/>
        <v>0.8</v>
      </c>
    </row>
    <row r="531" ht="27.75" customHeight="1">
      <c r="A531" s="56" t="s">
        <v>3330</v>
      </c>
      <c r="B531" s="57" t="s">
        <v>31</v>
      </c>
      <c r="C531" s="58" t="s">
        <v>3331</v>
      </c>
      <c r="D531" s="57" t="s">
        <v>1112</v>
      </c>
      <c r="E531" s="59" t="s">
        <v>91</v>
      </c>
      <c r="F531" s="57" t="str">
        <f t="shared" si="46"/>
        <v>Habis</v>
      </c>
      <c r="G531" s="64">
        <v>0.0</v>
      </c>
      <c r="H531" s="60">
        <v>72764.0</v>
      </c>
      <c r="I531" s="60">
        <v>130975.0</v>
      </c>
      <c r="J531" s="60">
        <f t="shared" si="47"/>
        <v>58211</v>
      </c>
      <c r="K531" s="61">
        <f t="shared" si="48"/>
        <v>0.7999972514</v>
      </c>
    </row>
    <row r="532" ht="27.75" customHeight="1">
      <c r="A532" s="56" t="s">
        <v>3332</v>
      </c>
      <c r="B532" s="57" t="s">
        <v>31</v>
      </c>
      <c r="C532" s="58" t="s">
        <v>3333</v>
      </c>
      <c r="D532" s="57" t="s">
        <v>1112</v>
      </c>
      <c r="E532" s="59" t="s">
        <v>2418</v>
      </c>
      <c r="F532" s="57" t="str">
        <f t="shared" si="46"/>
        <v>Menipis</v>
      </c>
      <c r="G532" s="64">
        <v>1.0</v>
      </c>
      <c r="H532" s="60">
        <v>135000.0</v>
      </c>
      <c r="I532" s="60">
        <v>210000.0</v>
      </c>
      <c r="J532" s="60">
        <f t="shared" si="47"/>
        <v>75000</v>
      </c>
      <c r="K532" s="61">
        <f t="shared" si="48"/>
        <v>0.5555555556</v>
      </c>
    </row>
    <row r="533" ht="27.75" customHeight="1">
      <c r="A533" s="56" t="s">
        <v>3334</v>
      </c>
      <c r="B533" s="57" t="s">
        <v>31</v>
      </c>
      <c r="C533" s="58" t="s">
        <v>3335</v>
      </c>
      <c r="D533" s="57" t="s">
        <v>1112</v>
      </c>
      <c r="E533" s="59" t="s">
        <v>2418</v>
      </c>
      <c r="F533" s="57" t="str">
        <f t="shared" si="46"/>
        <v>Menipis</v>
      </c>
      <c r="G533" s="64">
        <v>1.0</v>
      </c>
      <c r="H533" s="60">
        <v>80000.0</v>
      </c>
      <c r="I533" s="60">
        <v>125000.0</v>
      </c>
      <c r="J533" s="60">
        <f t="shared" si="47"/>
        <v>45000</v>
      </c>
      <c r="K533" s="61">
        <f t="shared" si="48"/>
        <v>0.5625</v>
      </c>
    </row>
    <row r="534" ht="27.75" customHeight="1">
      <c r="A534" s="56" t="s">
        <v>3336</v>
      </c>
      <c r="B534" s="57" t="s">
        <v>31</v>
      </c>
      <c r="C534" s="58" t="s">
        <v>3337</v>
      </c>
      <c r="D534" s="57" t="s">
        <v>1112</v>
      </c>
      <c r="E534" s="59" t="s">
        <v>2418</v>
      </c>
      <c r="F534" s="57" t="str">
        <f t="shared" si="46"/>
        <v>Habis</v>
      </c>
      <c r="G534" s="64">
        <v>0.0</v>
      </c>
      <c r="H534" s="60">
        <v>131470.0</v>
      </c>
      <c r="I534" s="60">
        <v>236646.0</v>
      </c>
      <c r="J534" s="60">
        <f t="shared" si="47"/>
        <v>105176</v>
      </c>
      <c r="K534" s="61">
        <f t="shared" si="48"/>
        <v>0.8</v>
      </c>
    </row>
    <row r="535" ht="27.75" customHeight="1">
      <c r="A535" s="56" t="s">
        <v>3338</v>
      </c>
      <c r="B535" s="57" t="s">
        <v>31</v>
      </c>
      <c r="C535" s="58" t="s">
        <v>3339</v>
      </c>
      <c r="D535" s="57" t="s">
        <v>1112</v>
      </c>
      <c r="E535" s="59" t="s">
        <v>2418</v>
      </c>
      <c r="F535" s="57" t="str">
        <f t="shared" si="46"/>
        <v>Habis</v>
      </c>
      <c r="G535" s="64">
        <v>0.0</v>
      </c>
      <c r="H535" s="60">
        <v>80000.0</v>
      </c>
      <c r="I535" s="60">
        <v>144000.0</v>
      </c>
      <c r="J535" s="60">
        <f t="shared" si="47"/>
        <v>64000</v>
      </c>
      <c r="K535" s="61">
        <f t="shared" si="48"/>
        <v>0.8</v>
      </c>
    </row>
    <row r="536" ht="27.75" customHeight="1">
      <c r="A536" s="56" t="s">
        <v>3340</v>
      </c>
      <c r="B536" s="57" t="s">
        <v>31</v>
      </c>
      <c r="C536" s="58" t="s">
        <v>3341</v>
      </c>
      <c r="D536" s="57" t="s">
        <v>1112</v>
      </c>
      <c r="E536" s="59" t="s">
        <v>116</v>
      </c>
      <c r="F536" s="57" t="str">
        <f t="shared" si="46"/>
        <v>Menipis</v>
      </c>
      <c r="G536" s="64">
        <v>2.0</v>
      </c>
      <c r="H536" s="60">
        <v>38821.0</v>
      </c>
      <c r="I536" s="60">
        <v>135000.0</v>
      </c>
      <c r="J536" s="60">
        <f t="shared" si="47"/>
        <v>96179</v>
      </c>
      <c r="K536" s="61">
        <f t="shared" si="48"/>
        <v>2.477499292</v>
      </c>
    </row>
    <row r="537" ht="27.75" customHeight="1">
      <c r="A537" s="56" t="s">
        <v>3342</v>
      </c>
      <c r="B537" s="57" t="s">
        <v>31</v>
      </c>
      <c r="C537" s="58" t="s">
        <v>3343</v>
      </c>
      <c r="D537" s="57" t="s">
        <v>1112</v>
      </c>
      <c r="E537" s="59" t="s">
        <v>116</v>
      </c>
      <c r="F537" s="57" t="str">
        <f t="shared" si="46"/>
        <v>Menipis</v>
      </c>
      <c r="G537" s="64">
        <v>1.0</v>
      </c>
      <c r="H537" s="60">
        <v>30084.0</v>
      </c>
      <c r="I537" s="60">
        <v>100000.0</v>
      </c>
      <c r="J537" s="60">
        <f t="shared" si="47"/>
        <v>69916</v>
      </c>
      <c r="K537" s="61">
        <f t="shared" si="48"/>
        <v>2.32402606</v>
      </c>
    </row>
    <row r="538" ht="27.75" customHeight="1">
      <c r="A538" s="56" t="s">
        <v>3344</v>
      </c>
      <c r="B538" s="57" t="s">
        <v>31</v>
      </c>
      <c r="C538" s="58" t="s">
        <v>3345</v>
      </c>
      <c r="D538" s="57" t="s">
        <v>1112</v>
      </c>
      <c r="E538" s="59" t="s">
        <v>116</v>
      </c>
      <c r="F538" s="57" t="str">
        <f t="shared" si="46"/>
        <v>Habis</v>
      </c>
      <c r="G538" s="64">
        <v>0.0</v>
      </c>
      <c r="H538" s="60">
        <v>42701.0</v>
      </c>
      <c r="I538" s="60">
        <v>76862.0</v>
      </c>
      <c r="J538" s="60">
        <f t="shared" si="47"/>
        <v>34161</v>
      </c>
      <c r="K538" s="61">
        <f t="shared" si="48"/>
        <v>0.8000046837</v>
      </c>
    </row>
    <row r="539" ht="27.75" customHeight="1">
      <c r="A539" s="56" t="s">
        <v>3346</v>
      </c>
      <c r="B539" s="57" t="s">
        <v>31</v>
      </c>
      <c r="C539" s="58" t="s">
        <v>3347</v>
      </c>
      <c r="D539" s="57" t="s">
        <v>1112</v>
      </c>
      <c r="E539" s="59" t="s">
        <v>2465</v>
      </c>
      <c r="F539" s="57" t="str">
        <f t="shared" si="46"/>
        <v>Habis</v>
      </c>
      <c r="G539" s="64">
        <v>0.0</v>
      </c>
      <c r="H539" s="60">
        <v>82000.0</v>
      </c>
      <c r="I539" s="60">
        <v>150000.0</v>
      </c>
      <c r="J539" s="60">
        <f t="shared" si="47"/>
        <v>68000</v>
      </c>
      <c r="K539" s="61">
        <f t="shared" si="48"/>
        <v>0.8292682927</v>
      </c>
    </row>
    <row r="540" ht="27.75" customHeight="1">
      <c r="A540" s="56" t="s">
        <v>3348</v>
      </c>
      <c r="B540" s="57" t="s">
        <v>31</v>
      </c>
      <c r="C540" s="58" t="s">
        <v>3349</v>
      </c>
      <c r="D540" s="57" t="s">
        <v>1112</v>
      </c>
      <c r="E540" s="59" t="s">
        <v>2465</v>
      </c>
      <c r="F540" s="57" t="str">
        <f t="shared" si="46"/>
        <v>Menipis</v>
      </c>
      <c r="G540" s="64">
        <v>1.0</v>
      </c>
      <c r="H540" s="60">
        <v>60000.0</v>
      </c>
      <c r="I540" s="60">
        <v>120000.0</v>
      </c>
      <c r="J540" s="60">
        <f t="shared" si="47"/>
        <v>60000</v>
      </c>
      <c r="K540" s="61">
        <f t="shared" si="48"/>
        <v>1</v>
      </c>
    </row>
    <row r="541" ht="27.75" customHeight="1">
      <c r="A541" s="56" t="s">
        <v>3350</v>
      </c>
      <c r="B541" s="57" t="s">
        <v>31</v>
      </c>
      <c r="C541" s="58" t="s">
        <v>3351</v>
      </c>
      <c r="D541" s="57" t="s">
        <v>1112</v>
      </c>
      <c r="E541" s="59" t="s">
        <v>2465</v>
      </c>
      <c r="F541" s="57" t="str">
        <f t="shared" si="46"/>
        <v>Menipis</v>
      </c>
      <c r="G541" s="64">
        <v>1.0</v>
      </c>
      <c r="H541" s="60">
        <v>75000.0</v>
      </c>
      <c r="I541" s="60">
        <v>120000.0</v>
      </c>
      <c r="J541" s="60">
        <f t="shared" si="47"/>
        <v>45000</v>
      </c>
      <c r="K541" s="61">
        <f t="shared" si="48"/>
        <v>0.6</v>
      </c>
    </row>
    <row r="542" ht="27.75" customHeight="1">
      <c r="A542" s="56" t="s">
        <v>3352</v>
      </c>
      <c r="B542" s="57" t="s">
        <v>31</v>
      </c>
      <c r="C542" s="58" t="s">
        <v>3353</v>
      </c>
      <c r="D542" s="57" t="s">
        <v>1112</v>
      </c>
      <c r="E542" s="59" t="s">
        <v>2465</v>
      </c>
      <c r="F542" s="57" t="str">
        <f t="shared" si="46"/>
        <v>Menipis</v>
      </c>
      <c r="G542" s="64">
        <v>1.0</v>
      </c>
      <c r="H542" s="60">
        <v>70000.0</v>
      </c>
      <c r="I542" s="60">
        <v>120000.0</v>
      </c>
      <c r="J542" s="60">
        <f t="shared" si="47"/>
        <v>50000</v>
      </c>
      <c r="K542" s="61">
        <f t="shared" si="48"/>
        <v>0.7142857143</v>
      </c>
    </row>
    <row r="543" ht="27.75" customHeight="1">
      <c r="A543" s="56" t="s">
        <v>3354</v>
      </c>
      <c r="B543" s="57" t="s">
        <v>31</v>
      </c>
      <c r="C543" s="58" t="s">
        <v>3355</v>
      </c>
      <c r="D543" s="57" t="s">
        <v>1112</v>
      </c>
      <c r="E543" s="59" t="s">
        <v>2465</v>
      </c>
      <c r="F543" s="57" t="str">
        <f t="shared" si="46"/>
        <v>Menipis</v>
      </c>
      <c r="G543" s="64">
        <v>1.0</v>
      </c>
      <c r="H543" s="60">
        <v>50000.0</v>
      </c>
      <c r="I543" s="60">
        <v>85000.0</v>
      </c>
      <c r="J543" s="60">
        <f t="shared" si="47"/>
        <v>35000</v>
      </c>
      <c r="K543" s="61">
        <f t="shared" si="48"/>
        <v>0.7</v>
      </c>
    </row>
    <row r="544" ht="27.75" customHeight="1">
      <c r="A544" s="56" t="s">
        <v>3356</v>
      </c>
      <c r="B544" s="57" t="s">
        <v>31</v>
      </c>
      <c r="C544" s="58" t="s">
        <v>3357</v>
      </c>
      <c r="D544" s="57" t="s">
        <v>1112</v>
      </c>
      <c r="E544" s="59" t="s">
        <v>2465</v>
      </c>
      <c r="F544" s="57" t="str">
        <f t="shared" si="46"/>
        <v>Menipis</v>
      </c>
      <c r="G544" s="64">
        <v>1.0</v>
      </c>
      <c r="H544" s="60">
        <v>45000.0</v>
      </c>
      <c r="I544" s="60">
        <v>80000.0</v>
      </c>
      <c r="J544" s="60">
        <f t="shared" si="47"/>
        <v>35000</v>
      </c>
      <c r="K544" s="61">
        <f t="shared" si="48"/>
        <v>0.7777777778</v>
      </c>
    </row>
    <row r="545" ht="27.75" customHeight="1">
      <c r="A545" s="56" t="s">
        <v>3358</v>
      </c>
      <c r="B545" s="57" t="s">
        <v>31</v>
      </c>
      <c r="C545" s="58" t="s">
        <v>3359</v>
      </c>
      <c r="D545" s="57" t="s">
        <v>1112</v>
      </c>
      <c r="E545" s="59" t="s">
        <v>2465</v>
      </c>
      <c r="F545" s="57" t="str">
        <f t="shared" si="46"/>
        <v>Habis</v>
      </c>
      <c r="G545" s="64">
        <v>0.0</v>
      </c>
      <c r="H545" s="60">
        <v>36000.0</v>
      </c>
      <c r="I545" s="60">
        <v>65000.0</v>
      </c>
      <c r="J545" s="60">
        <f t="shared" si="47"/>
        <v>29000</v>
      </c>
      <c r="K545" s="61">
        <f t="shared" si="48"/>
        <v>0.8055555556</v>
      </c>
    </row>
    <row r="546" ht="27.75" customHeight="1">
      <c r="A546" s="56" t="s">
        <v>3360</v>
      </c>
      <c r="B546" s="57" t="s">
        <v>31</v>
      </c>
      <c r="C546" s="58" t="s">
        <v>3361</v>
      </c>
      <c r="D546" s="57" t="s">
        <v>1112</v>
      </c>
      <c r="E546" s="59" t="s">
        <v>2465</v>
      </c>
      <c r="F546" s="57" t="str">
        <f t="shared" si="46"/>
        <v>Habis</v>
      </c>
      <c r="G546" s="64">
        <v>0.0</v>
      </c>
      <c r="H546" s="60">
        <v>40770.0</v>
      </c>
      <c r="I546" s="60">
        <v>73386.0</v>
      </c>
      <c r="J546" s="60">
        <f t="shared" si="47"/>
        <v>32616</v>
      </c>
      <c r="K546" s="61">
        <f t="shared" si="48"/>
        <v>0.8</v>
      </c>
    </row>
    <row r="547" ht="27.75" customHeight="1">
      <c r="A547" s="56" t="s">
        <v>3362</v>
      </c>
      <c r="B547" s="57" t="s">
        <v>31</v>
      </c>
      <c r="C547" s="58" t="s">
        <v>3363</v>
      </c>
      <c r="D547" s="57" t="s">
        <v>1112</v>
      </c>
      <c r="E547" s="59" t="s">
        <v>2465</v>
      </c>
      <c r="F547" s="57" t="str">
        <f t="shared" si="46"/>
        <v>Habis</v>
      </c>
      <c r="G547" s="64">
        <v>0.0</v>
      </c>
      <c r="H547" s="60">
        <v>81929.0</v>
      </c>
      <c r="I547" s="60">
        <v>147472.0</v>
      </c>
      <c r="J547" s="60">
        <f t="shared" si="47"/>
        <v>65543</v>
      </c>
      <c r="K547" s="61">
        <f t="shared" si="48"/>
        <v>0.7999975589</v>
      </c>
    </row>
    <row r="548" ht="27.75" customHeight="1">
      <c r="A548" s="56" t="s">
        <v>3364</v>
      </c>
      <c r="B548" s="57" t="s">
        <v>31</v>
      </c>
      <c r="C548" s="58" t="s">
        <v>3365</v>
      </c>
      <c r="D548" s="57" t="s">
        <v>1112</v>
      </c>
      <c r="E548" s="59" t="s">
        <v>2465</v>
      </c>
      <c r="F548" s="57" t="str">
        <f t="shared" si="46"/>
        <v>Habis</v>
      </c>
      <c r="G548" s="64">
        <v>0.0</v>
      </c>
      <c r="H548" s="60">
        <v>54361.0</v>
      </c>
      <c r="I548" s="60">
        <v>97850.0</v>
      </c>
      <c r="J548" s="60">
        <f t="shared" si="47"/>
        <v>43489</v>
      </c>
      <c r="K548" s="61">
        <f t="shared" si="48"/>
        <v>0.8000036791</v>
      </c>
    </row>
    <row r="549" ht="27.75" customHeight="1">
      <c r="A549" s="56" t="s">
        <v>3366</v>
      </c>
      <c r="B549" s="57" t="s">
        <v>31</v>
      </c>
      <c r="C549" s="58" t="s">
        <v>3367</v>
      </c>
      <c r="D549" s="57" t="s">
        <v>1112</v>
      </c>
      <c r="E549" s="59" t="s">
        <v>2465</v>
      </c>
      <c r="F549" s="57" t="str">
        <f t="shared" si="46"/>
        <v>Habis</v>
      </c>
      <c r="G549" s="64">
        <v>0.0</v>
      </c>
      <c r="H549" s="60">
        <v>54306.0</v>
      </c>
      <c r="I549" s="60">
        <v>97751.0</v>
      </c>
      <c r="J549" s="60">
        <f t="shared" si="47"/>
        <v>43445</v>
      </c>
      <c r="K549" s="61">
        <f t="shared" si="48"/>
        <v>0.8000036828</v>
      </c>
    </row>
    <row r="550" ht="27.75" customHeight="1">
      <c r="A550" s="56" t="s">
        <v>3368</v>
      </c>
      <c r="B550" s="57" t="s">
        <v>31</v>
      </c>
      <c r="C550" s="58" t="s">
        <v>3369</v>
      </c>
      <c r="D550" s="57" t="s">
        <v>1112</v>
      </c>
      <c r="E550" s="59" t="s">
        <v>2465</v>
      </c>
      <c r="F550" s="57" t="str">
        <f t="shared" si="46"/>
        <v>Habis</v>
      </c>
      <c r="G550" s="64">
        <v>0.0</v>
      </c>
      <c r="H550" s="60">
        <v>58249.0</v>
      </c>
      <c r="I550" s="60">
        <v>104848.0</v>
      </c>
      <c r="J550" s="60">
        <f t="shared" si="47"/>
        <v>46599</v>
      </c>
      <c r="K550" s="61">
        <f t="shared" si="48"/>
        <v>0.7999965665</v>
      </c>
    </row>
    <row r="551" ht="27.75" customHeight="1">
      <c r="A551" s="56" t="s">
        <v>3370</v>
      </c>
      <c r="B551" s="57" t="s">
        <v>31</v>
      </c>
      <c r="C551" s="58" t="s">
        <v>3371</v>
      </c>
      <c r="D551" s="57" t="s">
        <v>1112</v>
      </c>
      <c r="E551" s="59" t="s">
        <v>2465</v>
      </c>
      <c r="F551" s="57" t="str">
        <f t="shared" si="46"/>
        <v>Habis</v>
      </c>
      <c r="G551" s="64">
        <v>0.0</v>
      </c>
      <c r="H551" s="60">
        <v>71176.0</v>
      </c>
      <c r="I551" s="60">
        <v>128117.0</v>
      </c>
      <c r="J551" s="60">
        <f t="shared" si="47"/>
        <v>56941</v>
      </c>
      <c r="K551" s="61">
        <f t="shared" si="48"/>
        <v>0.8000028099</v>
      </c>
    </row>
    <row r="552" ht="27.75" customHeight="1">
      <c r="A552" s="56" t="s">
        <v>3372</v>
      </c>
      <c r="B552" s="57" t="s">
        <v>31</v>
      </c>
      <c r="C552" s="58" t="s">
        <v>3373</v>
      </c>
      <c r="D552" s="57" t="s">
        <v>1112</v>
      </c>
      <c r="E552" s="59" t="s">
        <v>2465</v>
      </c>
      <c r="F552" s="57" t="str">
        <f t="shared" si="46"/>
        <v>Habis</v>
      </c>
      <c r="G552" s="64">
        <v>0.0</v>
      </c>
      <c r="H552" s="60">
        <v>67927.0</v>
      </c>
      <c r="I552" s="60">
        <v>122269.0</v>
      </c>
      <c r="J552" s="60">
        <f t="shared" si="47"/>
        <v>54342</v>
      </c>
      <c r="K552" s="61">
        <f t="shared" si="48"/>
        <v>0.8000058887</v>
      </c>
    </row>
    <row r="553" ht="27.75" customHeight="1">
      <c r="A553" s="56" t="s">
        <v>3374</v>
      </c>
      <c r="B553" s="57" t="s">
        <v>31</v>
      </c>
      <c r="C553" s="58" t="s">
        <v>3375</v>
      </c>
      <c r="D553" s="57" t="s">
        <v>1112</v>
      </c>
      <c r="E553" s="59" t="s">
        <v>2465</v>
      </c>
      <c r="F553" s="57" t="str">
        <f t="shared" si="46"/>
        <v>Habis</v>
      </c>
      <c r="G553" s="64">
        <v>0.0</v>
      </c>
      <c r="H553" s="60">
        <v>51900.0</v>
      </c>
      <c r="I553" s="60">
        <v>93420.0</v>
      </c>
      <c r="J553" s="60">
        <f t="shared" si="47"/>
        <v>41520</v>
      </c>
      <c r="K553" s="61">
        <f t="shared" si="48"/>
        <v>0.8</v>
      </c>
    </row>
    <row r="554" ht="27.75" customHeight="1">
      <c r="A554" s="56" t="s">
        <v>3376</v>
      </c>
      <c r="B554" s="57" t="s">
        <v>31</v>
      </c>
      <c r="C554" s="58" t="s">
        <v>3377</v>
      </c>
      <c r="D554" s="57" t="s">
        <v>1112</v>
      </c>
      <c r="E554" s="59" t="s">
        <v>2465</v>
      </c>
      <c r="F554" s="57" t="str">
        <f t="shared" si="46"/>
        <v>Habis</v>
      </c>
      <c r="G554" s="64">
        <v>0.0</v>
      </c>
      <c r="H554" s="60">
        <v>63651.0</v>
      </c>
      <c r="I554" s="60">
        <v>115000.0</v>
      </c>
      <c r="J554" s="60">
        <f t="shared" si="47"/>
        <v>51349</v>
      </c>
      <c r="K554" s="61">
        <f t="shared" si="48"/>
        <v>0.8067273099</v>
      </c>
    </row>
    <row r="555" ht="27.75" customHeight="1">
      <c r="A555" s="56" t="s">
        <v>3378</v>
      </c>
      <c r="B555" s="57" t="s">
        <v>31</v>
      </c>
      <c r="C555" s="58" t="s">
        <v>3379</v>
      </c>
      <c r="D555" s="57" t="s">
        <v>1112</v>
      </c>
      <c r="E555" s="59" t="s">
        <v>2465</v>
      </c>
      <c r="F555" s="57" t="str">
        <f t="shared" si="46"/>
        <v>Habis</v>
      </c>
      <c r="G555" s="64">
        <v>0.0</v>
      </c>
      <c r="H555" s="60">
        <v>46595.0</v>
      </c>
      <c r="I555" s="60">
        <v>83871.0</v>
      </c>
      <c r="J555" s="60">
        <f t="shared" si="47"/>
        <v>37276</v>
      </c>
      <c r="K555" s="61">
        <f t="shared" si="48"/>
        <v>0.8</v>
      </c>
    </row>
    <row r="556" ht="27.75" customHeight="1">
      <c r="A556" s="56" t="s">
        <v>3380</v>
      </c>
      <c r="B556" s="57" t="s">
        <v>31</v>
      </c>
      <c r="C556" s="58" t="s">
        <v>3381</v>
      </c>
      <c r="D556" s="57" t="s">
        <v>1112</v>
      </c>
      <c r="E556" s="59" t="s">
        <v>2465</v>
      </c>
      <c r="F556" s="57" t="str">
        <f t="shared" si="46"/>
        <v>Habis</v>
      </c>
      <c r="G556" s="64">
        <v>0.0</v>
      </c>
      <c r="H556" s="60">
        <v>48670.0</v>
      </c>
      <c r="I556" s="60">
        <v>87606.0</v>
      </c>
      <c r="J556" s="60">
        <f t="shared" si="47"/>
        <v>38936</v>
      </c>
      <c r="K556" s="61">
        <f t="shared" si="48"/>
        <v>0.8</v>
      </c>
    </row>
    <row r="557" ht="27.75" customHeight="1">
      <c r="A557" s="56" t="s">
        <v>3382</v>
      </c>
      <c r="B557" s="57" t="s">
        <v>31</v>
      </c>
      <c r="C557" s="58" t="s">
        <v>3383</v>
      </c>
      <c r="D557" s="57" t="s">
        <v>1112</v>
      </c>
      <c r="E557" s="59" t="s">
        <v>2465</v>
      </c>
      <c r="F557" s="57" t="str">
        <f t="shared" si="46"/>
        <v>Habis</v>
      </c>
      <c r="G557" s="64">
        <v>0.0</v>
      </c>
      <c r="H557" s="60">
        <v>40363.0</v>
      </c>
      <c r="I557" s="60">
        <v>72653.0</v>
      </c>
      <c r="J557" s="60">
        <f t="shared" si="47"/>
        <v>32290</v>
      </c>
      <c r="K557" s="61">
        <f t="shared" si="48"/>
        <v>0.7999900899</v>
      </c>
    </row>
    <row r="558" ht="27.75" customHeight="1">
      <c r="A558" s="56" t="s">
        <v>3384</v>
      </c>
      <c r="B558" s="57" t="s">
        <v>31</v>
      </c>
      <c r="C558" s="58" t="s">
        <v>3385</v>
      </c>
      <c r="D558" s="57" t="s">
        <v>1112</v>
      </c>
      <c r="E558" s="59" t="s">
        <v>2465</v>
      </c>
      <c r="F558" s="57" t="str">
        <f t="shared" si="46"/>
        <v>Habis</v>
      </c>
      <c r="G558" s="64">
        <v>0.0</v>
      </c>
      <c r="H558" s="60">
        <v>40220.0</v>
      </c>
      <c r="I558" s="60">
        <v>72396.0</v>
      </c>
      <c r="J558" s="60">
        <f t="shared" si="47"/>
        <v>32176</v>
      </c>
      <c r="K558" s="61">
        <f t="shared" si="48"/>
        <v>0.8</v>
      </c>
    </row>
    <row r="559" ht="27.75" customHeight="1">
      <c r="A559" s="56" t="s">
        <v>3386</v>
      </c>
      <c r="B559" s="57" t="s">
        <v>31</v>
      </c>
      <c r="C559" s="58" t="s">
        <v>3387</v>
      </c>
      <c r="D559" s="57" t="s">
        <v>1112</v>
      </c>
      <c r="E559" s="59" t="s">
        <v>2465</v>
      </c>
      <c r="F559" s="57" t="str">
        <f t="shared" si="46"/>
        <v>Habis</v>
      </c>
      <c r="G559" s="64">
        <v>0.0</v>
      </c>
      <c r="H559" s="60">
        <v>35880.0</v>
      </c>
      <c r="I559" s="60">
        <v>64584.0</v>
      </c>
      <c r="J559" s="60">
        <f t="shared" si="47"/>
        <v>28704</v>
      </c>
      <c r="K559" s="61">
        <f t="shared" si="48"/>
        <v>0.8</v>
      </c>
    </row>
    <row r="560" ht="27.75" customHeight="1">
      <c r="A560" s="56" t="s">
        <v>3388</v>
      </c>
      <c r="B560" s="57" t="s">
        <v>31</v>
      </c>
      <c r="C560" s="58" t="s">
        <v>3389</v>
      </c>
      <c r="D560" s="57" t="s">
        <v>1112</v>
      </c>
      <c r="E560" s="59" t="s">
        <v>364</v>
      </c>
      <c r="F560" s="57" t="str">
        <f t="shared" si="46"/>
        <v>Menipis</v>
      </c>
      <c r="G560" s="64">
        <v>1.0</v>
      </c>
      <c r="H560" s="60">
        <v>11643.0</v>
      </c>
      <c r="I560" s="60">
        <v>20000.0</v>
      </c>
      <c r="J560" s="60">
        <f t="shared" si="47"/>
        <v>8357</v>
      </c>
      <c r="K560" s="61">
        <f t="shared" si="48"/>
        <v>0.7177703341</v>
      </c>
    </row>
    <row r="561" ht="27.75" customHeight="1">
      <c r="A561" s="56" t="s">
        <v>3390</v>
      </c>
      <c r="B561" s="57" t="s">
        <v>31</v>
      </c>
      <c r="C561" s="62" t="s">
        <v>3391</v>
      </c>
      <c r="D561" s="57" t="s">
        <v>1112</v>
      </c>
      <c r="E561" s="59" t="s">
        <v>364</v>
      </c>
      <c r="F561" s="57" t="str">
        <f t="shared" si="46"/>
        <v>Menipis</v>
      </c>
      <c r="G561" s="63">
        <v>1.0</v>
      </c>
      <c r="H561" s="60">
        <v>6550.0</v>
      </c>
      <c r="I561" s="60">
        <v>20000.0</v>
      </c>
      <c r="J561" s="60">
        <f t="shared" si="47"/>
        <v>13450</v>
      </c>
      <c r="K561" s="61">
        <f t="shared" si="48"/>
        <v>2.053435115</v>
      </c>
    </row>
    <row r="562" ht="27.75" customHeight="1">
      <c r="A562" s="56" t="s">
        <v>3392</v>
      </c>
      <c r="B562" s="57" t="s">
        <v>31</v>
      </c>
      <c r="C562" s="58" t="s">
        <v>3393</v>
      </c>
      <c r="D562" s="57" t="s">
        <v>1112</v>
      </c>
      <c r="E562" s="59" t="s">
        <v>364</v>
      </c>
      <c r="F562" s="57" t="str">
        <f t="shared" si="46"/>
        <v>Habis</v>
      </c>
      <c r="G562" s="64">
        <v>0.0</v>
      </c>
      <c r="H562" s="60">
        <v>22942.0</v>
      </c>
      <c r="I562" s="60">
        <v>41296.0</v>
      </c>
      <c r="J562" s="60">
        <f t="shared" si="47"/>
        <v>18354</v>
      </c>
      <c r="K562" s="61">
        <f t="shared" si="48"/>
        <v>0.8000174353</v>
      </c>
    </row>
    <row r="563" ht="27.75" customHeight="1">
      <c r="A563" s="56" t="s">
        <v>3394</v>
      </c>
      <c r="B563" s="57" t="s">
        <v>31</v>
      </c>
      <c r="C563" s="58" t="s">
        <v>3395</v>
      </c>
      <c r="D563" s="57" t="s">
        <v>1112</v>
      </c>
      <c r="E563" s="59" t="s">
        <v>364</v>
      </c>
      <c r="F563" s="57" t="str">
        <f t="shared" si="46"/>
        <v>Habis</v>
      </c>
      <c r="G563" s="64">
        <v>0.0</v>
      </c>
      <c r="H563" s="60">
        <v>11643.0</v>
      </c>
      <c r="I563" s="60">
        <v>20957.0</v>
      </c>
      <c r="J563" s="60">
        <f t="shared" si="47"/>
        <v>9314</v>
      </c>
      <c r="K563" s="61">
        <f t="shared" si="48"/>
        <v>0.7999656446</v>
      </c>
    </row>
    <row r="564" ht="27.75" customHeight="1">
      <c r="A564" s="56" t="s">
        <v>3396</v>
      </c>
      <c r="B564" s="57" t="s">
        <v>31</v>
      </c>
      <c r="C564" s="58" t="s">
        <v>3397</v>
      </c>
      <c r="D564" s="57" t="s">
        <v>1112</v>
      </c>
      <c r="E564" s="59" t="s">
        <v>1854</v>
      </c>
      <c r="F564" s="57" t="str">
        <f t="shared" si="46"/>
        <v>Menipis</v>
      </c>
      <c r="G564" s="64">
        <v>1.0</v>
      </c>
      <c r="H564" s="60">
        <v>30000.0</v>
      </c>
      <c r="I564" s="60">
        <v>60000.0</v>
      </c>
      <c r="J564" s="60">
        <f t="shared" si="47"/>
        <v>30000</v>
      </c>
      <c r="K564" s="61">
        <f t="shared" si="48"/>
        <v>1</v>
      </c>
    </row>
    <row r="565" ht="27.75" customHeight="1">
      <c r="A565" s="56" t="s">
        <v>3398</v>
      </c>
      <c r="B565" s="57" t="s">
        <v>31</v>
      </c>
      <c r="C565" s="58" t="s">
        <v>3399</v>
      </c>
      <c r="D565" s="57" t="s">
        <v>1112</v>
      </c>
      <c r="E565" s="59" t="s">
        <v>3400</v>
      </c>
      <c r="F565" s="57" t="str">
        <f t="shared" si="46"/>
        <v>Menipis</v>
      </c>
      <c r="G565" s="64">
        <v>1.0</v>
      </c>
      <c r="H565" s="60">
        <v>52000.0</v>
      </c>
      <c r="I565" s="60">
        <v>85000.0</v>
      </c>
      <c r="J565" s="60">
        <f t="shared" si="47"/>
        <v>33000</v>
      </c>
      <c r="K565" s="61">
        <f t="shared" si="48"/>
        <v>0.6346153846</v>
      </c>
    </row>
    <row r="566" ht="27.75" customHeight="1">
      <c r="A566" s="56" t="s">
        <v>3401</v>
      </c>
      <c r="B566" s="57" t="s">
        <v>31</v>
      </c>
      <c r="C566" s="58" t="s">
        <v>3402</v>
      </c>
      <c r="D566" s="57" t="s">
        <v>1112</v>
      </c>
      <c r="E566" s="59" t="s">
        <v>3400</v>
      </c>
      <c r="F566" s="57" t="str">
        <f t="shared" si="46"/>
        <v>Habis</v>
      </c>
      <c r="G566" s="64">
        <v>0.0</v>
      </c>
      <c r="H566" s="60">
        <v>52000.0</v>
      </c>
      <c r="I566" s="60">
        <v>93600.0</v>
      </c>
      <c r="J566" s="60">
        <f t="shared" si="47"/>
        <v>41600</v>
      </c>
      <c r="K566" s="61">
        <f t="shared" si="48"/>
        <v>0.8</v>
      </c>
    </row>
    <row r="567" ht="27.75" customHeight="1">
      <c r="A567" s="56" t="s">
        <v>3403</v>
      </c>
      <c r="B567" s="57" t="s">
        <v>31</v>
      </c>
      <c r="C567" s="58" t="s">
        <v>3404</v>
      </c>
      <c r="D567" s="57" t="s">
        <v>1112</v>
      </c>
      <c r="E567" s="59" t="s">
        <v>3024</v>
      </c>
      <c r="F567" s="57" t="str">
        <f t="shared" si="46"/>
        <v>Menipis</v>
      </c>
      <c r="G567" s="64">
        <v>1.0</v>
      </c>
      <c r="H567" s="60">
        <v>95000.0</v>
      </c>
      <c r="I567" s="60">
        <v>155000.0</v>
      </c>
      <c r="J567" s="60">
        <f t="shared" si="47"/>
        <v>60000</v>
      </c>
      <c r="K567" s="61">
        <f t="shared" si="48"/>
        <v>0.6315789474</v>
      </c>
    </row>
    <row r="568" ht="27.75" customHeight="1">
      <c r="A568" s="56" t="s">
        <v>3405</v>
      </c>
      <c r="B568" s="57" t="s">
        <v>31</v>
      </c>
      <c r="C568" s="58" t="s">
        <v>3406</v>
      </c>
      <c r="D568" s="57" t="s">
        <v>1112</v>
      </c>
      <c r="E568" s="59" t="s">
        <v>3024</v>
      </c>
      <c r="F568" s="57" t="str">
        <f t="shared" si="46"/>
        <v>Menipis</v>
      </c>
      <c r="G568" s="64">
        <v>1.0</v>
      </c>
      <c r="H568" s="60">
        <v>95000.0</v>
      </c>
      <c r="I568" s="60">
        <v>155000.0</v>
      </c>
      <c r="J568" s="60">
        <f t="shared" si="47"/>
        <v>60000</v>
      </c>
      <c r="K568" s="61">
        <f t="shared" si="48"/>
        <v>0.6315789474</v>
      </c>
    </row>
    <row r="569" ht="27.75" customHeight="1">
      <c r="A569" s="56" t="s">
        <v>3407</v>
      </c>
      <c r="B569" s="57" t="s">
        <v>31</v>
      </c>
      <c r="C569" s="58" t="s">
        <v>3408</v>
      </c>
      <c r="D569" s="57" t="s">
        <v>1112</v>
      </c>
      <c r="E569" s="59" t="s">
        <v>3024</v>
      </c>
      <c r="F569" s="57" t="str">
        <f t="shared" si="46"/>
        <v>Menipis</v>
      </c>
      <c r="G569" s="64">
        <v>1.0</v>
      </c>
      <c r="H569" s="60">
        <v>135000.0</v>
      </c>
      <c r="I569" s="60">
        <v>210000.0</v>
      </c>
      <c r="J569" s="60">
        <f t="shared" si="47"/>
        <v>75000</v>
      </c>
      <c r="K569" s="61">
        <f t="shared" si="48"/>
        <v>0.5555555556</v>
      </c>
    </row>
    <row r="570" ht="27.75" customHeight="1">
      <c r="A570" s="56" t="s">
        <v>3409</v>
      </c>
      <c r="B570" s="57" t="s">
        <v>31</v>
      </c>
      <c r="C570" s="58" t="s">
        <v>3410</v>
      </c>
      <c r="D570" s="57" t="s">
        <v>1112</v>
      </c>
      <c r="E570" s="59" t="s">
        <v>3024</v>
      </c>
      <c r="F570" s="57" t="str">
        <f t="shared" si="46"/>
        <v>Menipis</v>
      </c>
      <c r="G570" s="64">
        <v>2.0</v>
      </c>
      <c r="H570" s="60">
        <v>125000.0</v>
      </c>
      <c r="I570" s="60">
        <v>185000.0</v>
      </c>
      <c r="J570" s="60">
        <f t="shared" si="47"/>
        <v>60000</v>
      </c>
      <c r="K570" s="61">
        <f t="shared" si="48"/>
        <v>0.48</v>
      </c>
    </row>
    <row r="571" ht="27.75" customHeight="1">
      <c r="A571" s="56" t="s">
        <v>3411</v>
      </c>
      <c r="B571" s="57" t="s">
        <v>31</v>
      </c>
      <c r="C571" s="58" t="s">
        <v>3412</v>
      </c>
      <c r="D571" s="57" t="s">
        <v>1112</v>
      </c>
      <c r="E571" s="59" t="s">
        <v>3024</v>
      </c>
      <c r="F571" s="57" t="str">
        <f t="shared" si="46"/>
        <v>Menipis</v>
      </c>
      <c r="G571" s="64">
        <v>1.0</v>
      </c>
      <c r="H571" s="60">
        <v>95000.0</v>
      </c>
      <c r="I571" s="60">
        <v>155000.0</v>
      </c>
      <c r="J571" s="60">
        <f t="shared" si="47"/>
        <v>60000</v>
      </c>
      <c r="K571" s="61">
        <f t="shared" si="48"/>
        <v>0.6315789474</v>
      </c>
    </row>
    <row r="572" ht="27.75" customHeight="1">
      <c r="A572" s="56" t="s">
        <v>3413</v>
      </c>
      <c r="B572" s="57" t="s">
        <v>31</v>
      </c>
      <c r="C572" s="58" t="s">
        <v>3414</v>
      </c>
      <c r="D572" s="57" t="s">
        <v>1112</v>
      </c>
      <c r="E572" s="59" t="s">
        <v>3415</v>
      </c>
      <c r="F572" s="57" t="str">
        <f t="shared" si="46"/>
        <v>Menipis</v>
      </c>
      <c r="G572" s="64">
        <v>1.0</v>
      </c>
      <c r="H572" s="60">
        <v>40000.0</v>
      </c>
      <c r="I572" s="60">
        <v>70000.0</v>
      </c>
      <c r="J572" s="60">
        <f t="shared" si="47"/>
        <v>30000</v>
      </c>
      <c r="K572" s="61">
        <f t="shared" si="48"/>
        <v>0.75</v>
      </c>
    </row>
    <row r="573" ht="27.75" customHeight="1">
      <c r="A573" s="56" t="s">
        <v>3416</v>
      </c>
      <c r="B573" s="57" t="s">
        <v>31</v>
      </c>
      <c r="C573" s="58" t="s">
        <v>3417</v>
      </c>
      <c r="D573" s="57" t="s">
        <v>1112</v>
      </c>
      <c r="E573" s="59" t="s">
        <v>3415</v>
      </c>
      <c r="F573" s="57" t="str">
        <f t="shared" si="46"/>
        <v>Menipis</v>
      </c>
      <c r="G573" s="64">
        <v>1.0</v>
      </c>
      <c r="H573" s="60">
        <v>120000.0</v>
      </c>
      <c r="I573" s="60">
        <v>160000.0</v>
      </c>
      <c r="J573" s="60">
        <f t="shared" si="47"/>
        <v>40000</v>
      </c>
      <c r="K573" s="61">
        <f t="shared" si="48"/>
        <v>0.3333333333</v>
      </c>
    </row>
    <row r="574" ht="27.75" customHeight="1">
      <c r="A574" s="56" t="s">
        <v>3418</v>
      </c>
      <c r="B574" s="57" t="s">
        <v>31</v>
      </c>
      <c r="C574" s="58" t="s">
        <v>3419</v>
      </c>
      <c r="D574" s="57" t="s">
        <v>1112</v>
      </c>
      <c r="E574" s="59" t="s">
        <v>3415</v>
      </c>
      <c r="F574" s="57" t="str">
        <f t="shared" si="46"/>
        <v>Habis</v>
      </c>
      <c r="G574" s="64">
        <v>0.0</v>
      </c>
      <c r="H574" s="60">
        <v>210000.0</v>
      </c>
      <c r="I574" s="60">
        <v>310000.0</v>
      </c>
      <c r="J574" s="60">
        <f t="shared" si="47"/>
        <v>100000</v>
      </c>
      <c r="K574" s="61">
        <f t="shared" si="48"/>
        <v>0.4761904762</v>
      </c>
    </row>
    <row r="575" ht="27.75" customHeight="1">
      <c r="A575" s="56" t="s">
        <v>3420</v>
      </c>
      <c r="B575" s="57" t="s">
        <v>31</v>
      </c>
      <c r="C575" s="58" t="s">
        <v>3421</v>
      </c>
      <c r="D575" s="57" t="s">
        <v>1112</v>
      </c>
      <c r="E575" s="59" t="s">
        <v>3415</v>
      </c>
      <c r="F575" s="57" t="str">
        <f t="shared" si="46"/>
        <v>Habis</v>
      </c>
      <c r="G575" s="64">
        <v>0.0</v>
      </c>
      <c r="H575" s="60">
        <v>62544.0</v>
      </c>
      <c r="I575" s="60">
        <v>112579.0</v>
      </c>
      <c r="J575" s="60">
        <f t="shared" si="47"/>
        <v>50035</v>
      </c>
      <c r="K575" s="61">
        <f t="shared" si="48"/>
        <v>0.7999968023</v>
      </c>
    </row>
    <row r="576" ht="27.75" customHeight="1">
      <c r="A576" s="56" t="s">
        <v>3422</v>
      </c>
      <c r="B576" s="57" t="s">
        <v>31</v>
      </c>
      <c r="C576" s="58" t="s">
        <v>3423</v>
      </c>
      <c r="D576" s="57" t="s">
        <v>1112</v>
      </c>
      <c r="E576" s="59" t="s">
        <v>3415</v>
      </c>
      <c r="F576" s="57" t="str">
        <f t="shared" si="46"/>
        <v>Habis</v>
      </c>
      <c r="G576" s="64">
        <v>0.0</v>
      </c>
      <c r="H576" s="60">
        <v>127403.0</v>
      </c>
      <c r="I576" s="60">
        <v>229325.0</v>
      </c>
      <c r="J576" s="60">
        <f t="shared" si="47"/>
        <v>101922</v>
      </c>
      <c r="K576" s="61">
        <f t="shared" si="48"/>
        <v>0.7999968604</v>
      </c>
    </row>
    <row r="577" ht="27.75" customHeight="1">
      <c r="A577" s="56" t="s">
        <v>3424</v>
      </c>
      <c r="B577" s="57" t="s">
        <v>31</v>
      </c>
      <c r="C577" s="58" t="s">
        <v>3425</v>
      </c>
      <c r="D577" s="57" t="s">
        <v>1112</v>
      </c>
      <c r="E577" s="59" t="s">
        <v>3415</v>
      </c>
      <c r="F577" s="57" t="str">
        <f t="shared" si="46"/>
        <v>Habis</v>
      </c>
      <c r="G577" s="64">
        <v>0.0</v>
      </c>
      <c r="H577" s="60">
        <v>115615.0</v>
      </c>
      <c r="I577" s="60">
        <v>208107.0</v>
      </c>
      <c r="J577" s="60">
        <f t="shared" si="47"/>
        <v>92492</v>
      </c>
      <c r="K577" s="61">
        <f t="shared" si="48"/>
        <v>0.8</v>
      </c>
    </row>
    <row r="578" ht="27.75" customHeight="1">
      <c r="A578" s="56" t="s">
        <v>3426</v>
      </c>
      <c r="B578" s="57" t="s">
        <v>31</v>
      </c>
      <c r="C578" s="58" t="s">
        <v>3427</v>
      </c>
      <c r="D578" s="57" t="s">
        <v>1112</v>
      </c>
      <c r="E578" s="59" t="s">
        <v>3415</v>
      </c>
      <c r="F578" s="57" t="str">
        <f t="shared" si="46"/>
        <v>Habis</v>
      </c>
      <c r="G578" s="64">
        <v>0.0</v>
      </c>
      <c r="H578" s="60">
        <v>136203.0</v>
      </c>
      <c r="I578" s="60">
        <v>245165.0</v>
      </c>
      <c r="J578" s="60">
        <f t="shared" si="47"/>
        <v>108962</v>
      </c>
      <c r="K578" s="61">
        <f t="shared" si="48"/>
        <v>0.7999970632</v>
      </c>
    </row>
    <row r="579" ht="27.75" customHeight="1">
      <c r="A579" s="56" t="s">
        <v>3428</v>
      </c>
      <c r="B579" s="57" t="s">
        <v>31</v>
      </c>
      <c r="C579" s="58" t="s">
        <v>3429</v>
      </c>
      <c r="D579" s="57" t="s">
        <v>1112</v>
      </c>
      <c r="E579" s="59" t="s">
        <v>3415</v>
      </c>
      <c r="F579" s="57" t="str">
        <f t="shared" si="46"/>
        <v>Habis</v>
      </c>
      <c r="G579" s="64">
        <v>0.0</v>
      </c>
      <c r="H579" s="60">
        <v>37832.0</v>
      </c>
      <c r="I579" s="60">
        <v>68098.0</v>
      </c>
      <c r="J579" s="60">
        <f t="shared" si="47"/>
        <v>30266</v>
      </c>
      <c r="K579" s="61">
        <f t="shared" si="48"/>
        <v>0.8000105731</v>
      </c>
    </row>
    <row r="580" ht="27.75" customHeight="1">
      <c r="A580" s="56" t="s">
        <v>3430</v>
      </c>
      <c r="B580" s="57" t="s">
        <v>31</v>
      </c>
      <c r="C580" s="58" t="s">
        <v>3431</v>
      </c>
      <c r="D580" s="57" t="s">
        <v>1112</v>
      </c>
      <c r="E580" s="59" t="s">
        <v>3415</v>
      </c>
      <c r="F580" s="57" t="str">
        <f t="shared" si="46"/>
        <v>Habis</v>
      </c>
      <c r="G580" s="64">
        <v>0.0</v>
      </c>
      <c r="H580" s="60">
        <v>93386.0</v>
      </c>
      <c r="I580" s="60">
        <v>168095.0</v>
      </c>
      <c r="J580" s="60">
        <f t="shared" si="47"/>
        <v>74709</v>
      </c>
      <c r="K580" s="61">
        <f t="shared" si="48"/>
        <v>0.8000021416</v>
      </c>
    </row>
    <row r="581" ht="27.75" customHeight="1">
      <c r="A581" s="56" t="s">
        <v>3432</v>
      </c>
      <c r="B581" s="57" t="s">
        <v>31</v>
      </c>
      <c r="C581" s="58" t="s">
        <v>3433</v>
      </c>
      <c r="D581" s="57" t="s">
        <v>1112</v>
      </c>
      <c r="E581" s="59" t="s">
        <v>2970</v>
      </c>
      <c r="F581" s="57" t="str">
        <f t="shared" si="46"/>
        <v>Menipis</v>
      </c>
      <c r="G581" s="64">
        <v>2.0</v>
      </c>
      <c r="H581" s="60">
        <v>80000.0</v>
      </c>
      <c r="I581" s="60">
        <v>130000.0</v>
      </c>
      <c r="J581" s="60">
        <f t="shared" si="47"/>
        <v>50000</v>
      </c>
      <c r="K581" s="61">
        <f t="shared" si="48"/>
        <v>0.625</v>
      </c>
    </row>
    <row r="582" ht="27.75" customHeight="1">
      <c r="A582" s="56" t="s">
        <v>3434</v>
      </c>
      <c r="B582" s="57" t="s">
        <v>31</v>
      </c>
      <c r="C582" s="58" t="s">
        <v>3435</v>
      </c>
      <c r="D582" s="57" t="s">
        <v>1112</v>
      </c>
      <c r="E582" s="59" t="s">
        <v>3436</v>
      </c>
      <c r="F582" s="57" t="str">
        <f t="shared" si="46"/>
        <v>Menipis</v>
      </c>
      <c r="G582" s="64">
        <v>1.0</v>
      </c>
      <c r="H582" s="60">
        <v>50000.0</v>
      </c>
      <c r="I582" s="60">
        <v>100000.0</v>
      </c>
      <c r="J582" s="60">
        <f t="shared" si="47"/>
        <v>50000</v>
      </c>
      <c r="K582" s="61">
        <f t="shared" si="48"/>
        <v>1</v>
      </c>
    </row>
    <row r="583" ht="27.75" customHeight="1">
      <c r="A583" s="56" t="s">
        <v>3437</v>
      </c>
      <c r="B583" s="57" t="s">
        <v>31</v>
      </c>
      <c r="C583" s="58" t="s">
        <v>3438</v>
      </c>
      <c r="D583" s="57" t="s">
        <v>1112</v>
      </c>
      <c r="E583" s="59" t="s">
        <v>3436</v>
      </c>
      <c r="F583" s="57" t="str">
        <f t="shared" si="46"/>
        <v>Menipis</v>
      </c>
      <c r="G583" s="64">
        <v>2.0</v>
      </c>
      <c r="H583" s="60">
        <v>45000.0</v>
      </c>
      <c r="I583" s="60">
        <v>95000.0</v>
      </c>
      <c r="J583" s="60">
        <f t="shared" si="47"/>
        <v>50000</v>
      </c>
      <c r="K583" s="61">
        <f t="shared" si="48"/>
        <v>1.111111111</v>
      </c>
    </row>
    <row r="584" ht="27.75" customHeight="1">
      <c r="A584" s="56" t="s">
        <v>3439</v>
      </c>
      <c r="B584" s="57" t="s">
        <v>31</v>
      </c>
      <c r="C584" s="58" t="s">
        <v>3440</v>
      </c>
      <c r="D584" s="57" t="s">
        <v>1112</v>
      </c>
      <c r="E584" s="59" t="s">
        <v>3436</v>
      </c>
      <c r="F584" s="57" t="str">
        <f t="shared" si="46"/>
        <v>Menipis</v>
      </c>
      <c r="G584" s="64">
        <v>2.0</v>
      </c>
      <c r="H584" s="60">
        <v>15080.0</v>
      </c>
      <c r="I584" s="60">
        <v>25000.0</v>
      </c>
      <c r="J584" s="60">
        <f t="shared" si="47"/>
        <v>9920</v>
      </c>
      <c r="K584" s="61">
        <f t="shared" si="48"/>
        <v>0.6578249337</v>
      </c>
    </row>
    <row r="585" ht="27.75" customHeight="1">
      <c r="A585" s="56" t="s">
        <v>3441</v>
      </c>
      <c r="B585" s="57" t="s">
        <v>31</v>
      </c>
      <c r="C585" s="58" t="s">
        <v>3442</v>
      </c>
      <c r="D585" s="57" t="s">
        <v>1112</v>
      </c>
      <c r="E585" s="59" t="s">
        <v>3436</v>
      </c>
      <c r="F585" s="57" t="str">
        <f t="shared" si="46"/>
        <v>Habis</v>
      </c>
      <c r="G585" s="64">
        <v>0.0</v>
      </c>
      <c r="H585" s="60">
        <v>47088.0</v>
      </c>
      <c r="I585" s="60">
        <v>84758.0</v>
      </c>
      <c r="J585" s="60">
        <f t="shared" si="47"/>
        <v>37670</v>
      </c>
      <c r="K585" s="61">
        <f t="shared" si="48"/>
        <v>0.7999915053</v>
      </c>
    </row>
    <row r="586" ht="27.75" customHeight="1">
      <c r="A586" s="56" t="s">
        <v>3443</v>
      </c>
      <c r="B586" s="57" t="s">
        <v>31</v>
      </c>
      <c r="C586" s="58" t="s">
        <v>3444</v>
      </c>
      <c r="D586" s="57" t="s">
        <v>1112</v>
      </c>
      <c r="E586" s="59" t="s">
        <v>3436</v>
      </c>
      <c r="F586" s="57" t="str">
        <f t="shared" si="46"/>
        <v>Habis</v>
      </c>
      <c r="G586" s="64">
        <v>0.0</v>
      </c>
      <c r="H586" s="60">
        <v>34927.0</v>
      </c>
      <c r="I586" s="60">
        <v>62869.0</v>
      </c>
      <c r="J586" s="60">
        <f t="shared" si="47"/>
        <v>27942</v>
      </c>
      <c r="K586" s="61">
        <f t="shared" si="48"/>
        <v>0.8000114525</v>
      </c>
    </row>
    <row r="587" ht="27.75" customHeight="1">
      <c r="A587" s="56" t="s">
        <v>3445</v>
      </c>
      <c r="B587" s="57" t="s">
        <v>31</v>
      </c>
      <c r="C587" s="58" t="s">
        <v>3446</v>
      </c>
      <c r="D587" s="57" t="s">
        <v>1112</v>
      </c>
      <c r="E587" s="59" t="s">
        <v>3436</v>
      </c>
      <c r="F587" s="57" t="str">
        <f t="shared" si="46"/>
        <v>Habis</v>
      </c>
      <c r="G587" s="64">
        <v>0.0</v>
      </c>
      <c r="H587" s="60">
        <v>40074.0</v>
      </c>
      <c r="I587" s="60">
        <v>72133.0</v>
      </c>
      <c r="J587" s="60">
        <f t="shared" si="47"/>
        <v>32059</v>
      </c>
      <c r="K587" s="61">
        <f t="shared" si="48"/>
        <v>0.7999950092</v>
      </c>
    </row>
    <row r="588" ht="27.75" customHeight="1">
      <c r="A588" s="56" t="s">
        <v>3447</v>
      </c>
      <c r="B588" s="57" t="s">
        <v>31</v>
      </c>
      <c r="C588" s="58" t="s">
        <v>3448</v>
      </c>
      <c r="D588" s="57" t="s">
        <v>1112</v>
      </c>
      <c r="E588" s="59" t="s">
        <v>2953</v>
      </c>
      <c r="F588" s="57" t="str">
        <f t="shared" si="46"/>
        <v>Menipis</v>
      </c>
      <c r="G588" s="64">
        <v>1.0</v>
      </c>
      <c r="H588" s="60">
        <v>55000.0</v>
      </c>
      <c r="I588" s="60">
        <v>120000.0</v>
      </c>
      <c r="J588" s="60">
        <f t="shared" si="47"/>
        <v>65000</v>
      </c>
      <c r="K588" s="61">
        <f t="shared" si="48"/>
        <v>1.181818182</v>
      </c>
    </row>
    <row r="589" ht="27.75" customHeight="1">
      <c r="A589" s="56" t="s">
        <v>3449</v>
      </c>
      <c r="B589" s="57" t="s">
        <v>31</v>
      </c>
      <c r="C589" s="58" t="s">
        <v>3450</v>
      </c>
      <c r="D589" s="57" t="s">
        <v>1112</v>
      </c>
      <c r="E589" s="59" t="s">
        <v>2953</v>
      </c>
      <c r="F589" s="57" t="str">
        <f t="shared" si="46"/>
        <v>Tersedia</v>
      </c>
      <c r="G589" s="64">
        <v>7.0</v>
      </c>
      <c r="H589" s="60">
        <v>40000.0</v>
      </c>
      <c r="I589" s="60">
        <v>80000.0</v>
      </c>
      <c r="J589" s="60">
        <f t="shared" si="47"/>
        <v>40000</v>
      </c>
      <c r="K589" s="61">
        <f t="shared" si="48"/>
        <v>1</v>
      </c>
    </row>
    <row r="590" ht="27.75" customHeight="1">
      <c r="A590" s="56" t="s">
        <v>3451</v>
      </c>
      <c r="B590" s="57" t="s">
        <v>31</v>
      </c>
      <c r="C590" s="58" t="s">
        <v>3452</v>
      </c>
      <c r="D590" s="57" t="s">
        <v>1112</v>
      </c>
      <c r="E590" s="59" t="s">
        <v>2953</v>
      </c>
      <c r="F590" s="57" t="str">
        <f t="shared" si="46"/>
        <v>Tersedia</v>
      </c>
      <c r="G590" s="64">
        <v>10.0</v>
      </c>
      <c r="H590" s="60">
        <v>40000.0</v>
      </c>
      <c r="I590" s="60">
        <v>75000.0</v>
      </c>
      <c r="J590" s="60">
        <f t="shared" si="47"/>
        <v>35000</v>
      </c>
      <c r="K590" s="61">
        <f t="shared" si="48"/>
        <v>0.875</v>
      </c>
    </row>
    <row r="591" ht="27.75" customHeight="1">
      <c r="A591" s="56" t="s">
        <v>3453</v>
      </c>
      <c r="B591" s="57" t="s">
        <v>31</v>
      </c>
      <c r="C591" s="58" t="s">
        <v>3454</v>
      </c>
      <c r="D591" s="57" t="s">
        <v>1112</v>
      </c>
      <c r="E591" s="59" t="s">
        <v>2953</v>
      </c>
      <c r="F591" s="57" t="str">
        <f t="shared" si="46"/>
        <v>Menipis</v>
      </c>
      <c r="G591" s="64">
        <v>1.0</v>
      </c>
      <c r="H591" s="60">
        <v>40000.0</v>
      </c>
      <c r="I591" s="60">
        <v>75000.0</v>
      </c>
      <c r="J591" s="60">
        <f t="shared" si="47"/>
        <v>35000</v>
      </c>
      <c r="K591" s="61">
        <f t="shared" si="48"/>
        <v>0.875</v>
      </c>
    </row>
    <row r="592" ht="27.75" customHeight="1">
      <c r="A592" s="56" t="s">
        <v>3455</v>
      </c>
      <c r="B592" s="57" t="s">
        <v>31</v>
      </c>
      <c r="C592" s="58" t="s">
        <v>3456</v>
      </c>
      <c r="D592" s="57" t="s">
        <v>1112</v>
      </c>
      <c r="E592" s="59" t="s">
        <v>2953</v>
      </c>
      <c r="F592" s="57" t="str">
        <f t="shared" si="46"/>
        <v>Menipis</v>
      </c>
      <c r="G592" s="64">
        <v>1.0</v>
      </c>
      <c r="H592" s="60">
        <v>99000.0</v>
      </c>
      <c r="I592" s="60">
        <v>150000.0</v>
      </c>
      <c r="J592" s="60">
        <f t="shared" si="47"/>
        <v>51000</v>
      </c>
      <c r="K592" s="61">
        <f t="shared" si="48"/>
        <v>0.5151515152</v>
      </c>
    </row>
    <row r="593" ht="27.75" customHeight="1">
      <c r="A593" s="56" t="s">
        <v>3457</v>
      </c>
      <c r="B593" s="57" t="s">
        <v>31</v>
      </c>
      <c r="C593" s="58" t="s">
        <v>3458</v>
      </c>
      <c r="D593" s="57" t="s">
        <v>1112</v>
      </c>
      <c r="E593" s="59" t="s">
        <v>2953</v>
      </c>
      <c r="F593" s="57" t="str">
        <f t="shared" si="46"/>
        <v>Tersedia</v>
      </c>
      <c r="G593" s="64">
        <v>5.0</v>
      </c>
      <c r="H593" s="60">
        <v>24000.0</v>
      </c>
      <c r="I593" s="60">
        <v>40000.0</v>
      </c>
      <c r="J593" s="60">
        <f t="shared" si="47"/>
        <v>16000</v>
      </c>
      <c r="K593" s="61">
        <f t="shared" si="48"/>
        <v>0.6666666667</v>
      </c>
    </row>
    <row r="594" ht="27.75" customHeight="1">
      <c r="A594" s="56" t="s">
        <v>3459</v>
      </c>
      <c r="B594" s="57" t="s">
        <v>31</v>
      </c>
      <c r="C594" s="58" t="s">
        <v>3460</v>
      </c>
      <c r="D594" s="57" t="s">
        <v>1112</v>
      </c>
      <c r="E594" s="59" t="s">
        <v>2953</v>
      </c>
      <c r="F594" s="57" t="str">
        <f t="shared" si="46"/>
        <v>Menipis</v>
      </c>
      <c r="G594" s="64">
        <v>2.0</v>
      </c>
      <c r="H594" s="60">
        <v>65000.0</v>
      </c>
      <c r="I594" s="60">
        <v>100000.0</v>
      </c>
      <c r="J594" s="60">
        <f t="shared" si="47"/>
        <v>35000</v>
      </c>
      <c r="K594" s="61">
        <f t="shared" si="48"/>
        <v>0.5384615385</v>
      </c>
    </row>
    <row r="595" ht="27.75" customHeight="1">
      <c r="A595" s="56" t="s">
        <v>3461</v>
      </c>
      <c r="B595" s="57" t="s">
        <v>31</v>
      </c>
      <c r="C595" s="58" t="s">
        <v>3462</v>
      </c>
      <c r="D595" s="57" t="s">
        <v>1112</v>
      </c>
      <c r="E595" s="59" t="s">
        <v>2953</v>
      </c>
      <c r="F595" s="57" t="str">
        <f t="shared" si="46"/>
        <v>Menipis</v>
      </c>
      <c r="G595" s="64">
        <v>3.0</v>
      </c>
      <c r="H595" s="60">
        <v>70000.0</v>
      </c>
      <c r="I595" s="60">
        <v>105000.0</v>
      </c>
      <c r="J595" s="60">
        <f t="shared" si="47"/>
        <v>35000</v>
      </c>
      <c r="K595" s="61">
        <f t="shared" si="48"/>
        <v>0.5</v>
      </c>
    </row>
    <row r="596" ht="27.75" customHeight="1">
      <c r="A596" s="56" t="s">
        <v>3463</v>
      </c>
      <c r="B596" s="57" t="s">
        <v>31</v>
      </c>
      <c r="C596" s="58" t="s">
        <v>3464</v>
      </c>
      <c r="D596" s="57" t="s">
        <v>1112</v>
      </c>
      <c r="E596" s="59" t="s">
        <v>2953</v>
      </c>
      <c r="F596" s="57" t="str">
        <f t="shared" si="46"/>
        <v>Tersedia</v>
      </c>
      <c r="G596" s="64">
        <v>8.0</v>
      </c>
      <c r="H596" s="60">
        <v>21000.0</v>
      </c>
      <c r="I596" s="60">
        <v>40000.0</v>
      </c>
      <c r="J596" s="60">
        <f t="shared" si="47"/>
        <v>19000</v>
      </c>
      <c r="K596" s="61">
        <f t="shared" si="48"/>
        <v>0.9047619048</v>
      </c>
    </row>
    <row r="597" ht="27.75" customHeight="1">
      <c r="A597" s="56" t="s">
        <v>3465</v>
      </c>
      <c r="B597" s="57" t="s">
        <v>31</v>
      </c>
      <c r="C597" s="58" t="s">
        <v>3466</v>
      </c>
      <c r="D597" s="57" t="s">
        <v>1112</v>
      </c>
      <c r="E597" s="59" t="s">
        <v>2953</v>
      </c>
      <c r="F597" s="57" t="str">
        <f t="shared" si="46"/>
        <v>Habis</v>
      </c>
      <c r="G597" s="64">
        <v>0.0</v>
      </c>
      <c r="H597" s="60">
        <v>55000.0</v>
      </c>
      <c r="I597" s="60">
        <v>100000.0</v>
      </c>
      <c r="J597" s="60">
        <f t="shared" si="47"/>
        <v>45000</v>
      </c>
      <c r="K597" s="61">
        <f t="shared" si="48"/>
        <v>0.8181818182</v>
      </c>
    </row>
    <row r="598" ht="27.75" customHeight="1">
      <c r="A598" s="56" t="s">
        <v>3467</v>
      </c>
      <c r="B598" s="57" t="s">
        <v>31</v>
      </c>
      <c r="C598" s="58" t="s">
        <v>3468</v>
      </c>
      <c r="D598" s="57" t="s">
        <v>1112</v>
      </c>
      <c r="E598" s="59" t="s">
        <v>2953</v>
      </c>
      <c r="F598" s="57" t="str">
        <f t="shared" si="46"/>
        <v>Habis</v>
      </c>
      <c r="G598" s="64">
        <v>0.0</v>
      </c>
      <c r="H598" s="60">
        <v>55000.0</v>
      </c>
      <c r="I598" s="60">
        <v>100000.0</v>
      </c>
      <c r="J598" s="60">
        <f t="shared" si="47"/>
        <v>45000</v>
      </c>
      <c r="K598" s="61">
        <f t="shared" si="48"/>
        <v>0.8181818182</v>
      </c>
    </row>
    <row r="599" ht="27.75" customHeight="1">
      <c r="A599" s="56" t="s">
        <v>3469</v>
      </c>
      <c r="B599" s="57" t="s">
        <v>31</v>
      </c>
      <c r="C599" s="58" t="s">
        <v>3470</v>
      </c>
      <c r="D599" s="57" t="s">
        <v>1112</v>
      </c>
      <c r="E599" s="59" t="s">
        <v>2953</v>
      </c>
      <c r="F599" s="57" t="str">
        <f t="shared" si="46"/>
        <v>Habis</v>
      </c>
      <c r="G599" s="64">
        <v>0.0</v>
      </c>
      <c r="H599" s="60">
        <v>60000.0</v>
      </c>
      <c r="I599" s="60">
        <v>120000.0</v>
      </c>
      <c r="J599" s="60">
        <f t="shared" si="47"/>
        <v>60000</v>
      </c>
      <c r="K599" s="61">
        <f t="shared" si="48"/>
        <v>1</v>
      </c>
    </row>
    <row r="600" ht="27.75" customHeight="1">
      <c r="A600" s="56" t="s">
        <v>3471</v>
      </c>
      <c r="B600" s="57" t="s">
        <v>31</v>
      </c>
      <c r="C600" s="58" t="s">
        <v>3472</v>
      </c>
      <c r="D600" s="57" t="s">
        <v>1112</v>
      </c>
      <c r="E600" s="59" t="s">
        <v>2953</v>
      </c>
      <c r="F600" s="57" t="str">
        <f t="shared" si="46"/>
        <v>Habis</v>
      </c>
      <c r="G600" s="64">
        <v>0.0</v>
      </c>
      <c r="H600" s="60">
        <v>50474.0</v>
      </c>
      <c r="I600" s="60">
        <v>90853.0</v>
      </c>
      <c r="J600" s="60">
        <f t="shared" si="47"/>
        <v>40379</v>
      </c>
      <c r="K600" s="61">
        <f t="shared" si="48"/>
        <v>0.7999960376</v>
      </c>
    </row>
    <row r="601" ht="27.75" customHeight="1">
      <c r="A601" s="56" t="s">
        <v>3473</v>
      </c>
      <c r="B601" s="57" t="s">
        <v>31</v>
      </c>
      <c r="C601" s="58" t="s">
        <v>3474</v>
      </c>
      <c r="D601" s="57" t="s">
        <v>1112</v>
      </c>
      <c r="E601" s="59" t="s">
        <v>2953</v>
      </c>
      <c r="F601" s="57" t="str">
        <f t="shared" si="46"/>
        <v>Habis</v>
      </c>
      <c r="G601" s="64">
        <v>0.0</v>
      </c>
      <c r="H601" s="60">
        <v>49467.0</v>
      </c>
      <c r="I601" s="60">
        <v>89041.0</v>
      </c>
      <c r="J601" s="60">
        <f t="shared" si="47"/>
        <v>39574</v>
      </c>
      <c r="K601" s="61">
        <f t="shared" si="48"/>
        <v>0.8000080862</v>
      </c>
    </row>
    <row r="602" ht="27.75" customHeight="1">
      <c r="A602" s="56" t="s">
        <v>3475</v>
      </c>
      <c r="B602" s="57" t="s">
        <v>31</v>
      </c>
      <c r="C602" s="58" t="s">
        <v>3476</v>
      </c>
      <c r="D602" s="57" t="s">
        <v>1112</v>
      </c>
      <c r="E602" s="59" t="s">
        <v>2953</v>
      </c>
      <c r="F602" s="57" t="str">
        <f t="shared" si="46"/>
        <v>Habis</v>
      </c>
      <c r="G602" s="64">
        <v>0.0</v>
      </c>
      <c r="H602" s="60">
        <v>40000.0</v>
      </c>
      <c r="I602" s="60">
        <v>72000.0</v>
      </c>
      <c r="J602" s="60">
        <f t="shared" si="47"/>
        <v>32000</v>
      </c>
      <c r="K602" s="61">
        <f t="shared" si="48"/>
        <v>0.8</v>
      </c>
    </row>
    <row r="603" ht="27.75" customHeight="1">
      <c r="A603" s="56" t="s">
        <v>3477</v>
      </c>
      <c r="B603" s="57" t="s">
        <v>31</v>
      </c>
      <c r="C603" s="58" t="s">
        <v>3478</v>
      </c>
      <c r="D603" s="57" t="s">
        <v>1112</v>
      </c>
      <c r="E603" s="59" t="s">
        <v>2953</v>
      </c>
      <c r="F603" s="57" t="str">
        <f t="shared" si="46"/>
        <v>Habis</v>
      </c>
      <c r="G603" s="64">
        <v>0.0</v>
      </c>
      <c r="H603" s="60">
        <v>43284.0</v>
      </c>
      <c r="I603" s="60">
        <v>77911.0</v>
      </c>
      <c r="J603" s="60">
        <f t="shared" si="47"/>
        <v>34627</v>
      </c>
      <c r="K603" s="61">
        <f t="shared" si="48"/>
        <v>0.7999953794</v>
      </c>
    </row>
    <row r="604" ht="27.75" customHeight="1">
      <c r="A604" s="56" t="s">
        <v>3479</v>
      </c>
      <c r="B604" s="57" t="s">
        <v>31</v>
      </c>
      <c r="C604" s="58" t="s">
        <v>3480</v>
      </c>
      <c r="D604" s="57" t="s">
        <v>1112</v>
      </c>
      <c r="E604" s="59" t="s">
        <v>2953</v>
      </c>
      <c r="F604" s="57" t="str">
        <f t="shared" si="46"/>
        <v>Habis</v>
      </c>
      <c r="G604" s="64">
        <v>0.0</v>
      </c>
      <c r="H604" s="60">
        <v>344948.0</v>
      </c>
      <c r="I604" s="60">
        <v>620906.0</v>
      </c>
      <c r="J604" s="60">
        <f t="shared" si="47"/>
        <v>275958</v>
      </c>
      <c r="K604" s="61">
        <f t="shared" si="48"/>
        <v>0.7999988404</v>
      </c>
    </row>
    <row r="605" ht="27.75" customHeight="1">
      <c r="A605" s="56" t="s">
        <v>3481</v>
      </c>
      <c r="B605" s="57" t="s">
        <v>31</v>
      </c>
      <c r="C605" s="58" t="s">
        <v>3482</v>
      </c>
      <c r="D605" s="57" t="s">
        <v>1112</v>
      </c>
      <c r="E605" s="59" t="s">
        <v>2953</v>
      </c>
      <c r="F605" s="57" t="str">
        <f t="shared" si="46"/>
        <v>Habis</v>
      </c>
      <c r="G605" s="64">
        <v>0.0</v>
      </c>
      <c r="H605" s="60">
        <v>22578.0</v>
      </c>
      <c r="I605" s="60">
        <v>40640.0</v>
      </c>
      <c r="J605" s="60">
        <f t="shared" si="47"/>
        <v>18062</v>
      </c>
      <c r="K605" s="61">
        <f t="shared" si="48"/>
        <v>0.7999822836</v>
      </c>
    </row>
    <row r="606" ht="27.75" customHeight="1">
      <c r="A606" s="56" t="s">
        <v>3483</v>
      </c>
      <c r="B606" s="57" t="s">
        <v>31</v>
      </c>
      <c r="C606" s="58" t="s">
        <v>3484</v>
      </c>
      <c r="D606" s="57" t="s">
        <v>1112</v>
      </c>
      <c r="E606" s="59" t="s">
        <v>2953</v>
      </c>
      <c r="F606" s="57" t="str">
        <f t="shared" si="46"/>
        <v>Habis</v>
      </c>
      <c r="G606" s="64">
        <v>0.0</v>
      </c>
      <c r="H606" s="60">
        <v>37000.0</v>
      </c>
      <c r="I606" s="60">
        <v>66600.0</v>
      </c>
      <c r="J606" s="60">
        <f t="shared" si="47"/>
        <v>29600</v>
      </c>
      <c r="K606" s="61">
        <f t="shared" si="48"/>
        <v>0.8</v>
      </c>
    </row>
    <row r="607" ht="27.75" customHeight="1">
      <c r="A607" s="56" t="s">
        <v>3485</v>
      </c>
      <c r="B607" s="57" t="s">
        <v>31</v>
      </c>
      <c r="C607" s="58" t="s">
        <v>3486</v>
      </c>
      <c r="D607" s="57" t="s">
        <v>1112</v>
      </c>
      <c r="E607" s="59" t="s">
        <v>2953</v>
      </c>
      <c r="F607" s="57" t="str">
        <f t="shared" si="46"/>
        <v>Habis</v>
      </c>
      <c r="G607" s="64">
        <v>0.0</v>
      </c>
      <c r="H607" s="60">
        <v>19400.0</v>
      </c>
      <c r="I607" s="60">
        <v>34920.0</v>
      </c>
      <c r="J607" s="60">
        <f t="shared" si="47"/>
        <v>15520</v>
      </c>
      <c r="K607" s="61">
        <f t="shared" si="48"/>
        <v>0.8</v>
      </c>
    </row>
    <row r="608" ht="27.75" customHeight="1">
      <c r="A608" s="56" t="s">
        <v>3487</v>
      </c>
      <c r="B608" s="57" t="s">
        <v>31</v>
      </c>
      <c r="C608" s="58" t="s">
        <v>3488</v>
      </c>
      <c r="D608" s="57" t="s">
        <v>1112</v>
      </c>
      <c r="E608" s="59" t="s">
        <v>2953</v>
      </c>
      <c r="F608" s="57" t="str">
        <f t="shared" si="46"/>
        <v>Habis</v>
      </c>
      <c r="G608" s="64">
        <v>0.0</v>
      </c>
      <c r="H608" s="60">
        <v>22000.0</v>
      </c>
      <c r="I608" s="60">
        <v>39600.0</v>
      </c>
      <c r="J608" s="60">
        <f t="shared" si="47"/>
        <v>17600</v>
      </c>
      <c r="K608" s="61">
        <f t="shared" si="48"/>
        <v>0.8</v>
      </c>
    </row>
    <row r="609" ht="27.75" customHeight="1">
      <c r="A609" s="56" t="s">
        <v>3489</v>
      </c>
      <c r="B609" s="57" t="s">
        <v>31</v>
      </c>
      <c r="C609" s="58" t="s">
        <v>3490</v>
      </c>
      <c r="D609" s="57" t="s">
        <v>1112</v>
      </c>
      <c r="E609" s="59" t="s">
        <v>2953</v>
      </c>
      <c r="F609" s="57" t="str">
        <f t="shared" si="46"/>
        <v>Habis</v>
      </c>
      <c r="G609" s="64">
        <v>0.0</v>
      </c>
      <c r="H609" s="60">
        <v>99000.0</v>
      </c>
      <c r="I609" s="60">
        <v>178200.0</v>
      </c>
      <c r="J609" s="60">
        <f t="shared" si="47"/>
        <v>79200</v>
      </c>
      <c r="K609" s="61">
        <f t="shared" si="48"/>
        <v>0.8</v>
      </c>
    </row>
    <row r="610" ht="27.75" customHeight="1">
      <c r="A610" s="56" t="s">
        <v>3491</v>
      </c>
      <c r="B610" s="57" t="s">
        <v>31</v>
      </c>
      <c r="C610" s="58" t="s">
        <v>3492</v>
      </c>
      <c r="D610" s="57" t="s">
        <v>1112</v>
      </c>
      <c r="E610" s="59" t="s">
        <v>2953</v>
      </c>
      <c r="F610" s="57" t="str">
        <f t="shared" si="46"/>
        <v>Habis</v>
      </c>
      <c r="G610" s="64">
        <v>0.0</v>
      </c>
      <c r="H610" s="60">
        <v>36201.0</v>
      </c>
      <c r="I610" s="60">
        <v>65162.0</v>
      </c>
      <c r="J610" s="60">
        <f t="shared" si="47"/>
        <v>28961</v>
      </c>
      <c r="K610" s="61">
        <f t="shared" si="48"/>
        <v>0.8000055247</v>
      </c>
    </row>
    <row r="611" ht="27.75" customHeight="1">
      <c r="A611" s="56" t="s">
        <v>3493</v>
      </c>
      <c r="B611" s="57" t="s">
        <v>31</v>
      </c>
      <c r="C611" s="58" t="s">
        <v>3494</v>
      </c>
      <c r="D611" s="57" t="s">
        <v>1112</v>
      </c>
      <c r="E611" s="59" t="s">
        <v>2953</v>
      </c>
      <c r="F611" s="57" t="str">
        <f t="shared" si="46"/>
        <v>Habis</v>
      </c>
      <c r="G611" s="64">
        <v>0.0</v>
      </c>
      <c r="H611" s="60">
        <v>24000.0</v>
      </c>
      <c r="I611" s="60">
        <v>43200.0</v>
      </c>
      <c r="J611" s="60">
        <f t="shared" si="47"/>
        <v>19200</v>
      </c>
      <c r="K611" s="61">
        <f t="shared" si="48"/>
        <v>0.8</v>
      </c>
    </row>
    <row r="612" ht="27.75" customHeight="1">
      <c r="A612" s="56" t="s">
        <v>3495</v>
      </c>
      <c r="B612" s="57" t="s">
        <v>31</v>
      </c>
      <c r="C612" s="58" t="s">
        <v>3496</v>
      </c>
      <c r="D612" s="57" t="s">
        <v>1112</v>
      </c>
      <c r="E612" s="59" t="s">
        <v>2953</v>
      </c>
      <c r="F612" s="57" t="str">
        <f t="shared" si="46"/>
        <v>Habis</v>
      </c>
      <c r="G612" s="64">
        <v>0.0</v>
      </c>
      <c r="H612" s="60">
        <v>23000.0</v>
      </c>
      <c r="I612" s="60">
        <v>41400.0</v>
      </c>
      <c r="J612" s="60">
        <f t="shared" si="47"/>
        <v>18400</v>
      </c>
      <c r="K612" s="61">
        <f t="shared" si="48"/>
        <v>0.8</v>
      </c>
    </row>
    <row r="613" ht="27.75" customHeight="1">
      <c r="A613" s="56" t="s">
        <v>3497</v>
      </c>
      <c r="B613" s="57" t="s">
        <v>31</v>
      </c>
      <c r="C613" s="58" t="s">
        <v>3498</v>
      </c>
      <c r="D613" s="57" t="s">
        <v>1112</v>
      </c>
      <c r="E613" s="59" t="s">
        <v>2953</v>
      </c>
      <c r="F613" s="57" t="str">
        <f t="shared" si="46"/>
        <v>Habis</v>
      </c>
      <c r="G613" s="64">
        <v>0.0</v>
      </c>
      <c r="H613" s="60">
        <v>30640.0</v>
      </c>
      <c r="I613" s="60">
        <v>55152.0</v>
      </c>
      <c r="J613" s="60">
        <f t="shared" si="47"/>
        <v>24512</v>
      </c>
      <c r="K613" s="61">
        <f t="shared" si="48"/>
        <v>0.8</v>
      </c>
    </row>
    <row r="614" ht="27.75" customHeight="1">
      <c r="A614" s="56" t="s">
        <v>3499</v>
      </c>
      <c r="B614" s="57" t="s">
        <v>31</v>
      </c>
      <c r="C614" s="58" t="s">
        <v>3500</v>
      </c>
      <c r="D614" s="57" t="s">
        <v>1112</v>
      </c>
      <c r="E614" s="59" t="s">
        <v>2953</v>
      </c>
      <c r="F614" s="57" t="str">
        <f t="shared" si="46"/>
        <v>Habis</v>
      </c>
      <c r="G614" s="64">
        <v>0.0</v>
      </c>
      <c r="H614" s="60">
        <v>78599.0</v>
      </c>
      <c r="I614" s="60">
        <v>141478.0</v>
      </c>
      <c r="J614" s="60">
        <f t="shared" si="47"/>
        <v>62879</v>
      </c>
      <c r="K614" s="61">
        <f t="shared" si="48"/>
        <v>0.7999974554</v>
      </c>
    </row>
    <row r="615" ht="27.75" customHeight="1">
      <c r="A615" s="56" t="s">
        <v>3501</v>
      </c>
      <c r="B615" s="57" t="s">
        <v>31</v>
      </c>
      <c r="C615" s="58" t="s">
        <v>3502</v>
      </c>
      <c r="D615" s="57" t="s">
        <v>1112</v>
      </c>
      <c r="E615" s="59" t="s">
        <v>2953</v>
      </c>
      <c r="F615" s="57" t="str">
        <f t="shared" si="46"/>
        <v>Habis</v>
      </c>
      <c r="G615" s="64">
        <v>0.0</v>
      </c>
      <c r="H615" s="60">
        <v>81000.0</v>
      </c>
      <c r="I615" s="60">
        <v>145800.0</v>
      </c>
      <c r="J615" s="60">
        <f t="shared" si="47"/>
        <v>64800</v>
      </c>
      <c r="K615" s="61">
        <f t="shared" si="48"/>
        <v>0.8</v>
      </c>
    </row>
    <row r="616" ht="27.75" customHeight="1">
      <c r="A616" s="56" t="s">
        <v>3503</v>
      </c>
      <c r="B616" s="57" t="s">
        <v>31</v>
      </c>
      <c r="C616" s="58" t="s">
        <v>3504</v>
      </c>
      <c r="D616" s="57" t="s">
        <v>1112</v>
      </c>
      <c r="E616" s="59" t="s">
        <v>2953</v>
      </c>
      <c r="F616" s="57" t="str">
        <f t="shared" si="46"/>
        <v>Habis</v>
      </c>
      <c r="G616" s="64">
        <v>0.0</v>
      </c>
      <c r="H616" s="60">
        <v>57000.0</v>
      </c>
      <c r="I616" s="60">
        <v>102600.0</v>
      </c>
      <c r="J616" s="60">
        <f t="shared" si="47"/>
        <v>45600</v>
      </c>
      <c r="K616" s="61">
        <f t="shared" si="48"/>
        <v>0.8</v>
      </c>
    </row>
    <row r="617" ht="27.75" customHeight="1">
      <c r="A617" s="56" t="s">
        <v>3505</v>
      </c>
      <c r="B617" s="57" t="s">
        <v>31</v>
      </c>
      <c r="C617" s="58" t="s">
        <v>3506</v>
      </c>
      <c r="D617" s="57" t="s">
        <v>1112</v>
      </c>
      <c r="E617" s="59" t="s">
        <v>2953</v>
      </c>
      <c r="F617" s="57" t="str">
        <f t="shared" si="46"/>
        <v>Habis</v>
      </c>
      <c r="G617" s="64">
        <v>0.0</v>
      </c>
      <c r="H617" s="60">
        <v>60151.0</v>
      </c>
      <c r="I617" s="60">
        <v>108272.0</v>
      </c>
      <c r="J617" s="60">
        <f t="shared" si="47"/>
        <v>48121</v>
      </c>
      <c r="K617" s="61">
        <f t="shared" si="48"/>
        <v>0.800003325</v>
      </c>
    </row>
    <row r="618" ht="27.75" customHeight="1">
      <c r="A618" s="56" t="s">
        <v>3507</v>
      </c>
      <c r="B618" s="57" t="s">
        <v>31</v>
      </c>
      <c r="C618" s="58" t="s">
        <v>3508</v>
      </c>
      <c r="D618" s="57" t="s">
        <v>1112</v>
      </c>
      <c r="E618" s="59" t="s">
        <v>2953</v>
      </c>
      <c r="F618" s="57" t="str">
        <f t="shared" si="46"/>
        <v>Habis</v>
      </c>
      <c r="G618" s="64">
        <v>0.0</v>
      </c>
      <c r="H618" s="60">
        <v>66343.0</v>
      </c>
      <c r="I618" s="60">
        <v>119417.0</v>
      </c>
      <c r="J618" s="60">
        <f t="shared" si="47"/>
        <v>53074</v>
      </c>
      <c r="K618" s="61">
        <f t="shared" si="48"/>
        <v>0.7999939707</v>
      </c>
    </row>
    <row r="619" ht="27.75" customHeight="1">
      <c r="A619" s="56" t="s">
        <v>3509</v>
      </c>
      <c r="B619" s="57" t="s">
        <v>31</v>
      </c>
      <c r="C619" s="58" t="s">
        <v>3510</v>
      </c>
      <c r="D619" s="57" t="s">
        <v>1112</v>
      </c>
      <c r="E619" s="59" t="s">
        <v>2953</v>
      </c>
      <c r="F619" s="57" t="str">
        <f t="shared" si="46"/>
        <v>Habis</v>
      </c>
      <c r="G619" s="64">
        <v>0.0</v>
      </c>
      <c r="H619" s="60">
        <v>50500.0</v>
      </c>
      <c r="I619" s="60">
        <v>90900.0</v>
      </c>
      <c r="J619" s="60">
        <f t="shared" si="47"/>
        <v>40400</v>
      </c>
      <c r="K619" s="61">
        <f t="shared" si="48"/>
        <v>0.8</v>
      </c>
    </row>
    <row r="620" ht="27.75" customHeight="1">
      <c r="A620" s="56" t="s">
        <v>3511</v>
      </c>
      <c r="B620" s="57" t="s">
        <v>31</v>
      </c>
      <c r="C620" s="58" t="s">
        <v>3512</v>
      </c>
      <c r="D620" s="57" t="s">
        <v>1112</v>
      </c>
      <c r="E620" s="59" t="s">
        <v>177</v>
      </c>
      <c r="F620" s="57" t="str">
        <f t="shared" si="46"/>
        <v>Menipis</v>
      </c>
      <c r="G620" s="64">
        <v>3.0</v>
      </c>
      <c r="H620" s="60">
        <v>15000.0</v>
      </c>
      <c r="I620" s="60">
        <v>25000.0</v>
      </c>
      <c r="J620" s="60">
        <f t="shared" si="47"/>
        <v>10000</v>
      </c>
      <c r="K620" s="61">
        <f t="shared" si="48"/>
        <v>0.6666666667</v>
      </c>
    </row>
    <row r="621" ht="27.75" customHeight="1">
      <c r="A621" s="56" t="s">
        <v>3513</v>
      </c>
      <c r="B621" s="57" t="s">
        <v>31</v>
      </c>
      <c r="C621" s="58" t="s">
        <v>3514</v>
      </c>
      <c r="D621" s="57" t="s">
        <v>1112</v>
      </c>
      <c r="E621" s="59" t="s">
        <v>177</v>
      </c>
      <c r="F621" s="57" t="str">
        <f t="shared" si="46"/>
        <v>Menipis</v>
      </c>
      <c r="G621" s="64">
        <v>2.0</v>
      </c>
      <c r="H621" s="60">
        <v>140000.0</v>
      </c>
      <c r="I621" s="60">
        <v>210000.0</v>
      </c>
      <c r="J621" s="60">
        <f t="shared" si="47"/>
        <v>70000</v>
      </c>
      <c r="K621" s="61">
        <f t="shared" si="48"/>
        <v>0.5</v>
      </c>
    </row>
    <row r="622" ht="27.75" customHeight="1">
      <c r="A622" s="56" t="s">
        <v>3515</v>
      </c>
      <c r="B622" s="57" t="s">
        <v>31</v>
      </c>
      <c r="C622" s="58" t="s">
        <v>3516</v>
      </c>
      <c r="D622" s="57" t="s">
        <v>1112</v>
      </c>
      <c r="E622" s="59" t="s">
        <v>177</v>
      </c>
      <c r="F622" s="57" t="str">
        <f t="shared" si="46"/>
        <v>Menipis</v>
      </c>
      <c r="G622" s="64">
        <v>1.0</v>
      </c>
      <c r="H622" s="60">
        <v>142000.0</v>
      </c>
      <c r="I622" s="60">
        <v>220000.0</v>
      </c>
      <c r="J622" s="60">
        <f t="shared" si="47"/>
        <v>78000</v>
      </c>
      <c r="K622" s="61">
        <f t="shared" si="48"/>
        <v>0.5492957746</v>
      </c>
    </row>
    <row r="623" ht="27.75" customHeight="1">
      <c r="A623" s="56" t="s">
        <v>3517</v>
      </c>
      <c r="B623" s="57" t="s">
        <v>31</v>
      </c>
      <c r="C623" s="58" t="s">
        <v>3518</v>
      </c>
      <c r="D623" s="57" t="s">
        <v>1112</v>
      </c>
      <c r="E623" s="59" t="s">
        <v>177</v>
      </c>
      <c r="F623" s="57" t="str">
        <f t="shared" si="46"/>
        <v>Menipis</v>
      </c>
      <c r="G623" s="64">
        <v>1.0</v>
      </c>
      <c r="H623" s="60">
        <v>108000.0</v>
      </c>
      <c r="I623" s="60">
        <v>150000.0</v>
      </c>
      <c r="J623" s="60">
        <f t="shared" si="47"/>
        <v>42000</v>
      </c>
      <c r="K623" s="61">
        <f t="shared" si="48"/>
        <v>0.3888888889</v>
      </c>
    </row>
    <row r="624" ht="27.75" customHeight="1">
      <c r="A624" s="56" t="s">
        <v>3519</v>
      </c>
      <c r="B624" s="57" t="s">
        <v>31</v>
      </c>
      <c r="C624" s="58" t="s">
        <v>3520</v>
      </c>
      <c r="D624" s="57" t="s">
        <v>1112</v>
      </c>
      <c r="E624" s="59" t="s">
        <v>177</v>
      </c>
      <c r="F624" s="57" t="str">
        <f t="shared" si="46"/>
        <v>Menipis</v>
      </c>
      <c r="G624" s="64">
        <v>2.0</v>
      </c>
      <c r="H624" s="60">
        <v>105000.0</v>
      </c>
      <c r="I624" s="60">
        <v>160000.0</v>
      </c>
      <c r="J624" s="60">
        <f t="shared" si="47"/>
        <v>55000</v>
      </c>
      <c r="K624" s="61">
        <f t="shared" si="48"/>
        <v>0.5238095238</v>
      </c>
    </row>
    <row r="625" ht="27.75" customHeight="1">
      <c r="A625" s="56" t="s">
        <v>3521</v>
      </c>
      <c r="B625" s="57" t="s">
        <v>31</v>
      </c>
      <c r="C625" s="58" t="s">
        <v>3522</v>
      </c>
      <c r="D625" s="57" t="s">
        <v>1112</v>
      </c>
      <c r="E625" s="59" t="s">
        <v>177</v>
      </c>
      <c r="F625" s="57" t="str">
        <f t="shared" si="46"/>
        <v>Menipis</v>
      </c>
      <c r="G625" s="64">
        <v>1.0</v>
      </c>
      <c r="H625" s="60">
        <v>111000.0</v>
      </c>
      <c r="I625" s="60">
        <v>160000.0</v>
      </c>
      <c r="J625" s="60">
        <f t="shared" si="47"/>
        <v>49000</v>
      </c>
      <c r="K625" s="61">
        <f t="shared" si="48"/>
        <v>0.4414414414</v>
      </c>
    </row>
    <row r="626" ht="27.75" customHeight="1">
      <c r="A626" s="56" t="s">
        <v>3523</v>
      </c>
      <c r="B626" s="57" t="s">
        <v>31</v>
      </c>
      <c r="C626" s="58" t="s">
        <v>3524</v>
      </c>
      <c r="D626" s="57" t="s">
        <v>1112</v>
      </c>
      <c r="E626" s="59" t="s">
        <v>177</v>
      </c>
      <c r="F626" s="57" t="str">
        <f t="shared" si="46"/>
        <v>Menipis</v>
      </c>
      <c r="G626" s="64">
        <v>2.0</v>
      </c>
      <c r="H626" s="60">
        <v>105000.0</v>
      </c>
      <c r="I626" s="60">
        <v>160000.0</v>
      </c>
      <c r="J626" s="60">
        <f t="shared" si="47"/>
        <v>55000</v>
      </c>
      <c r="K626" s="61">
        <f t="shared" si="48"/>
        <v>0.5238095238</v>
      </c>
    </row>
    <row r="627" ht="27.75" customHeight="1">
      <c r="A627" s="56" t="s">
        <v>3525</v>
      </c>
      <c r="B627" s="57" t="s">
        <v>31</v>
      </c>
      <c r="C627" s="58" t="s">
        <v>3526</v>
      </c>
      <c r="D627" s="57" t="s">
        <v>1112</v>
      </c>
      <c r="E627" s="59" t="s">
        <v>177</v>
      </c>
      <c r="F627" s="57" t="str">
        <f t="shared" si="46"/>
        <v>Menipis</v>
      </c>
      <c r="G627" s="64">
        <v>3.0</v>
      </c>
      <c r="H627" s="60">
        <v>78000.0</v>
      </c>
      <c r="I627" s="60">
        <v>100000.0</v>
      </c>
      <c r="J627" s="60">
        <f t="shared" si="47"/>
        <v>22000</v>
      </c>
      <c r="K627" s="61">
        <f t="shared" si="48"/>
        <v>0.2820512821</v>
      </c>
    </row>
    <row r="628" ht="27.75" customHeight="1">
      <c r="A628" s="56" t="s">
        <v>3527</v>
      </c>
      <c r="B628" s="57" t="s">
        <v>31</v>
      </c>
      <c r="C628" s="58" t="s">
        <v>3528</v>
      </c>
      <c r="D628" s="57" t="s">
        <v>1112</v>
      </c>
      <c r="E628" s="59" t="s">
        <v>177</v>
      </c>
      <c r="F628" s="57" t="str">
        <f t="shared" si="46"/>
        <v>Menipis</v>
      </c>
      <c r="G628" s="64">
        <v>1.0</v>
      </c>
      <c r="H628" s="60">
        <v>96005.0</v>
      </c>
      <c r="I628" s="60">
        <v>160000.0</v>
      </c>
      <c r="J628" s="60">
        <f t="shared" si="47"/>
        <v>63995</v>
      </c>
      <c r="K628" s="61">
        <f t="shared" si="48"/>
        <v>0.6665798656</v>
      </c>
    </row>
    <row r="629" ht="27.75" customHeight="1">
      <c r="A629" s="56" t="s">
        <v>3529</v>
      </c>
      <c r="B629" s="57" t="s">
        <v>31</v>
      </c>
      <c r="C629" s="58" t="s">
        <v>3530</v>
      </c>
      <c r="D629" s="57" t="s">
        <v>1112</v>
      </c>
      <c r="E629" s="59" t="s">
        <v>177</v>
      </c>
      <c r="F629" s="57" t="str">
        <f t="shared" si="46"/>
        <v>Menipis</v>
      </c>
      <c r="G629" s="64">
        <v>2.0</v>
      </c>
      <c r="H629" s="60">
        <v>114000.0</v>
      </c>
      <c r="I629" s="60">
        <v>210000.0</v>
      </c>
      <c r="J629" s="60">
        <f t="shared" si="47"/>
        <v>96000</v>
      </c>
      <c r="K629" s="61">
        <f t="shared" si="48"/>
        <v>0.8421052632</v>
      </c>
    </row>
    <row r="630" ht="27.75" customHeight="1">
      <c r="A630" s="56" t="s">
        <v>3531</v>
      </c>
      <c r="B630" s="57" t="s">
        <v>31</v>
      </c>
      <c r="C630" s="58" t="s">
        <v>3532</v>
      </c>
      <c r="D630" s="57" t="s">
        <v>1112</v>
      </c>
      <c r="E630" s="59" t="s">
        <v>177</v>
      </c>
      <c r="F630" s="57" t="str">
        <f t="shared" si="46"/>
        <v>Habis</v>
      </c>
      <c r="G630" s="64">
        <v>0.0</v>
      </c>
      <c r="H630" s="60">
        <v>142000.0</v>
      </c>
      <c r="I630" s="60">
        <v>210000.0</v>
      </c>
      <c r="J630" s="60">
        <f t="shared" si="47"/>
        <v>68000</v>
      </c>
      <c r="K630" s="61">
        <f t="shared" si="48"/>
        <v>0.4788732394</v>
      </c>
    </row>
    <row r="631" ht="27.75" customHeight="1">
      <c r="A631" s="56" t="s">
        <v>3533</v>
      </c>
      <c r="B631" s="57" t="s">
        <v>31</v>
      </c>
      <c r="C631" s="58" t="s">
        <v>3534</v>
      </c>
      <c r="D631" s="57" t="s">
        <v>1112</v>
      </c>
      <c r="E631" s="59" t="s">
        <v>177</v>
      </c>
      <c r="F631" s="57" t="str">
        <f t="shared" si="46"/>
        <v>Menipis</v>
      </c>
      <c r="G631" s="64">
        <v>1.0</v>
      </c>
      <c r="H631" s="60">
        <v>142000.0</v>
      </c>
      <c r="I631" s="60">
        <v>220000.0</v>
      </c>
      <c r="J631" s="60">
        <f t="shared" si="47"/>
        <v>78000</v>
      </c>
      <c r="K631" s="61">
        <f t="shared" si="48"/>
        <v>0.5492957746</v>
      </c>
    </row>
    <row r="632" ht="27.75" customHeight="1">
      <c r="A632" s="56" t="s">
        <v>3535</v>
      </c>
      <c r="B632" s="57" t="s">
        <v>31</v>
      </c>
      <c r="C632" s="58" t="s">
        <v>3536</v>
      </c>
      <c r="D632" s="57" t="s">
        <v>1112</v>
      </c>
      <c r="E632" s="59" t="s">
        <v>177</v>
      </c>
      <c r="F632" s="57" t="str">
        <f t="shared" si="46"/>
        <v>Menipis</v>
      </c>
      <c r="G632" s="64">
        <v>2.0</v>
      </c>
      <c r="H632" s="60">
        <v>111000.0</v>
      </c>
      <c r="I632" s="60">
        <v>160000.0</v>
      </c>
      <c r="J632" s="60">
        <f t="shared" si="47"/>
        <v>49000</v>
      </c>
      <c r="K632" s="61">
        <f t="shared" si="48"/>
        <v>0.4414414414</v>
      </c>
    </row>
    <row r="633" ht="27.75" customHeight="1">
      <c r="A633" s="56" t="s">
        <v>3537</v>
      </c>
      <c r="B633" s="57" t="s">
        <v>31</v>
      </c>
      <c r="C633" s="58" t="s">
        <v>3538</v>
      </c>
      <c r="D633" s="57" t="s">
        <v>1112</v>
      </c>
      <c r="E633" s="59" t="s">
        <v>177</v>
      </c>
      <c r="F633" s="57" t="str">
        <f t="shared" si="46"/>
        <v>Menipis</v>
      </c>
      <c r="G633" s="64">
        <v>1.0</v>
      </c>
      <c r="H633" s="60">
        <v>105000.0</v>
      </c>
      <c r="I633" s="60">
        <v>160000.0</v>
      </c>
      <c r="J633" s="60">
        <f t="shared" si="47"/>
        <v>55000</v>
      </c>
      <c r="K633" s="61">
        <f t="shared" si="48"/>
        <v>0.5238095238</v>
      </c>
    </row>
    <row r="634" ht="27.75" customHeight="1">
      <c r="A634" s="56" t="s">
        <v>3539</v>
      </c>
      <c r="B634" s="57" t="s">
        <v>31</v>
      </c>
      <c r="C634" s="58" t="s">
        <v>3540</v>
      </c>
      <c r="D634" s="57" t="s">
        <v>1112</v>
      </c>
      <c r="E634" s="59" t="s">
        <v>177</v>
      </c>
      <c r="F634" s="57" t="str">
        <f t="shared" si="46"/>
        <v>Menipis</v>
      </c>
      <c r="G634" s="64">
        <v>1.0</v>
      </c>
      <c r="H634" s="60">
        <v>92000.0</v>
      </c>
      <c r="I634" s="60">
        <v>135000.0</v>
      </c>
      <c r="J634" s="60">
        <f t="shared" si="47"/>
        <v>43000</v>
      </c>
      <c r="K634" s="61">
        <f t="shared" si="48"/>
        <v>0.4673913043</v>
      </c>
    </row>
    <row r="635" ht="27.75" customHeight="1">
      <c r="A635" s="56" t="s">
        <v>3541</v>
      </c>
      <c r="B635" s="57" t="s">
        <v>31</v>
      </c>
      <c r="C635" s="58" t="s">
        <v>3542</v>
      </c>
      <c r="D635" s="57" t="s">
        <v>1112</v>
      </c>
      <c r="E635" s="59" t="s">
        <v>177</v>
      </c>
      <c r="F635" s="57" t="str">
        <f t="shared" si="46"/>
        <v>Menipis</v>
      </c>
      <c r="G635" s="64">
        <v>1.0</v>
      </c>
      <c r="H635" s="60">
        <v>145000.0</v>
      </c>
      <c r="I635" s="60">
        <v>200000.0</v>
      </c>
      <c r="J635" s="60">
        <f t="shared" si="47"/>
        <v>55000</v>
      </c>
      <c r="K635" s="61">
        <f t="shared" si="48"/>
        <v>0.3793103448</v>
      </c>
    </row>
    <row r="636" ht="27.75" customHeight="1">
      <c r="A636" s="56" t="s">
        <v>3543</v>
      </c>
      <c r="B636" s="57" t="s">
        <v>31</v>
      </c>
      <c r="C636" s="58" t="s">
        <v>3544</v>
      </c>
      <c r="D636" s="57" t="s">
        <v>1112</v>
      </c>
      <c r="E636" s="59" t="s">
        <v>177</v>
      </c>
      <c r="F636" s="57" t="str">
        <f t="shared" si="46"/>
        <v>Habis</v>
      </c>
      <c r="G636" s="64">
        <v>0.0</v>
      </c>
      <c r="H636" s="60">
        <v>85404.0</v>
      </c>
      <c r="I636" s="60">
        <v>150000.0</v>
      </c>
      <c r="J636" s="60">
        <f t="shared" si="47"/>
        <v>64596</v>
      </c>
      <c r="K636" s="61">
        <f t="shared" si="48"/>
        <v>0.756358016</v>
      </c>
    </row>
    <row r="637" ht="27.75" customHeight="1">
      <c r="A637" s="56" t="s">
        <v>3545</v>
      </c>
      <c r="B637" s="57" t="s">
        <v>31</v>
      </c>
      <c r="C637" s="58" t="s">
        <v>3546</v>
      </c>
      <c r="D637" s="57" t="s">
        <v>1112</v>
      </c>
      <c r="E637" s="59" t="s">
        <v>177</v>
      </c>
      <c r="F637" s="57" t="str">
        <f t="shared" si="46"/>
        <v>Habis</v>
      </c>
      <c r="G637" s="64">
        <v>0.0</v>
      </c>
      <c r="H637" s="60">
        <v>85404.0</v>
      </c>
      <c r="I637" s="60">
        <v>150000.0</v>
      </c>
      <c r="J637" s="60">
        <f t="shared" si="47"/>
        <v>64596</v>
      </c>
      <c r="K637" s="61">
        <f t="shared" si="48"/>
        <v>0.756358016</v>
      </c>
    </row>
    <row r="638" ht="27.75" customHeight="1">
      <c r="A638" s="56" t="s">
        <v>3547</v>
      </c>
      <c r="B638" s="57" t="s">
        <v>31</v>
      </c>
      <c r="C638" s="58" t="s">
        <v>3548</v>
      </c>
      <c r="D638" s="57" t="s">
        <v>1112</v>
      </c>
      <c r="E638" s="59" t="s">
        <v>177</v>
      </c>
      <c r="F638" s="57" t="str">
        <f t="shared" si="46"/>
        <v>Habis</v>
      </c>
      <c r="G638" s="64">
        <v>0.0</v>
      </c>
      <c r="H638" s="60">
        <v>82600.0</v>
      </c>
      <c r="I638" s="60">
        <v>115640.0</v>
      </c>
      <c r="J638" s="60">
        <f t="shared" si="47"/>
        <v>33040</v>
      </c>
      <c r="K638" s="61">
        <f t="shared" si="48"/>
        <v>0.4</v>
      </c>
    </row>
    <row r="639" ht="27.75" customHeight="1">
      <c r="A639" s="56" t="s">
        <v>3549</v>
      </c>
      <c r="B639" s="57" t="s">
        <v>31</v>
      </c>
      <c r="C639" s="58" t="s">
        <v>3550</v>
      </c>
      <c r="D639" s="57" t="s">
        <v>1112</v>
      </c>
      <c r="E639" s="59" t="s">
        <v>177</v>
      </c>
      <c r="F639" s="57" t="str">
        <f t="shared" si="46"/>
        <v>Habis</v>
      </c>
      <c r="G639" s="64">
        <v>0.0</v>
      </c>
      <c r="H639" s="60">
        <v>12256.0</v>
      </c>
      <c r="I639" s="60">
        <v>17158.0</v>
      </c>
      <c r="J639" s="60">
        <f t="shared" si="47"/>
        <v>4902</v>
      </c>
      <c r="K639" s="61">
        <f t="shared" si="48"/>
        <v>0.3999673629</v>
      </c>
    </row>
    <row r="640" ht="27.75" customHeight="1">
      <c r="A640" s="56" t="s">
        <v>3551</v>
      </c>
      <c r="B640" s="57" t="s">
        <v>31</v>
      </c>
      <c r="C640" s="58" t="s">
        <v>3552</v>
      </c>
      <c r="D640" s="57" t="s">
        <v>1112</v>
      </c>
      <c r="E640" s="59" t="s">
        <v>177</v>
      </c>
      <c r="F640" s="57" t="str">
        <f t="shared" si="46"/>
        <v>Habis</v>
      </c>
      <c r="G640" s="64">
        <v>0.0</v>
      </c>
      <c r="H640" s="60">
        <v>144000.0</v>
      </c>
      <c r="I640" s="60">
        <v>201600.0</v>
      </c>
      <c r="J640" s="60">
        <f t="shared" si="47"/>
        <v>57600</v>
      </c>
      <c r="K640" s="61">
        <f t="shared" si="48"/>
        <v>0.4</v>
      </c>
    </row>
    <row r="641" ht="27.75" customHeight="1">
      <c r="A641" s="56" t="s">
        <v>3553</v>
      </c>
      <c r="B641" s="57" t="s">
        <v>31</v>
      </c>
      <c r="C641" s="58" t="s">
        <v>3554</v>
      </c>
      <c r="D641" s="57" t="s">
        <v>1112</v>
      </c>
      <c r="E641" s="59" t="s">
        <v>177</v>
      </c>
      <c r="F641" s="57" t="str">
        <f t="shared" si="46"/>
        <v>Habis</v>
      </c>
      <c r="G641" s="64">
        <v>0.0</v>
      </c>
      <c r="H641" s="60">
        <v>105731.0</v>
      </c>
      <c r="I641" s="60">
        <v>148023.0</v>
      </c>
      <c r="J641" s="60">
        <f t="shared" si="47"/>
        <v>42292</v>
      </c>
      <c r="K641" s="61">
        <f t="shared" si="48"/>
        <v>0.3999962168</v>
      </c>
    </row>
    <row r="642" ht="27.75" customHeight="1">
      <c r="A642" s="56" t="s">
        <v>3555</v>
      </c>
      <c r="B642" s="57" t="s">
        <v>31</v>
      </c>
      <c r="C642" s="58" t="s">
        <v>3556</v>
      </c>
      <c r="D642" s="57" t="s">
        <v>1112</v>
      </c>
      <c r="E642" s="59" t="s">
        <v>177</v>
      </c>
      <c r="F642" s="57" t="str">
        <f t="shared" si="46"/>
        <v>Habis</v>
      </c>
      <c r="G642" s="64">
        <v>0.0</v>
      </c>
      <c r="H642" s="60">
        <v>105731.0</v>
      </c>
      <c r="I642" s="60">
        <v>148023.0</v>
      </c>
      <c r="J642" s="60">
        <f t="shared" si="47"/>
        <v>42292</v>
      </c>
      <c r="K642" s="61">
        <f t="shared" si="48"/>
        <v>0.3999962168</v>
      </c>
    </row>
    <row r="643" ht="27.75" customHeight="1">
      <c r="A643" s="56" t="s">
        <v>3557</v>
      </c>
      <c r="B643" s="57" t="s">
        <v>31</v>
      </c>
      <c r="C643" s="58" t="s">
        <v>3558</v>
      </c>
      <c r="D643" s="57" t="s">
        <v>1112</v>
      </c>
      <c r="E643" s="59" t="s">
        <v>177</v>
      </c>
      <c r="F643" s="57" t="str">
        <f t="shared" si="46"/>
        <v>Habis</v>
      </c>
      <c r="G643" s="64">
        <v>0.0</v>
      </c>
      <c r="H643" s="60">
        <v>103616.0</v>
      </c>
      <c r="I643" s="60">
        <v>145062.0</v>
      </c>
      <c r="J643" s="60">
        <f t="shared" si="47"/>
        <v>41446</v>
      </c>
      <c r="K643" s="61">
        <f t="shared" si="48"/>
        <v>0.3999961396</v>
      </c>
    </row>
    <row r="644" ht="27.75" customHeight="1">
      <c r="A644" s="56" t="s">
        <v>3559</v>
      </c>
      <c r="B644" s="57" t="s">
        <v>31</v>
      </c>
      <c r="C644" s="58" t="s">
        <v>3560</v>
      </c>
      <c r="D644" s="57" t="s">
        <v>1112</v>
      </c>
      <c r="E644" s="59" t="s">
        <v>177</v>
      </c>
      <c r="F644" s="57" t="str">
        <f t="shared" si="46"/>
        <v>Habis</v>
      </c>
      <c r="G644" s="64">
        <v>0.0</v>
      </c>
      <c r="H644" s="60">
        <v>103616.0</v>
      </c>
      <c r="I644" s="60">
        <v>145062.0</v>
      </c>
      <c r="J644" s="60">
        <f t="shared" si="47"/>
        <v>41446</v>
      </c>
      <c r="K644" s="61">
        <f t="shared" si="48"/>
        <v>0.3999961396</v>
      </c>
    </row>
    <row r="645" ht="27.75" customHeight="1">
      <c r="A645" s="56" t="s">
        <v>3561</v>
      </c>
      <c r="B645" s="57" t="s">
        <v>31</v>
      </c>
      <c r="C645" s="58" t="s">
        <v>3562</v>
      </c>
      <c r="D645" s="57" t="s">
        <v>1112</v>
      </c>
      <c r="E645" s="59" t="s">
        <v>177</v>
      </c>
      <c r="F645" s="57" t="str">
        <f t="shared" si="46"/>
        <v>Habis</v>
      </c>
      <c r="G645" s="64">
        <v>0.0</v>
      </c>
      <c r="H645" s="60">
        <v>142000.0</v>
      </c>
      <c r="I645" s="60">
        <v>198800.0</v>
      </c>
      <c r="J645" s="60">
        <f t="shared" si="47"/>
        <v>56800</v>
      </c>
      <c r="K645" s="61">
        <f t="shared" si="48"/>
        <v>0.4</v>
      </c>
    </row>
    <row r="646" ht="27.75" customHeight="1">
      <c r="A646" s="56" t="s">
        <v>3563</v>
      </c>
      <c r="B646" s="57" t="s">
        <v>31</v>
      </c>
      <c r="C646" s="58" t="s">
        <v>3564</v>
      </c>
      <c r="D646" s="57" t="s">
        <v>1112</v>
      </c>
      <c r="E646" s="59" t="s">
        <v>177</v>
      </c>
      <c r="F646" s="57" t="str">
        <f t="shared" si="46"/>
        <v>Habis</v>
      </c>
      <c r="G646" s="64">
        <v>0.0</v>
      </c>
      <c r="H646" s="60">
        <v>142000.0</v>
      </c>
      <c r="I646" s="60">
        <v>198800.0</v>
      </c>
      <c r="J646" s="60">
        <f t="shared" si="47"/>
        <v>56800</v>
      </c>
      <c r="K646" s="61">
        <f t="shared" si="48"/>
        <v>0.4</v>
      </c>
    </row>
    <row r="647" ht="27.75" customHeight="1">
      <c r="A647" s="56" t="s">
        <v>3565</v>
      </c>
      <c r="B647" s="57" t="s">
        <v>31</v>
      </c>
      <c r="C647" s="58" t="s">
        <v>3566</v>
      </c>
      <c r="D647" s="57" t="s">
        <v>1112</v>
      </c>
      <c r="E647" s="59" t="s">
        <v>177</v>
      </c>
      <c r="F647" s="57" t="str">
        <f t="shared" si="46"/>
        <v>Habis</v>
      </c>
      <c r="G647" s="64">
        <v>0.0</v>
      </c>
      <c r="H647" s="60">
        <v>96031.0</v>
      </c>
      <c r="I647" s="60">
        <v>134443.0</v>
      </c>
      <c r="J647" s="60">
        <f t="shared" si="47"/>
        <v>38412</v>
      </c>
      <c r="K647" s="61">
        <f t="shared" si="48"/>
        <v>0.3999958347</v>
      </c>
    </row>
    <row r="648" ht="27.75" customHeight="1">
      <c r="A648" s="56" t="s">
        <v>3567</v>
      </c>
      <c r="B648" s="57" t="s">
        <v>31</v>
      </c>
      <c r="C648" s="58" t="s">
        <v>3568</v>
      </c>
      <c r="D648" s="57" t="s">
        <v>1112</v>
      </c>
      <c r="E648" s="59" t="s">
        <v>177</v>
      </c>
      <c r="F648" s="57" t="str">
        <f t="shared" si="46"/>
        <v>Habis</v>
      </c>
      <c r="G648" s="64">
        <v>0.0</v>
      </c>
      <c r="H648" s="60">
        <v>79519.0</v>
      </c>
      <c r="I648" s="60">
        <v>111327.0</v>
      </c>
      <c r="J648" s="60">
        <f t="shared" si="47"/>
        <v>31808</v>
      </c>
      <c r="K648" s="61">
        <f t="shared" si="48"/>
        <v>0.4000050302</v>
      </c>
    </row>
    <row r="649" ht="27.75" customHeight="1">
      <c r="A649" s="56" t="s">
        <v>3569</v>
      </c>
      <c r="B649" s="57" t="s">
        <v>31</v>
      </c>
      <c r="C649" s="58" t="s">
        <v>3570</v>
      </c>
      <c r="D649" s="57" t="s">
        <v>1112</v>
      </c>
      <c r="E649" s="59" t="s">
        <v>177</v>
      </c>
      <c r="F649" s="57" t="str">
        <f t="shared" si="46"/>
        <v>Habis</v>
      </c>
      <c r="G649" s="64">
        <v>0.0</v>
      </c>
      <c r="H649" s="60">
        <v>111000.0</v>
      </c>
      <c r="I649" s="60">
        <v>160000.0</v>
      </c>
      <c r="J649" s="60">
        <f t="shared" si="47"/>
        <v>49000</v>
      </c>
      <c r="K649" s="61">
        <f t="shared" si="48"/>
        <v>0.4414414414</v>
      </c>
    </row>
    <row r="650" ht="27.75" customHeight="1">
      <c r="A650" s="56" t="s">
        <v>3571</v>
      </c>
      <c r="B650" s="57" t="s">
        <v>31</v>
      </c>
      <c r="C650" s="58" t="s">
        <v>3572</v>
      </c>
      <c r="D650" s="57" t="s">
        <v>1112</v>
      </c>
      <c r="E650" s="59" t="s">
        <v>177</v>
      </c>
      <c r="F650" s="57" t="str">
        <f t="shared" si="46"/>
        <v>Habis</v>
      </c>
      <c r="G650" s="64">
        <v>0.0</v>
      </c>
      <c r="H650" s="60">
        <v>102000.0</v>
      </c>
      <c r="I650" s="60">
        <v>142800.0</v>
      </c>
      <c r="J650" s="60">
        <f t="shared" si="47"/>
        <v>40800</v>
      </c>
      <c r="K650" s="61">
        <f t="shared" si="48"/>
        <v>0.4</v>
      </c>
    </row>
    <row r="651" ht="27.75" customHeight="1">
      <c r="A651" s="56" t="s">
        <v>3573</v>
      </c>
      <c r="B651" s="57" t="s">
        <v>31</v>
      </c>
      <c r="C651" s="58" t="s">
        <v>3574</v>
      </c>
      <c r="D651" s="57" t="s">
        <v>1112</v>
      </c>
      <c r="E651" s="59" t="s">
        <v>177</v>
      </c>
      <c r="F651" s="57" t="str">
        <f t="shared" si="46"/>
        <v>Habis</v>
      </c>
      <c r="G651" s="64">
        <v>0.0</v>
      </c>
      <c r="H651" s="60">
        <v>107816.0</v>
      </c>
      <c r="I651" s="60">
        <v>150942.0</v>
      </c>
      <c r="J651" s="60">
        <f t="shared" si="47"/>
        <v>43126</v>
      </c>
      <c r="K651" s="61">
        <f t="shared" si="48"/>
        <v>0.39999629</v>
      </c>
    </row>
    <row r="652" ht="27.75" customHeight="1">
      <c r="A652" s="56" t="s">
        <v>3575</v>
      </c>
      <c r="B652" s="57" t="s">
        <v>31</v>
      </c>
      <c r="C652" s="58" t="s">
        <v>3576</v>
      </c>
      <c r="D652" s="57" t="s">
        <v>1112</v>
      </c>
      <c r="E652" s="59" t="s">
        <v>177</v>
      </c>
      <c r="F652" s="57" t="str">
        <f t="shared" si="46"/>
        <v>Habis</v>
      </c>
      <c r="G652" s="64">
        <v>0.0</v>
      </c>
      <c r="H652" s="60">
        <v>109732.0</v>
      </c>
      <c r="I652" s="60">
        <v>153625.0</v>
      </c>
      <c r="J652" s="60">
        <f t="shared" si="47"/>
        <v>43893</v>
      </c>
      <c r="K652" s="61">
        <f t="shared" si="48"/>
        <v>0.4000018226</v>
      </c>
    </row>
    <row r="653" ht="27.75" customHeight="1">
      <c r="A653" s="56" t="s">
        <v>3577</v>
      </c>
      <c r="B653" s="57" t="s">
        <v>31</v>
      </c>
      <c r="C653" s="58" t="s">
        <v>3578</v>
      </c>
      <c r="D653" s="57" t="s">
        <v>1112</v>
      </c>
      <c r="E653" s="59" t="s">
        <v>177</v>
      </c>
      <c r="F653" s="57" t="str">
        <f t="shared" si="46"/>
        <v>Habis</v>
      </c>
      <c r="G653" s="64">
        <v>0.0</v>
      </c>
      <c r="H653" s="60">
        <v>107695.0</v>
      </c>
      <c r="I653" s="60">
        <v>150773.0</v>
      </c>
      <c r="J653" s="60">
        <f t="shared" si="47"/>
        <v>43078</v>
      </c>
      <c r="K653" s="61">
        <f t="shared" si="48"/>
        <v>0.4</v>
      </c>
    </row>
    <row r="654" ht="27.75" customHeight="1">
      <c r="A654" s="56" t="s">
        <v>3579</v>
      </c>
      <c r="B654" s="57" t="s">
        <v>31</v>
      </c>
      <c r="C654" s="58" t="s">
        <v>3580</v>
      </c>
      <c r="D654" s="57" t="s">
        <v>1112</v>
      </c>
      <c r="E654" s="59" t="s">
        <v>177</v>
      </c>
      <c r="F654" s="57" t="str">
        <f t="shared" si="46"/>
        <v>Habis</v>
      </c>
      <c r="G654" s="64">
        <v>0.0</v>
      </c>
      <c r="H654" s="60">
        <v>117529.0</v>
      </c>
      <c r="I654" s="60">
        <v>164541.0</v>
      </c>
      <c r="J654" s="60">
        <f t="shared" si="47"/>
        <v>47012</v>
      </c>
      <c r="K654" s="61">
        <f t="shared" si="48"/>
        <v>0.4000034034</v>
      </c>
    </row>
    <row r="655" ht="27.75" customHeight="1">
      <c r="A655" s="56" t="s">
        <v>3581</v>
      </c>
      <c r="B655" s="57" t="s">
        <v>31</v>
      </c>
      <c r="C655" s="58" t="s">
        <v>3582</v>
      </c>
      <c r="D655" s="57" t="s">
        <v>1112</v>
      </c>
      <c r="E655" s="59" t="s">
        <v>177</v>
      </c>
      <c r="F655" s="57" t="str">
        <f t="shared" si="46"/>
        <v>Habis</v>
      </c>
      <c r="G655" s="64">
        <v>0.0</v>
      </c>
      <c r="H655" s="60">
        <v>117020.0</v>
      </c>
      <c r="I655" s="60">
        <v>163828.0</v>
      </c>
      <c r="J655" s="60">
        <f t="shared" si="47"/>
        <v>46808</v>
      </c>
      <c r="K655" s="61">
        <f t="shared" si="48"/>
        <v>0.4</v>
      </c>
    </row>
    <row r="656" ht="27.75" customHeight="1">
      <c r="A656" s="56" t="s">
        <v>3583</v>
      </c>
      <c r="B656" s="57" t="s">
        <v>31</v>
      </c>
      <c r="C656" s="58" t="s">
        <v>3584</v>
      </c>
      <c r="D656" s="57" t="s">
        <v>1112</v>
      </c>
      <c r="E656" s="59" t="s">
        <v>177</v>
      </c>
      <c r="F656" s="57" t="str">
        <f t="shared" si="46"/>
        <v>Habis</v>
      </c>
      <c r="G656" s="64">
        <v>0.0</v>
      </c>
      <c r="H656" s="60">
        <v>117397.0</v>
      </c>
      <c r="I656" s="60">
        <v>164356.0</v>
      </c>
      <c r="J656" s="60">
        <f t="shared" si="47"/>
        <v>46959</v>
      </c>
      <c r="K656" s="61">
        <f t="shared" si="48"/>
        <v>0.4000017036</v>
      </c>
    </row>
    <row r="657" ht="27.75" customHeight="1">
      <c r="A657" s="56" t="s">
        <v>3585</v>
      </c>
      <c r="B657" s="57" t="s">
        <v>31</v>
      </c>
      <c r="C657" s="58" t="s">
        <v>3586</v>
      </c>
      <c r="D657" s="57" t="s">
        <v>1112</v>
      </c>
      <c r="E657" s="59" t="s">
        <v>177</v>
      </c>
      <c r="F657" s="57" t="str">
        <f t="shared" si="46"/>
        <v>Habis</v>
      </c>
      <c r="G657" s="64">
        <v>0.0</v>
      </c>
      <c r="H657" s="60">
        <v>97847.0</v>
      </c>
      <c r="I657" s="60">
        <v>136986.0</v>
      </c>
      <c r="J657" s="60">
        <f t="shared" si="47"/>
        <v>39139</v>
      </c>
      <c r="K657" s="61">
        <f t="shared" si="48"/>
        <v>0.400002044</v>
      </c>
    </row>
    <row r="658" ht="27.75" customHeight="1">
      <c r="A658" s="56" t="s">
        <v>3587</v>
      </c>
      <c r="B658" s="57" t="s">
        <v>31</v>
      </c>
      <c r="C658" s="58" t="s">
        <v>3588</v>
      </c>
      <c r="D658" s="57" t="s">
        <v>1112</v>
      </c>
      <c r="E658" s="59" t="s">
        <v>177</v>
      </c>
      <c r="F658" s="57" t="str">
        <f t="shared" si="46"/>
        <v>Habis</v>
      </c>
      <c r="G658" s="64">
        <v>0.0</v>
      </c>
      <c r="H658" s="60">
        <v>103845.0</v>
      </c>
      <c r="I658" s="60">
        <v>145383.0</v>
      </c>
      <c r="J658" s="60">
        <f t="shared" si="47"/>
        <v>41538</v>
      </c>
      <c r="K658" s="61">
        <f t="shared" si="48"/>
        <v>0.4</v>
      </c>
    </row>
    <row r="659" ht="27.75" customHeight="1">
      <c r="A659" s="56" t="s">
        <v>3589</v>
      </c>
      <c r="B659" s="57" t="s">
        <v>31</v>
      </c>
      <c r="C659" s="58" t="s">
        <v>3590</v>
      </c>
      <c r="D659" s="57" t="s">
        <v>1112</v>
      </c>
      <c r="E659" s="59" t="s">
        <v>177</v>
      </c>
      <c r="F659" s="57" t="str">
        <f t="shared" si="46"/>
        <v>Habis</v>
      </c>
      <c r="G659" s="64">
        <v>0.0</v>
      </c>
      <c r="H659" s="60">
        <v>105214.0</v>
      </c>
      <c r="I659" s="60">
        <v>147300.0</v>
      </c>
      <c r="J659" s="60">
        <f t="shared" si="47"/>
        <v>42086</v>
      </c>
      <c r="K659" s="61">
        <f t="shared" si="48"/>
        <v>0.4000038018</v>
      </c>
    </row>
    <row r="660" ht="27.75" customHeight="1">
      <c r="A660" s="56" t="s">
        <v>3591</v>
      </c>
      <c r="B660" s="57" t="s">
        <v>31</v>
      </c>
      <c r="C660" s="58" t="s">
        <v>3592</v>
      </c>
      <c r="D660" s="57" t="s">
        <v>1112</v>
      </c>
      <c r="E660" s="59" t="s">
        <v>177</v>
      </c>
      <c r="F660" s="57" t="str">
        <f t="shared" si="46"/>
        <v>Habis</v>
      </c>
      <c r="G660" s="64">
        <v>0.0</v>
      </c>
      <c r="H660" s="60">
        <v>97851.0</v>
      </c>
      <c r="I660" s="60">
        <v>136991.0</v>
      </c>
      <c r="J660" s="60">
        <f t="shared" si="47"/>
        <v>39140</v>
      </c>
      <c r="K660" s="61">
        <f t="shared" si="48"/>
        <v>0.3999959122</v>
      </c>
    </row>
    <row r="661" ht="27.75" customHeight="1">
      <c r="A661" s="56" t="s">
        <v>3593</v>
      </c>
      <c r="B661" s="57" t="s">
        <v>31</v>
      </c>
      <c r="C661" s="58" t="s">
        <v>3594</v>
      </c>
      <c r="D661" s="57" t="s">
        <v>1112</v>
      </c>
      <c r="E661" s="59" t="s">
        <v>177</v>
      </c>
      <c r="F661" s="57" t="str">
        <f t="shared" si="46"/>
        <v>Habis</v>
      </c>
      <c r="G661" s="64">
        <v>0.0</v>
      </c>
      <c r="H661" s="60">
        <v>136532.0</v>
      </c>
      <c r="I661" s="60">
        <v>191145.0</v>
      </c>
      <c r="J661" s="60">
        <f t="shared" si="47"/>
        <v>54613</v>
      </c>
      <c r="K661" s="61">
        <f t="shared" si="48"/>
        <v>0.4000014649</v>
      </c>
    </row>
    <row r="662" ht="27.75" customHeight="1">
      <c r="A662" s="56" t="s">
        <v>3595</v>
      </c>
      <c r="B662" s="57" t="s">
        <v>31</v>
      </c>
      <c r="C662" s="58" t="s">
        <v>3596</v>
      </c>
      <c r="D662" s="57" t="s">
        <v>1112</v>
      </c>
      <c r="E662" s="59" t="s">
        <v>177</v>
      </c>
      <c r="F662" s="57" t="str">
        <f t="shared" si="46"/>
        <v>Habis</v>
      </c>
      <c r="G662" s="64">
        <v>0.0</v>
      </c>
      <c r="H662" s="60">
        <v>136532.0</v>
      </c>
      <c r="I662" s="60">
        <v>191145.0</v>
      </c>
      <c r="J662" s="60">
        <f t="shared" si="47"/>
        <v>54613</v>
      </c>
      <c r="K662" s="61">
        <f t="shared" si="48"/>
        <v>0.4000014649</v>
      </c>
    </row>
    <row r="663" ht="27.75" customHeight="1">
      <c r="A663" s="56" t="s">
        <v>3597</v>
      </c>
      <c r="B663" s="57" t="s">
        <v>31</v>
      </c>
      <c r="C663" s="58" t="s">
        <v>3598</v>
      </c>
      <c r="D663" s="57" t="s">
        <v>1112</v>
      </c>
      <c r="E663" s="59" t="s">
        <v>177</v>
      </c>
      <c r="F663" s="57" t="str">
        <f t="shared" si="46"/>
        <v>Habis</v>
      </c>
      <c r="G663" s="64">
        <v>0.0</v>
      </c>
      <c r="H663" s="60">
        <v>108047.0</v>
      </c>
      <c r="I663" s="60">
        <v>151266.0</v>
      </c>
      <c r="J663" s="60">
        <f t="shared" si="47"/>
        <v>43219</v>
      </c>
      <c r="K663" s="61">
        <f t="shared" si="48"/>
        <v>0.400001851</v>
      </c>
    </row>
    <row r="664" ht="27.75" customHeight="1">
      <c r="A664" s="56" t="s">
        <v>3599</v>
      </c>
      <c r="B664" s="57" t="s">
        <v>31</v>
      </c>
      <c r="C664" s="58" t="s">
        <v>3600</v>
      </c>
      <c r="D664" s="57" t="s">
        <v>1112</v>
      </c>
      <c r="E664" s="59" t="s">
        <v>177</v>
      </c>
      <c r="F664" s="57" t="str">
        <f t="shared" si="46"/>
        <v>Habis</v>
      </c>
      <c r="G664" s="64">
        <v>0.0</v>
      </c>
      <c r="H664" s="60">
        <v>96102.0</v>
      </c>
      <c r="I664" s="60">
        <v>134543.0</v>
      </c>
      <c r="J664" s="60">
        <f t="shared" si="47"/>
        <v>38441</v>
      </c>
      <c r="K664" s="61">
        <f t="shared" si="48"/>
        <v>0.4000020811</v>
      </c>
    </row>
    <row r="665" ht="27.75" customHeight="1">
      <c r="A665" s="56" t="s">
        <v>3601</v>
      </c>
      <c r="B665" s="57" t="s">
        <v>31</v>
      </c>
      <c r="C665" s="58" t="s">
        <v>3602</v>
      </c>
      <c r="D665" s="57" t="s">
        <v>1112</v>
      </c>
      <c r="E665" s="59" t="s">
        <v>177</v>
      </c>
      <c r="F665" s="57" t="str">
        <f t="shared" si="46"/>
        <v>Habis</v>
      </c>
      <c r="G665" s="64">
        <v>0.0</v>
      </c>
      <c r="H665" s="60">
        <v>79599.0</v>
      </c>
      <c r="I665" s="60">
        <v>111439.0</v>
      </c>
      <c r="J665" s="60">
        <f t="shared" si="47"/>
        <v>31840</v>
      </c>
      <c r="K665" s="61">
        <f t="shared" si="48"/>
        <v>0.4000050252</v>
      </c>
    </row>
    <row r="666" ht="27.75" customHeight="1">
      <c r="A666" s="56" t="s">
        <v>3603</v>
      </c>
      <c r="B666" s="57" t="s">
        <v>31</v>
      </c>
      <c r="C666" s="58" t="s">
        <v>3604</v>
      </c>
      <c r="D666" s="57" t="s">
        <v>1112</v>
      </c>
      <c r="E666" s="59" t="s">
        <v>177</v>
      </c>
      <c r="F666" s="57" t="str">
        <f t="shared" si="46"/>
        <v>Habis</v>
      </c>
      <c r="G666" s="64">
        <v>0.0</v>
      </c>
      <c r="H666" s="60">
        <v>92000.0</v>
      </c>
      <c r="I666" s="60">
        <v>128800.0</v>
      </c>
      <c r="J666" s="60">
        <f t="shared" si="47"/>
        <v>36800</v>
      </c>
      <c r="K666" s="61">
        <f t="shared" si="48"/>
        <v>0.4</v>
      </c>
    </row>
    <row r="667" ht="27.75" customHeight="1">
      <c r="A667" s="56" t="s">
        <v>3605</v>
      </c>
      <c r="B667" s="57" t="s">
        <v>31</v>
      </c>
      <c r="C667" s="58" t="s">
        <v>3606</v>
      </c>
      <c r="D667" s="57" t="s">
        <v>1112</v>
      </c>
      <c r="E667" s="59" t="s">
        <v>177</v>
      </c>
      <c r="F667" s="57" t="str">
        <f t="shared" si="46"/>
        <v>Habis</v>
      </c>
      <c r="G667" s="64">
        <v>0.0</v>
      </c>
      <c r="H667" s="60">
        <v>223111.0</v>
      </c>
      <c r="I667" s="60">
        <v>312355.0</v>
      </c>
      <c r="J667" s="60">
        <f t="shared" si="47"/>
        <v>89244</v>
      </c>
      <c r="K667" s="61">
        <f t="shared" si="48"/>
        <v>0.3999982072</v>
      </c>
    </row>
    <row r="668" ht="27.75" customHeight="1">
      <c r="A668" s="56" t="s">
        <v>3607</v>
      </c>
      <c r="B668" s="57" t="s">
        <v>31</v>
      </c>
      <c r="C668" s="58" t="s">
        <v>3608</v>
      </c>
      <c r="D668" s="57" t="s">
        <v>1112</v>
      </c>
      <c r="E668" s="59" t="s">
        <v>177</v>
      </c>
      <c r="F668" s="57" t="str">
        <f t="shared" si="46"/>
        <v>Habis</v>
      </c>
      <c r="G668" s="64">
        <v>0.0</v>
      </c>
      <c r="H668" s="60">
        <v>140356.0</v>
      </c>
      <c r="I668" s="60">
        <v>196498.0</v>
      </c>
      <c r="J668" s="60">
        <f t="shared" si="47"/>
        <v>56142</v>
      </c>
      <c r="K668" s="61">
        <f t="shared" si="48"/>
        <v>0.3999971501</v>
      </c>
    </row>
    <row r="669" ht="27.75" customHeight="1">
      <c r="A669" s="56" t="s">
        <v>3609</v>
      </c>
      <c r="B669" s="57" t="s">
        <v>31</v>
      </c>
      <c r="C669" s="58" t="s">
        <v>3610</v>
      </c>
      <c r="D669" s="57" t="s">
        <v>1112</v>
      </c>
      <c r="E669" s="59" t="s">
        <v>177</v>
      </c>
      <c r="F669" s="57" t="str">
        <f t="shared" si="46"/>
        <v>Habis</v>
      </c>
      <c r="G669" s="64">
        <v>0.0</v>
      </c>
      <c r="H669" s="60">
        <v>133871.0</v>
      </c>
      <c r="I669" s="60">
        <v>187419.0</v>
      </c>
      <c r="J669" s="60">
        <f t="shared" si="47"/>
        <v>53548</v>
      </c>
      <c r="K669" s="61">
        <f t="shared" si="48"/>
        <v>0.399997012</v>
      </c>
    </row>
    <row r="670" ht="27.75" customHeight="1">
      <c r="A670" s="56" t="s">
        <v>3611</v>
      </c>
      <c r="B670" s="57" t="s">
        <v>31</v>
      </c>
      <c r="C670" s="58" t="s">
        <v>3612</v>
      </c>
      <c r="D670" s="57" t="s">
        <v>1112</v>
      </c>
      <c r="E670" s="59" t="s">
        <v>177</v>
      </c>
      <c r="F670" s="57" t="str">
        <f t="shared" si="46"/>
        <v>Menipis</v>
      </c>
      <c r="G670" s="64">
        <v>2.0</v>
      </c>
      <c r="H670" s="60">
        <v>89000.0</v>
      </c>
      <c r="I670" s="60">
        <v>150000.0</v>
      </c>
      <c r="J670" s="60">
        <f t="shared" si="47"/>
        <v>61000</v>
      </c>
      <c r="K670" s="61">
        <f t="shared" si="48"/>
        <v>0.6853932584</v>
      </c>
    </row>
    <row r="671" ht="27.75" customHeight="1">
      <c r="A671" s="56" t="s">
        <v>3613</v>
      </c>
      <c r="B671" s="57" t="s">
        <v>31</v>
      </c>
      <c r="C671" s="58" t="s">
        <v>3614</v>
      </c>
      <c r="D671" s="57" t="s">
        <v>1112</v>
      </c>
      <c r="E671" s="159" t="s">
        <v>1900</v>
      </c>
      <c r="F671" s="57" t="s">
        <v>1180</v>
      </c>
      <c r="G671" s="64">
        <v>1.0</v>
      </c>
      <c r="H671" s="60">
        <v>56000.0</v>
      </c>
      <c r="I671" s="60">
        <v>100000.0</v>
      </c>
      <c r="J671" s="60">
        <v>44000.0</v>
      </c>
      <c r="K671" s="61">
        <v>0.79</v>
      </c>
    </row>
    <row r="672" ht="27.75" customHeight="1">
      <c r="A672" s="56" t="s">
        <v>3615</v>
      </c>
      <c r="B672" s="57" t="s">
        <v>31</v>
      </c>
      <c r="C672" s="58" t="s">
        <v>3616</v>
      </c>
      <c r="D672" s="57" t="s">
        <v>1112</v>
      </c>
      <c r="E672" s="159" t="s">
        <v>1900</v>
      </c>
      <c r="F672" s="57" t="s">
        <v>1180</v>
      </c>
      <c r="G672" s="64">
        <v>1.0</v>
      </c>
      <c r="H672" s="60">
        <v>40000.0</v>
      </c>
      <c r="I672" s="60">
        <v>75000.0</v>
      </c>
      <c r="J672" s="60">
        <v>35000.0</v>
      </c>
      <c r="K672" s="61">
        <v>0.88</v>
      </c>
    </row>
    <row r="673" ht="27.75" customHeight="1">
      <c r="A673" s="56" t="s">
        <v>3617</v>
      </c>
      <c r="B673" s="57" t="s">
        <v>31</v>
      </c>
      <c r="C673" s="58" t="s">
        <v>3618</v>
      </c>
      <c r="D673" s="57" t="s">
        <v>1112</v>
      </c>
      <c r="E673" s="159" t="s">
        <v>1900</v>
      </c>
      <c r="F673" s="57" t="s">
        <v>1180</v>
      </c>
      <c r="G673" s="64">
        <v>1.0</v>
      </c>
      <c r="H673" s="60">
        <v>47000.0</v>
      </c>
      <c r="I673" s="60">
        <v>95000.0</v>
      </c>
      <c r="J673" s="60">
        <v>48000.0</v>
      </c>
      <c r="K673" s="61">
        <v>1.02</v>
      </c>
    </row>
    <row r="674" ht="27.75" customHeight="1">
      <c r="A674" s="56" t="s">
        <v>3619</v>
      </c>
      <c r="B674" s="57" t="s">
        <v>31</v>
      </c>
      <c r="C674" s="58" t="s">
        <v>3620</v>
      </c>
      <c r="D674" s="57" t="s">
        <v>363</v>
      </c>
      <c r="E674" s="70" t="s">
        <v>410</v>
      </c>
      <c r="F674" s="57" t="str">
        <f t="shared" ref="F674:F675" si="49">IF(G674="", "", IF(G674&lt;=0, "Habis", IF(G674&lt;=3, "Menipis", "Tersedia")))</f>
        <v>Tersedia</v>
      </c>
      <c r="G674" s="56">
        <v>20.0</v>
      </c>
      <c r="H674" s="60">
        <v>7000.0</v>
      </c>
      <c r="I674" s="60">
        <v>15000.0</v>
      </c>
      <c r="J674" s="60">
        <f t="shared" ref="J674:J675" si="50">I674-H674</f>
        <v>8000</v>
      </c>
      <c r="K674" s="61">
        <f t="shared" ref="K674:K675" si="51">J674/H674*100%</f>
        <v>1.142857143</v>
      </c>
    </row>
    <row r="675" ht="27.75" customHeight="1">
      <c r="A675" s="56" t="s">
        <v>3621</v>
      </c>
      <c r="B675" s="57" t="s">
        <v>31</v>
      </c>
      <c r="C675" s="62" t="s">
        <v>3622</v>
      </c>
      <c r="D675" s="57" t="s">
        <v>363</v>
      </c>
      <c r="E675" s="59" t="s">
        <v>3623</v>
      </c>
      <c r="F675" s="57" t="str">
        <f t="shared" si="49"/>
        <v>Tersedia</v>
      </c>
      <c r="G675" s="64">
        <v>20.0</v>
      </c>
      <c r="H675" s="60">
        <v>1500.0</v>
      </c>
      <c r="I675" s="60">
        <v>5000.0</v>
      </c>
      <c r="J675" s="60">
        <f t="shared" si="50"/>
        <v>3500</v>
      </c>
      <c r="K675" s="61">
        <f t="shared" si="51"/>
        <v>2.333333333</v>
      </c>
    </row>
    <row r="676" ht="27.75" customHeight="1">
      <c r="A676" s="56" t="s">
        <v>3624</v>
      </c>
      <c r="B676" s="57" t="s">
        <v>1172</v>
      </c>
      <c r="C676" s="58" t="s">
        <v>3625</v>
      </c>
      <c r="D676" s="66" t="s">
        <v>363</v>
      </c>
      <c r="E676" s="159" t="s">
        <v>1232</v>
      </c>
      <c r="F676" s="57" t="s">
        <v>1180</v>
      </c>
      <c r="G676" s="64">
        <v>2.0</v>
      </c>
      <c r="H676" s="60">
        <v>10000.0</v>
      </c>
      <c r="I676" s="60">
        <v>20000.0</v>
      </c>
      <c r="J676" s="60">
        <v>10000.0</v>
      </c>
      <c r="K676" s="61">
        <v>1.0</v>
      </c>
    </row>
    <row r="677" ht="27.75" customHeight="1">
      <c r="A677" s="56" t="s">
        <v>3626</v>
      </c>
      <c r="B677" s="57" t="s">
        <v>1172</v>
      </c>
      <c r="C677" s="58" t="s">
        <v>3622</v>
      </c>
      <c r="D677" s="57" t="s">
        <v>64</v>
      </c>
      <c r="E677" s="159" t="s">
        <v>1232</v>
      </c>
      <c r="F677" s="57" t="s">
        <v>1180</v>
      </c>
      <c r="G677" s="64">
        <v>3.0</v>
      </c>
      <c r="H677" s="60">
        <v>12000.0</v>
      </c>
      <c r="I677" s="60">
        <v>20000.0</v>
      </c>
      <c r="J677" s="60">
        <v>8000.0</v>
      </c>
      <c r="K677" s="61">
        <v>0.67</v>
      </c>
    </row>
    <row r="678" ht="27.75" customHeight="1">
      <c r="A678" s="56" t="s">
        <v>3627</v>
      </c>
      <c r="B678" s="57" t="s">
        <v>31</v>
      </c>
      <c r="C678" s="58" t="s">
        <v>3628</v>
      </c>
      <c r="D678" s="57" t="s">
        <v>363</v>
      </c>
      <c r="E678" s="59" t="s">
        <v>137</v>
      </c>
      <c r="F678" s="57" t="str">
        <f>IF(G678="", "", IF(G678&lt;=0, "Habis", IF(G678&lt;=3, "Menipis", "Tersedia")))</f>
        <v>Menipis</v>
      </c>
      <c r="G678" s="64">
        <v>3.0</v>
      </c>
      <c r="H678" s="60">
        <v>20000.0</v>
      </c>
      <c r="I678" s="60">
        <v>40000.0</v>
      </c>
      <c r="J678" s="60">
        <f>I678-H678</f>
        <v>20000</v>
      </c>
      <c r="K678" s="61">
        <f>J678/H678*100%</f>
        <v>1</v>
      </c>
    </row>
    <row r="679" ht="27.75" customHeight="1">
      <c r="A679" s="56" t="s">
        <v>3629</v>
      </c>
      <c r="B679" s="57" t="s">
        <v>31</v>
      </c>
      <c r="C679" s="58" t="s">
        <v>3630</v>
      </c>
      <c r="D679" s="57" t="s">
        <v>363</v>
      </c>
      <c r="E679" s="159" t="s">
        <v>1232</v>
      </c>
      <c r="F679" s="57" t="s">
        <v>1180</v>
      </c>
      <c r="G679" s="64">
        <v>1.0</v>
      </c>
      <c r="H679" s="60">
        <v>26500.0</v>
      </c>
      <c r="I679" s="60">
        <v>50000.0</v>
      </c>
      <c r="J679" s="60">
        <v>23500.0</v>
      </c>
      <c r="K679" s="61">
        <v>0.89</v>
      </c>
    </row>
    <row r="680" ht="27.75" customHeight="1">
      <c r="A680" s="56" t="s">
        <v>3631</v>
      </c>
      <c r="B680" s="57" t="s">
        <v>31</v>
      </c>
      <c r="C680" s="58" t="s">
        <v>3632</v>
      </c>
      <c r="D680" s="57" t="s">
        <v>363</v>
      </c>
      <c r="E680" s="70" t="s">
        <v>410</v>
      </c>
      <c r="F680" s="57" t="str">
        <f t="shared" ref="F680:F688" si="52">IF(G680="", "", IF(G680&lt;=0, "Habis", IF(G680&lt;=3, "Menipis", "Tersedia")))</f>
        <v>Menipis</v>
      </c>
      <c r="G680" s="56">
        <v>2.0</v>
      </c>
      <c r="H680" s="60">
        <v>10000.0</v>
      </c>
      <c r="I680" s="60">
        <v>20000.0</v>
      </c>
      <c r="J680" s="60">
        <f t="shared" ref="J680:J688" si="53">I680-H680</f>
        <v>10000</v>
      </c>
      <c r="K680" s="61">
        <f t="shared" ref="K680:K688" si="54">J680/H680*100%</f>
        <v>1</v>
      </c>
    </row>
    <row r="681" ht="27.75" customHeight="1">
      <c r="A681" s="56" t="s">
        <v>3633</v>
      </c>
      <c r="B681" s="57" t="s">
        <v>31</v>
      </c>
      <c r="C681" s="58" t="s">
        <v>3634</v>
      </c>
      <c r="D681" s="57" t="s">
        <v>363</v>
      </c>
      <c r="E681" s="70" t="s">
        <v>410</v>
      </c>
      <c r="F681" s="57" t="str">
        <f t="shared" si="52"/>
        <v>Tersedia</v>
      </c>
      <c r="G681" s="56">
        <v>6.0</v>
      </c>
      <c r="H681" s="60">
        <v>1000.0</v>
      </c>
      <c r="I681" s="60">
        <v>5000.0</v>
      </c>
      <c r="J681" s="60">
        <f t="shared" si="53"/>
        <v>4000</v>
      </c>
      <c r="K681" s="61">
        <f t="shared" si="54"/>
        <v>4</v>
      </c>
    </row>
    <row r="682" ht="27.75" customHeight="1">
      <c r="A682" s="56" t="s">
        <v>3635</v>
      </c>
      <c r="B682" s="57" t="s">
        <v>1363</v>
      </c>
      <c r="C682" s="58" t="s">
        <v>3636</v>
      </c>
      <c r="D682" s="57" t="s">
        <v>2855</v>
      </c>
      <c r="E682" s="59" t="s">
        <v>3637</v>
      </c>
      <c r="F682" s="57" t="str">
        <f t="shared" si="52"/>
        <v>Tersedia</v>
      </c>
      <c r="G682" s="64">
        <v>14.0</v>
      </c>
      <c r="H682" s="60">
        <v>15000.0</v>
      </c>
      <c r="I682" s="60">
        <v>17000.0</v>
      </c>
      <c r="J682" s="60">
        <f t="shared" si="53"/>
        <v>2000</v>
      </c>
      <c r="K682" s="61">
        <f t="shared" si="54"/>
        <v>0.1333333333</v>
      </c>
    </row>
    <row r="683" ht="27.75" customHeight="1">
      <c r="A683" s="56" t="s">
        <v>3638</v>
      </c>
      <c r="B683" s="57" t="s">
        <v>31</v>
      </c>
      <c r="C683" s="58" t="s">
        <v>3639</v>
      </c>
      <c r="D683" s="57" t="s">
        <v>363</v>
      </c>
      <c r="E683" s="70" t="s">
        <v>410</v>
      </c>
      <c r="F683" s="57" t="str">
        <f t="shared" si="52"/>
        <v>Menipis</v>
      </c>
      <c r="G683" s="56">
        <v>2.0</v>
      </c>
      <c r="H683" s="60">
        <v>15000.0</v>
      </c>
      <c r="I683" s="60">
        <v>40000.0</v>
      </c>
      <c r="J683" s="60">
        <f t="shared" si="53"/>
        <v>25000</v>
      </c>
      <c r="K683" s="61">
        <f t="shared" si="54"/>
        <v>1.666666667</v>
      </c>
    </row>
    <row r="684" ht="27.75" customHeight="1">
      <c r="A684" s="56" t="s">
        <v>3640</v>
      </c>
      <c r="B684" s="57" t="s">
        <v>31</v>
      </c>
      <c r="C684" s="58" t="s">
        <v>3641</v>
      </c>
      <c r="D684" s="57" t="s">
        <v>1112</v>
      </c>
      <c r="E684" s="59" t="s">
        <v>1854</v>
      </c>
      <c r="F684" s="57" t="str">
        <f t="shared" si="52"/>
        <v>Menipis</v>
      </c>
      <c r="G684" s="64">
        <v>1.0</v>
      </c>
      <c r="H684" s="60">
        <v>35000.0</v>
      </c>
      <c r="I684" s="60">
        <v>75000.0</v>
      </c>
      <c r="J684" s="60">
        <f t="shared" si="53"/>
        <v>40000</v>
      </c>
      <c r="K684" s="61">
        <f t="shared" si="54"/>
        <v>1.142857143</v>
      </c>
    </row>
    <row r="685" ht="27.75" customHeight="1">
      <c r="A685" s="56" t="s">
        <v>3642</v>
      </c>
      <c r="B685" s="57" t="s">
        <v>1363</v>
      </c>
      <c r="C685" s="58" t="s">
        <v>3643</v>
      </c>
      <c r="D685" s="57" t="s">
        <v>2844</v>
      </c>
      <c r="E685" s="59" t="s">
        <v>3637</v>
      </c>
      <c r="F685" s="57" t="str">
        <f t="shared" si="52"/>
        <v>Habis</v>
      </c>
      <c r="G685" s="64">
        <v>0.0</v>
      </c>
      <c r="H685" s="60">
        <v>12500.0</v>
      </c>
      <c r="I685" s="60">
        <v>30000.0</v>
      </c>
      <c r="J685" s="60">
        <f t="shared" si="53"/>
        <v>17500</v>
      </c>
      <c r="K685" s="61">
        <f t="shared" si="54"/>
        <v>1.4</v>
      </c>
    </row>
    <row r="686" ht="27.75" customHeight="1">
      <c r="A686" s="56" t="s">
        <v>3644</v>
      </c>
      <c r="B686" s="57" t="s">
        <v>31</v>
      </c>
      <c r="C686" s="62" t="s">
        <v>3645</v>
      </c>
      <c r="D686" s="57" t="s">
        <v>363</v>
      </c>
      <c r="E686" s="59" t="s">
        <v>3415</v>
      </c>
      <c r="F686" s="57" t="str">
        <f t="shared" si="52"/>
        <v>Menipis</v>
      </c>
      <c r="G686" s="64">
        <v>1.0</v>
      </c>
      <c r="H686" s="60">
        <v>70000.0</v>
      </c>
      <c r="I686" s="60">
        <v>140000.0</v>
      </c>
      <c r="J686" s="60">
        <f t="shared" si="53"/>
        <v>70000</v>
      </c>
      <c r="K686" s="61">
        <f t="shared" si="54"/>
        <v>1</v>
      </c>
    </row>
    <row r="687" ht="27.75" customHeight="1">
      <c r="A687" s="56" t="s">
        <v>3646</v>
      </c>
      <c r="B687" s="57" t="s">
        <v>31</v>
      </c>
      <c r="C687" s="58" t="s">
        <v>3647</v>
      </c>
      <c r="D687" s="57" t="s">
        <v>363</v>
      </c>
      <c r="E687" s="59" t="s">
        <v>3415</v>
      </c>
      <c r="F687" s="57" t="str">
        <f t="shared" si="52"/>
        <v>Menipis</v>
      </c>
      <c r="G687" s="64">
        <v>1.0</v>
      </c>
      <c r="H687" s="60">
        <v>50000.0</v>
      </c>
      <c r="I687" s="60">
        <v>100000.0</v>
      </c>
      <c r="J687" s="60">
        <f t="shared" si="53"/>
        <v>50000</v>
      </c>
      <c r="K687" s="61">
        <f t="shared" si="54"/>
        <v>1</v>
      </c>
    </row>
    <row r="688" ht="27.75" customHeight="1">
      <c r="A688" s="56" t="s">
        <v>3648</v>
      </c>
      <c r="B688" s="57" t="s">
        <v>31</v>
      </c>
      <c r="C688" s="62" t="s">
        <v>3649</v>
      </c>
      <c r="D688" s="65" t="s">
        <v>1485</v>
      </c>
      <c r="E688" s="59" t="s">
        <v>3415</v>
      </c>
      <c r="F688" s="57" t="str">
        <f t="shared" si="52"/>
        <v>Menipis</v>
      </c>
      <c r="G688" s="56">
        <v>1.0</v>
      </c>
      <c r="H688" s="60">
        <v>84000.0</v>
      </c>
      <c r="I688" s="60">
        <v>150000.0</v>
      </c>
      <c r="J688" s="60">
        <f t="shared" si="53"/>
        <v>66000</v>
      </c>
      <c r="K688" s="61">
        <f t="shared" si="54"/>
        <v>0.7857142857</v>
      </c>
    </row>
    <row r="689" ht="27.75" customHeight="1">
      <c r="A689" s="56" t="s">
        <v>3650</v>
      </c>
      <c r="B689" s="57" t="s">
        <v>1172</v>
      </c>
      <c r="C689" s="58" t="s">
        <v>3651</v>
      </c>
      <c r="D689" s="66" t="s">
        <v>363</v>
      </c>
      <c r="E689" s="159" t="s">
        <v>3415</v>
      </c>
      <c r="F689" s="57" t="s">
        <v>1180</v>
      </c>
      <c r="G689" s="64">
        <v>2.0</v>
      </c>
      <c r="H689" s="60">
        <v>62500.0</v>
      </c>
      <c r="I689" s="60">
        <v>160000.0</v>
      </c>
      <c r="J689" s="60">
        <v>97500.0</v>
      </c>
      <c r="K689" s="61">
        <v>1.56</v>
      </c>
    </row>
    <row r="690" ht="27.75" customHeight="1">
      <c r="A690" s="56" t="s">
        <v>3652</v>
      </c>
      <c r="B690" s="57" t="s">
        <v>1172</v>
      </c>
      <c r="C690" s="58" t="s">
        <v>3653</v>
      </c>
      <c r="D690" s="57" t="s">
        <v>2865</v>
      </c>
      <c r="E690" s="159" t="s">
        <v>3415</v>
      </c>
      <c r="F690" s="57" t="s">
        <v>1180</v>
      </c>
      <c r="G690" s="64">
        <v>1.0</v>
      </c>
      <c r="H690" s="60">
        <v>82500.0</v>
      </c>
      <c r="I690" s="60">
        <v>175000.0</v>
      </c>
      <c r="J690" s="60">
        <v>92500.0</v>
      </c>
      <c r="K690" s="61">
        <v>1.12</v>
      </c>
    </row>
    <row r="691" ht="27.75" customHeight="1">
      <c r="A691" s="56" t="s">
        <v>3654</v>
      </c>
      <c r="B691" s="57" t="s">
        <v>1172</v>
      </c>
      <c r="C691" s="58" t="s">
        <v>3655</v>
      </c>
      <c r="D691" s="57" t="s">
        <v>2838</v>
      </c>
      <c r="E691" s="159" t="s">
        <v>3415</v>
      </c>
      <c r="F691" s="57" t="s">
        <v>1180</v>
      </c>
      <c r="G691" s="64">
        <v>2.0</v>
      </c>
      <c r="H691" s="60">
        <v>32000.0</v>
      </c>
      <c r="I691" s="60">
        <v>65000.0</v>
      </c>
      <c r="J691" s="60">
        <v>33000.0</v>
      </c>
      <c r="K691" s="61">
        <v>1.03</v>
      </c>
    </row>
    <row r="692" ht="27.75" customHeight="1">
      <c r="A692" s="56" t="s">
        <v>3656</v>
      </c>
      <c r="B692" s="57" t="s">
        <v>1172</v>
      </c>
      <c r="C692" s="58" t="s">
        <v>3657</v>
      </c>
      <c r="D692" s="57" t="s">
        <v>1248</v>
      </c>
      <c r="E692" s="159" t="s">
        <v>3415</v>
      </c>
      <c r="F692" s="57" t="s">
        <v>1180</v>
      </c>
      <c r="G692" s="64">
        <v>1.0</v>
      </c>
      <c r="H692" s="60">
        <v>65000.0</v>
      </c>
      <c r="I692" s="60">
        <v>150000.0</v>
      </c>
      <c r="J692" s="60">
        <v>85000.0</v>
      </c>
      <c r="K692" s="61">
        <v>1.31</v>
      </c>
    </row>
    <row r="693" ht="27.75" customHeight="1">
      <c r="A693" s="56" t="s">
        <v>3658</v>
      </c>
      <c r="B693" s="57" t="s">
        <v>1172</v>
      </c>
      <c r="C693" s="58" t="s">
        <v>3659</v>
      </c>
      <c r="D693" s="57" t="s">
        <v>1248</v>
      </c>
      <c r="E693" s="159" t="s">
        <v>3415</v>
      </c>
      <c r="F693" s="57" t="s">
        <v>1180</v>
      </c>
      <c r="G693" s="64">
        <v>2.0</v>
      </c>
      <c r="H693" s="60">
        <v>115000.0</v>
      </c>
      <c r="I693" s="60">
        <v>230000.0</v>
      </c>
      <c r="J693" s="60">
        <v>115000.0</v>
      </c>
      <c r="K693" s="61">
        <v>1.0</v>
      </c>
    </row>
    <row r="694" ht="27.75" customHeight="1">
      <c r="A694" s="56" t="s">
        <v>3660</v>
      </c>
      <c r="B694" s="57" t="s">
        <v>1172</v>
      </c>
      <c r="C694" s="58" t="s">
        <v>3661</v>
      </c>
      <c r="D694" s="57" t="s">
        <v>2866</v>
      </c>
      <c r="E694" s="59" t="s">
        <v>410</v>
      </c>
      <c r="F694" s="57" t="s">
        <v>1180</v>
      </c>
      <c r="G694" s="64">
        <v>1.0</v>
      </c>
      <c r="H694" s="60">
        <v>50000.0</v>
      </c>
      <c r="I694" s="60">
        <v>200000.0</v>
      </c>
      <c r="J694" s="60">
        <v>150000.0</v>
      </c>
      <c r="K694" s="61">
        <v>3.0</v>
      </c>
    </row>
    <row r="695" ht="27.75" customHeight="1">
      <c r="A695" s="56" t="s">
        <v>3662</v>
      </c>
      <c r="B695" s="57" t="s">
        <v>1172</v>
      </c>
      <c r="C695" s="58" t="s">
        <v>3663</v>
      </c>
      <c r="D695" s="57" t="s">
        <v>2856</v>
      </c>
      <c r="E695" s="159" t="s">
        <v>3415</v>
      </c>
      <c r="F695" s="57" t="s">
        <v>1180</v>
      </c>
      <c r="G695" s="64">
        <v>1.0</v>
      </c>
      <c r="H695" s="60">
        <v>110000.0</v>
      </c>
      <c r="I695" s="60">
        <v>225000.0</v>
      </c>
      <c r="J695" s="60">
        <v>115000.0</v>
      </c>
      <c r="K695" s="61">
        <v>1.05</v>
      </c>
    </row>
    <row r="696" ht="27.75" customHeight="1">
      <c r="A696" s="56" t="s">
        <v>3664</v>
      </c>
      <c r="B696" s="57" t="s">
        <v>1172</v>
      </c>
      <c r="C696" s="58" t="s">
        <v>3665</v>
      </c>
      <c r="D696" s="57" t="s">
        <v>2833</v>
      </c>
      <c r="E696" s="159" t="s">
        <v>3415</v>
      </c>
      <c r="F696" s="57" t="s">
        <v>1180</v>
      </c>
      <c r="G696" s="64">
        <v>1.0</v>
      </c>
      <c r="H696" s="60">
        <v>85000.0</v>
      </c>
      <c r="I696" s="60">
        <v>170000.0</v>
      </c>
      <c r="J696" s="60">
        <v>85000.0</v>
      </c>
      <c r="K696" s="61">
        <v>1.0</v>
      </c>
    </row>
    <row r="697" ht="27.75" customHeight="1">
      <c r="A697" s="56" t="s">
        <v>3666</v>
      </c>
      <c r="B697" s="57" t="s">
        <v>1172</v>
      </c>
      <c r="C697" s="58" t="s">
        <v>3667</v>
      </c>
      <c r="D697" s="57" t="s">
        <v>1176</v>
      </c>
      <c r="E697" s="159" t="s">
        <v>3415</v>
      </c>
      <c r="F697" s="57" t="s">
        <v>1180</v>
      </c>
      <c r="G697" s="64">
        <v>1.0</v>
      </c>
      <c r="H697" s="60">
        <v>105000.0</v>
      </c>
      <c r="I697" s="60">
        <v>175000.0</v>
      </c>
      <c r="J697" s="60">
        <v>70000.0</v>
      </c>
      <c r="K697" s="61">
        <v>0.67</v>
      </c>
    </row>
    <row r="698" ht="27.75" customHeight="1">
      <c r="A698" s="56" t="s">
        <v>3668</v>
      </c>
      <c r="B698" s="57" t="s">
        <v>1172</v>
      </c>
      <c r="C698" s="58" t="s">
        <v>3669</v>
      </c>
      <c r="D698" s="57" t="s">
        <v>1248</v>
      </c>
      <c r="E698" s="159" t="s">
        <v>3415</v>
      </c>
      <c r="F698" s="57" t="s">
        <v>1180</v>
      </c>
      <c r="G698" s="64">
        <v>1.0</v>
      </c>
      <c r="H698" s="60">
        <v>70000.0</v>
      </c>
      <c r="I698" s="60">
        <v>135000.0</v>
      </c>
      <c r="J698" s="60">
        <v>65000.0</v>
      </c>
      <c r="K698" s="61">
        <v>0.93</v>
      </c>
    </row>
    <row r="699" ht="27.75" customHeight="1">
      <c r="A699" s="56" t="s">
        <v>3670</v>
      </c>
      <c r="B699" s="57" t="s">
        <v>1172</v>
      </c>
      <c r="C699" s="58" t="s">
        <v>3671</v>
      </c>
      <c r="D699" s="57" t="s">
        <v>1248</v>
      </c>
      <c r="E699" s="159" t="s">
        <v>3415</v>
      </c>
      <c r="F699" s="57" t="s">
        <v>1180</v>
      </c>
      <c r="G699" s="64">
        <v>1.0</v>
      </c>
      <c r="H699" s="60">
        <v>30000.0</v>
      </c>
      <c r="I699" s="60">
        <v>60000.0</v>
      </c>
      <c r="J699" s="60">
        <v>30000.0</v>
      </c>
      <c r="K699" s="61">
        <v>1.0</v>
      </c>
    </row>
    <row r="700" ht="27.75" customHeight="1">
      <c r="A700" s="56" t="s">
        <v>3672</v>
      </c>
      <c r="B700" s="57" t="s">
        <v>1172</v>
      </c>
      <c r="C700" s="58" t="s">
        <v>3673</v>
      </c>
      <c r="D700" s="57" t="s">
        <v>2865</v>
      </c>
      <c r="E700" s="159" t="s">
        <v>3415</v>
      </c>
      <c r="F700" s="57" t="s">
        <v>1180</v>
      </c>
      <c r="G700" s="64">
        <v>1.0</v>
      </c>
      <c r="H700" s="60">
        <v>250000.0</v>
      </c>
      <c r="I700" s="60">
        <v>375000.0</v>
      </c>
      <c r="J700" s="60">
        <v>125000.0</v>
      </c>
      <c r="K700" s="61">
        <v>0.5</v>
      </c>
    </row>
    <row r="701" ht="27.75" customHeight="1">
      <c r="A701" s="56" t="s">
        <v>3674</v>
      </c>
      <c r="B701" s="57" t="s">
        <v>1172</v>
      </c>
      <c r="C701" s="58" t="s">
        <v>3675</v>
      </c>
      <c r="D701" s="57" t="s">
        <v>1248</v>
      </c>
      <c r="E701" s="159" t="s">
        <v>3415</v>
      </c>
      <c r="F701" s="57" t="s">
        <v>1180</v>
      </c>
      <c r="G701" s="64">
        <v>1.0</v>
      </c>
      <c r="H701" s="60">
        <v>55000.0</v>
      </c>
      <c r="I701" s="60">
        <v>120000.0</v>
      </c>
      <c r="J701" s="60">
        <v>65000.0</v>
      </c>
      <c r="K701" s="61">
        <v>1.18</v>
      </c>
    </row>
    <row r="702" ht="27.75" customHeight="1">
      <c r="A702" s="56" t="s">
        <v>3676</v>
      </c>
      <c r="B702" s="57" t="s">
        <v>1172</v>
      </c>
      <c r="C702" s="58" t="s">
        <v>3677</v>
      </c>
      <c r="D702" s="57" t="s">
        <v>1248</v>
      </c>
      <c r="E702" s="159" t="s">
        <v>3415</v>
      </c>
      <c r="F702" s="57" t="s">
        <v>1180</v>
      </c>
      <c r="G702" s="64">
        <v>1.0</v>
      </c>
      <c r="H702" s="60">
        <v>80000.0</v>
      </c>
      <c r="I702" s="60">
        <v>150000.0</v>
      </c>
      <c r="J702" s="60">
        <v>70000.0</v>
      </c>
      <c r="K702" s="61">
        <v>0.88</v>
      </c>
    </row>
    <row r="703" ht="27.75" customHeight="1">
      <c r="A703" s="56" t="s">
        <v>3678</v>
      </c>
      <c r="B703" s="57" t="s">
        <v>1363</v>
      </c>
      <c r="C703" s="58" t="s">
        <v>3679</v>
      </c>
      <c r="D703" s="57" t="s">
        <v>2845</v>
      </c>
      <c r="E703" s="59" t="s">
        <v>3637</v>
      </c>
      <c r="F703" s="57" t="str">
        <f t="shared" ref="F703:F705" si="55">IF(G703="", "", IF(G703&lt;=0, "Habis", IF(G703&lt;=3, "Menipis", "Tersedia")))</f>
        <v>Habis</v>
      </c>
      <c r="G703" s="64">
        <v>0.0</v>
      </c>
      <c r="H703" s="60">
        <v>16000.0</v>
      </c>
      <c r="I703" s="60">
        <v>35000.0</v>
      </c>
      <c r="J703" s="60">
        <f t="shared" ref="J703:J705" si="56">I703-H703</f>
        <v>19000</v>
      </c>
      <c r="K703" s="61">
        <f t="shared" ref="K703:K705" si="57">J703/H703*100%</f>
        <v>1.1875</v>
      </c>
    </row>
    <row r="704" ht="27.75" customHeight="1">
      <c r="A704" s="56" t="s">
        <v>3680</v>
      </c>
      <c r="B704" s="57" t="s">
        <v>1363</v>
      </c>
      <c r="C704" s="58" t="s">
        <v>3681</v>
      </c>
      <c r="D704" s="57" t="s">
        <v>2846</v>
      </c>
      <c r="E704" s="59" t="s">
        <v>3637</v>
      </c>
      <c r="F704" s="57" t="str">
        <f t="shared" si="55"/>
        <v>Habis</v>
      </c>
      <c r="G704" s="64">
        <v>0.0</v>
      </c>
      <c r="H704" s="60">
        <v>21250.0</v>
      </c>
      <c r="I704" s="60">
        <v>40000.0</v>
      </c>
      <c r="J704" s="60">
        <f t="shared" si="56"/>
        <v>18750</v>
      </c>
      <c r="K704" s="61">
        <f t="shared" si="57"/>
        <v>0.8823529412</v>
      </c>
    </row>
    <row r="705" ht="27.75" customHeight="1">
      <c r="A705" s="56" t="s">
        <v>3682</v>
      </c>
      <c r="B705" s="57" t="s">
        <v>31</v>
      </c>
      <c r="C705" s="58" t="s">
        <v>3683</v>
      </c>
      <c r="D705" s="57" t="s">
        <v>363</v>
      </c>
      <c r="E705" s="70" t="s">
        <v>410</v>
      </c>
      <c r="F705" s="57" t="str">
        <f t="shared" si="55"/>
        <v>Tersedia</v>
      </c>
      <c r="G705" s="56">
        <v>16344.0</v>
      </c>
      <c r="H705" s="60">
        <v>20000.0</v>
      </c>
      <c r="I705" s="60">
        <v>25000.0</v>
      </c>
      <c r="J705" s="60">
        <f t="shared" si="56"/>
        <v>5000</v>
      </c>
      <c r="K705" s="61">
        <f t="shared" si="57"/>
        <v>0.25</v>
      </c>
    </row>
    <row r="706" ht="27.75" customHeight="1">
      <c r="A706" s="56" t="s">
        <v>3684</v>
      </c>
      <c r="B706" s="57" t="s">
        <v>1172</v>
      </c>
      <c r="C706" s="58" t="s">
        <v>3685</v>
      </c>
      <c r="D706" s="57" t="s">
        <v>2859</v>
      </c>
      <c r="E706" s="159" t="s">
        <v>1232</v>
      </c>
      <c r="F706" s="57" t="s">
        <v>1180</v>
      </c>
      <c r="G706" s="64">
        <v>1.0</v>
      </c>
      <c r="H706" s="60">
        <v>24500.0</v>
      </c>
      <c r="I706" s="60">
        <v>50000.0</v>
      </c>
      <c r="J706" s="60">
        <v>25500.0</v>
      </c>
      <c r="K706" s="61">
        <v>1.04</v>
      </c>
    </row>
    <row r="707" ht="27.75" customHeight="1">
      <c r="A707" s="56" t="s">
        <v>3686</v>
      </c>
      <c r="B707" s="57" t="s">
        <v>31</v>
      </c>
      <c r="C707" s="58" t="s">
        <v>3687</v>
      </c>
      <c r="D707" s="57" t="s">
        <v>363</v>
      </c>
      <c r="E707" s="70" t="s">
        <v>410</v>
      </c>
      <c r="F707" s="57" t="str">
        <f t="shared" ref="F707:F824" si="58">IF(G707="", "", IF(G707&lt;=0, "Habis", IF(G707&lt;=3, "Menipis", "Tersedia")))</f>
        <v>Tersedia</v>
      </c>
      <c r="G707" s="56">
        <v>5.0</v>
      </c>
      <c r="H707" s="60">
        <v>4000.0</v>
      </c>
      <c r="I707" s="60">
        <v>10000.0</v>
      </c>
      <c r="J707" s="60">
        <f t="shared" ref="J707:J824" si="59">I707-H707</f>
        <v>6000</v>
      </c>
      <c r="K707" s="61">
        <f t="shared" ref="K707:K824" si="60">J707/H707*100%</f>
        <v>1.5</v>
      </c>
    </row>
    <row r="708" ht="27.75" customHeight="1">
      <c r="A708" s="56" t="s">
        <v>3688</v>
      </c>
      <c r="B708" s="57" t="s">
        <v>31</v>
      </c>
      <c r="C708" s="58" t="s">
        <v>3689</v>
      </c>
      <c r="D708" s="57" t="s">
        <v>363</v>
      </c>
      <c r="E708" s="70" t="s">
        <v>410</v>
      </c>
      <c r="F708" s="57" t="str">
        <f t="shared" si="58"/>
        <v>Menipis</v>
      </c>
      <c r="G708" s="56">
        <v>1.0</v>
      </c>
      <c r="H708" s="60">
        <v>6000.0</v>
      </c>
      <c r="I708" s="60">
        <v>10000.0</v>
      </c>
      <c r="J708" s="60">
        <f t="shared" si="59"/>
        <v>4000</v>
      </c>
      <c r="K708" s="61">
        <f t="shared" si="60"/>
        <v>0.6666666667</v>
      </c>
    </row>
    <row r="709" ht="27.75" customHeight="1">
      <c r="A709" s="56" t="s">
        <v>3690</v>
      </c>
      <c r="B709" s="57" t="s">
        <v>31</v>
      </c>
      <c r="C709" s="58" t="s">
        <v>3691</v>
      </c>
      <c r="D709" s="57" t="s">
        <v>363</v>
      </c>
      <c r="E709" s="70" t="s">
        <v>410</v>
      </c>
      <c r="F709" s="57" t="str">
        <f t="shared" si="58"/>
        <v>Menipis</v>
      </c>
      <c r="G709" s="56">
        <v>1.0</v>
      </c>
      <c r="H709" s="60">
        <v>6000.0</v>
      </c>
      <c r="I709" s="60">
        <v>15000.0</v>
      </c>
      <c r="J709" s="60">
        <f t="shared" si="59"/>
        <v>9000</v>
      </c>
      <c r="K709" s="61">
        <f t="shared" si="60"/>
        <v>1.5</v>
      </c>
    </row>
    <row r="710" ht="27.75" customHeight="1">
      <c r="A710" s="56" t="s">
        <v>3692</v>
      </c>
      <c r="B710" s="57" t="s">
        <v>31</v>
      </c>
      <c r="C710" s="58" t="s">
        <v>3693</v>
      </c>
      <c r="D710" s="57" t="s">
        <v>363</v>
      </c>
      <c r="E710" s="59" t="s">
        <v>3694</v>
      </c>
      <c r="F710" s="57" t="str">
        <f t="shared" si="58"/>
        <v>Menipis</v>
      </c>
      <c r="G710" s="56">
        <v>1.0</v>
      </c>
      <c r="H710" s="60">
        <v>13500.0</v>
      </c>
      <c r="I710" s="60">
        <v>25000.0</v>
      </c>
      <c r="J710" s="60">
        <f t="shared" si="59"/>
        <v>11500</v>
      </c>
      <c r="K710" s="61">
        <f t="shared" si="60"/>
        <v>0.8518518519</v>
      </c>
    </row>
    <row r="711" ht="27.75" customHeight="1">
      <c r="A711" s="56" t="s">
        <v>3695</v>
      </c>
      <c r="B711" s="57" t="s">
        <v>31</v>
      </c>
      <c r="C711" s="58" t="s">
        <v>3696</v>
      </c>
      <c r="D711" s="57" t="s">
        <v>363</v>
      </c>
      <c r="E711" s="59" t="s">
        <v>2953</v>
      </c>
      <c r="F711" s="57" t="str">
        <f t="shared" si="58"/>
        <v>Menipis</v>
      </c>
      <c r="G711" s="64">
        <v>1.0</v>
      </c>
      <c r="H711" s="60">
        <v>15000.0</v>
      </c>
      <c r="I711" s="60">
        <v>30000.0</v>
      </c>
      <c r="J711" s="60">
        <f t="shared" si="59"/>
        <v>15000</v>
      </c>
      <c r="K711" s="61">
        <f t="shared" si="60"/>
        <v>1</v>
      </c>
    </row>
    <row r="712" ht="27.75" customHeight="1">
      <c r="A712" s="56" t="s">
        <v>3697</v>
      </c>
      <c r="B712" s="57" t="s">
        <v>31</v>
      </c>
      <c r="C712" s="58" t="s">
        <v>3698</v>
      </c>
      <c r="D712" s="57" t="s">
        <v>945</v>
      </c>
      <c r="E712" s="59" t="s">
        <v>2953</v>
      </c>
      <c r="F712" s="57" t="str">
        <f t="shared" si="58"/>
        <v>Menipis</v>
      </c>
      <c r="G712" s="64">
        <v>1.0</v>
      </c>
      <c r="H712" s="60">
        <v>32000.0</v>
      </c>
      <c r="I712" s="60">
        <v>75000.0</v>
      </c>
      <c r="J712" s="60">
        <f t="shared" si="59"/>
        <v>43000</v>
      </c>
      <c r="K712" s="61">
        <f t="shared" si="60"/>
        <v>1.34375</v>
      </c>
    </row>
    <row r="713" ht="27.75" customHeight="1">
      <c r="A713" s="56" t="s">
        <v>3699</v>
      </c>
      <c r="B713" s="57" t="s">
        <v>31</v>
      </c>
      <c r="C713" s="58" t="s">
        <v>3700</v>
      </c>
      <c r="D713" s="57" t="s">
        <v>945</v>
      </c>
      <c r="E713" s="59" t="s">
        <v>2953</v>
      </c>
      <c r="F713" s="57" t="str">
        <f t="shared" si="58"/>
        <v>Menipis</v>
      </c>
      <c r="G713" s="64">
        <v>2.0</v>
      </c>
      <c r="H713" s="60">
        <v>32000.0</v>
      </c>
      <c r="I713" s="60">
        <v>75000.0</v>
      </c>
      <c r="J713" s="60">
        <f t="shared" si="59"/>
        <v>43000</v>
      </c>
      <c r="K713" s="61">
        <f t="shared" si="60"/>
        <v>1.34375</v>
      </c>
    </row>
    <row r="714" ht="27.75" customHeight="1">
      <c r="A714" s="56" t="s">
        <v>3701</v>
      </c>
      <c r="B714" s="57" t="s">
        <v>31</v>
      </c>
      <c r="C714" s="58" t="s">
        <v>3702</v>
      </c>
      <c r="D714" s="57" t="s">
        <v>945</v>
      </c>
      <c r="E714" s="59" t="s">
        <v>2953</v>
      </c>
      <c r="F714" s="57" t="str">
        <f t="shared" si="58"/>
        <v>Menipis</v>
      </c>
      <c r="G714" s="64">
        <v>2.0</v>
      </c>
      <c r="H714" s="60">
        <v>32000.0</v>
      </c>
      <c r="I714" s="60">
        <v>75000.0</v>
      </c>
      <c r="J714" s="60">
        <f t="shared" si="59"/>
        <v>43000</v>
      </c>
      <c r="K714" s="61">
        <f t="shared" si="60"/>
        <v>1.34375</v>
      </c>
    </row>
    <row r="715" ht="27.75" customHeight="1">
      <c r="A715" s="56" t="s">
        <v>3703</v>
      </c>
      <c r="B715" s="57" t="s">
        <v>31</v>
      </c>
      <c r="C715" s="58" t="s">
        <v>3704</v>
      </c>
      <c r="D715" s="57" t="s">
        <v>2836</v>
      </c>
      <c r="E715" s="59" t="s">
        <v>2953</v>
      </c>
      <c r="F715" s="57" t="str">
        <f t="shared" si="58"/>
        <v>Menipis</v>
      </c>
      <c r="G715" s="64">
        <v>2.0</v>
      </c>
      <c r="H715" s="60">
        <v>32000.0</v>
      </c>
      <c r="I715" s="60">
        <v>75000.0</v>
      </c>
      <c r="J715" s="60">
        <f t="shared" si="59"/>
        <v>43000</v>
      </c>
      <c r="K715" s="61">
        <f t="shared" si="60"/>
        <v>1.34375</v>
      </c>
    </row>
    <row r="716" ht="27.75" customHeight="1">
      <c r="A716" s="56" t="s">
        <v>3705</v>
      </c>
      <c r="B716" s="57" t="s">
        <v>31</v>
      </c>
      <c r="C716" s="58" t="s">
        <v>3706</v>
      </c>
      <c r="D716" s="57" t="s">
        <v>2513</v>
      </c>
      <c r="E716" s="59" t="s">
        <v>2953</v>
      </c>
      <c r="F716" s="57" t="str">
        <f t="shared" si="58"/>
        <v>Menipis</v>
      </c>
      <c r="G716" s="64">
        <v>2.0</v>
      </c>
      <c r="H716" s="60">
        <v>32000.0</v>
      </c>
      <c r="I716" s="60">
        <v>75000.0</v>
      </c>
      <c r="J716" s="60">
        <f t="shared" si="59"/>
        <v>43000</v>
      </c>
      <c r="K716" s="61">
        <f t="shared" si="60"/>
        <v>1.34375</v>
      </c>
    </row>
    <row r="717" ht="27.75" customHeight="1">
      <c r="A717" s="56" t="s">
        <v>3707</v>
      </c>
      <c r="B717" s="57" t="s">
        <v>31</v>
      </c>
      <c r="C717" s="58" t="s">
        <v>3708</v>
      </c>
      <c r="D717" s="57" t="s">
        <v>2847</v>
      </c>
      <c r="E717" s="59" t="s">
        <v>2953</v>
      </c>
      <c r="F717" s="57" t="str">
        <f t="shared" si="58"/>
        <v>Menipis</v>
      </c>
      <c r="G717" s="64">
        <v>2.0</v>
      </c>
      <c r="H717" s="60">
        <v>32000.0</v>
      </c>
      <c r="I717" s="60">
        <v>75000.0</v>
      </c>
      <c r="J717" s="60">
        <f t="shared" si="59"/>
        <v>43000</v>
      </c>
      <c r="K717" s="61">
        <f t="shared" si="60"/>
        <v>1.34375</v>
      </c>
    </row>
    <row r="718" ht="27.75" customHeight="1">
      <c r="A718" s="56" t="s">
        <v>3709</v>
      </c>
      <c r="B718" s="57" t="s">
        <v>31</v>
      </c>
      <c r="C718" s="58" t="s">
        <v>3710</v>
      </c>
      <c r="D718" s="57" t="s">
        <v>2559</v>
      </c>
      <c r="E718" s="59" t="s">
        <v>2953</v>
      </c>
      <c r="F718" s="57" t="str">
        <f t="shared" si="58"/>
        <v>Menipis</v>
      </c>
      <c r="G718" s="64">
        <v>2.0</v>
      </c>
      <c r="H718" s="60">
        <v>32000.0</v>
      </c>
      <c r="I718" s="60">
        <v>75000.0</v>
      </c>
      <c r="J718" s="60">
        <f t="shared" si="59"/>
        <v>43000</v>
      </c>
      <c r="K718" s="61">
        <f t="shared" si="60"/>
        <v>1.34375</v>
      </c>
    </row>
    <row r="719" ht="27.75" customHeight="1">
      <c r="A719" s="56" t="s">
        <v>3711</v>
      </c>
      <c r="B719" s="57" t="s">
        <v>31</v>
      </c>
      <c r="C719" s="58" t="s">
        <v>3712</v>
      </c>
      <c r="D719" s="57" t="s">
        <v>2559</v>
      </c>
      <c r="E719" s="59" t="s">
        <v>2953</v>
      </c>
      <c r="F719" s="57" t="str">
        <f t="shared" si="58"/>
        <v>Menipis</v>
      </c>
      <c r="G719" s="64">
        <v>2.0</v>
      </c>
      <c r="H719" s="60">
        <v>32000.0</v>
      </c>
      <c r="I719" s="60">
        <v>75000.0</v>
      </c>
      <c r="J719" s="60">
        <f t="shared" si="59"/>
        <v>43000</v>
      </c>
      <c r="K719" s="61">
        <f t="shared" si="60"/>
        <v>1.34375</v>
      </c>
    </row>
    <row r="720" ht="27.75" customHeight="1">
      <c r="A720" s="56" t="s">
        <v>3713</v>
      </c>
      <c r="B720" s="57" t="s">
        <v>31</v>
      </c>
      <c r="C720" s="58" t="s">
        <v>3714</v>
      </c>
      <c r="D720" s="57" t="s">
        <v>2847</v>
      </c>
      <c r="E720" s="59" t="s">
        <v>2953</v>
      </c>
      <c r="F720" s="57" t="str">
        <f t="shared" si="58"/>
        <v>Menipis</v>
      </c>
      <c r="G720" s="64">
        <v>1.0</v>
      </c>
      <c r="H720" s="60">
        <v>32000.0</v>
      </c>
      <c r="I720" s="60">
        <v>75000.0</v>
      </c>
      <c r="J720" s="60">
        <f t="shared" si="59"/>
        <v>43000</v>
      </c>
      <c r="K720" s="61">
        <f t="shared" si="60"/>
        <v>1.34375</v>
      </c>
    </row>
    <row r="721" ht="27.75" customHeight="1">
      <c r="A721" s="56" t="s">
        <v>3715</v>
      </c>
      <c r="B721" s="57" t="s">
        <v>31</v>
      </c>
      <c r="C721" s="58" t="s">
        <v>3716</v>
      </c>
      <c r="D721" s="57" t="s">
        <v>2849</v>
      </c>
      <c r="E721" s="59" t="s">
        <v>2953</v>
      </c>
      <c r="F721" s="57" t="str">
        <f t="shared" si="58"/>
        <v>Menipis</v>
      </c>
      <c r="G721" s="64">
        <v>1.0</v>
      </c>
      <c r="H721" s="60">
        <v>32000.0</v>
      </c>
      <c r="I721" s="60">
        <v>75000.0</v>
      </c>
      <c r="J721" s="60">
        <f t="shared" si="59"/>
        <v>43000</v>
      </c>
      <c r="K721" s="61">
        <f t="shared" si="60"/>
        <v>1.34375</v>
      </c>
    </row>
    <row r="722" ht="27.75" customHeight="1">
      <c r="A722" s="56" t="s">
        <v>3717</v>
      </c>
      <c r="B722" s="57" t="s">
        <v>31</v>
      </c>
      <c r="C722" s="58" t="s">
        <v>3718</v>
      </c>
      <c r="D722" s="57" t="s">
        <v>2848</v>
      </c>
      <c r="E722" s="59" t="s">
        <v>2953</v>
      </c>
      <c r="F722" s="57" t="str">
        <f t="shared" si="58"/>
        <v>Menipis</v>
      </c>
      <c r="G722" s="64">
        <v>2.0</v>
      </c>
      <c r="H722" s="60">
        <v>32000.0</v>
      </c>
      <c r="I722" s="60">
        <v>75000.0</v>
      </c>
      <c r="J722" s="60">
        <f t="shared" si="59"/>
        <v>43000</v>
      </c>
      <c r="K722" s="61">
        <f t="shared" si="60"/>
        <v>1.34375</v>
      </c>
    </row>
    <row r="723" ht="27.75" customHeight="1">
      <c r="A723" s="244" t="s">
        <v>3719</v>
      </c>
      <c r="B723" s="57" t="s">
        <v>31</v>
      </c>
      <c r="C723" s="67" t="s">
        <v>3720</v>
      </c>
      <c r="D723" s="57" t="s">
        <v>2848</v>
      </c>
      <c r="E723" s="59" t="s">
        <v>2953</v>
      </c>
      <c r="F723" s="57" t="str">
        <f t="shared" si="58"/>
        <v>Menipis</v>
      </c>
      <c r="G723" s="64">
        <v>2.0</v>
      </c>
      <c r="H723" s="60">
        <v>32000.0</v>
      </c>
      <c r="I723" s="60">
        <v>70000.0</v>
      </c>
      <c r="J723" s="60">
        <f t="shared" si="59"/>
        <v>38000</v>
      </c>
      <c r="K723" s="61">
        <f t="shared" si="60"/>
        <v>1.1875</v>
      </c>
    </row>
    <row r="724" ht="27.75" customHeight="1">
      <c r="A724" s="56" t="s">
        <v>3721</v>
      </c>
      <c r="B724" s="57" t="s">
        <v>31</v>
      </c>
      <c r="C724" s="58" t="s">
        <v>3722</v>
      </c>
      <c r="D724" s="57" t="s">
        <v>2840</v>
      </c>
      <c r="E724" s="59" t="s">
        <v>2953</v>
      </c>
      <c r="F724" s="57" t="str">
        <f t="shared" si="58"/>
        <v>Menipis</v>
      </c>
      <c r="G724" s="64">
        <v>2.0</v>
      </c>
      <c r="H724" s="60">
        <v>32000.0</v>
      </c>
      <c r="I724" s="60">
        <v>75000.0</v>
      </c>
      <c r="J724" s="60">
        <f t="shared" si="59"/>
        <v>43000</v>
      </c>
      <c r="K724" s="61">
        <f t="shared" si="60"/>
        <v>1.34375</v>
      </c>
    </row>
    <row r="725" ht="27.75" customHeight="1">
      <c r="A725" s="56" t="s">
        <v>3723</v>
      </c>
      <c r="B725" s="57" t="s">
        <v>31</v>
      </c>
      <c r="C725" s="67" t="s">
        <v>3724</v>
      </c>
      <c r="D725" s="57" t="s">
        <v>2849</v>
      </c>
      <c r="E725" s="59" t="s">
        <v>2953</v>
      </c>
      <c r="F725" s="57" t="str">
        <f t="shared" si="58"/>
        <v>Menipis</v>
      </c>
      <c r="G725" s="64">
        <v>2.0</v>
      </c>
      <c r="H725" s="60">
        <v>32000.0</v>
      </c>
      <c r="I725" s="68">
        <v>65000.0</v>
      </c>
      <c r="J725" s="60">
        <f t="shared" si="59"/>
        <v>33000</v>
      </c>
      <c r="K725" s="61">
        <f t="shared" si="60"/>
        <v>1.03125</v>
      </c>
    </row>
    <row r="726" ht="27.75" customHeight="1">
      <c r="A726" s="56" t="s">
        <v>3725</v>
      </c>
      <c r="B726" s="57" t="s">
        <v>31</v>
      </c>
      <c r="C726" s="58" t="s">
        <v>3726</v>
      </c>
      <c r="D726" s="57" t="s">
        <v>2849</v>
      </c>
      <c r="E726" s="59" t="s">
        <v>2953</v>
      </c>
      <c r="F726" s="57" t="str">
        <f t="shared" si="58"/>
        <v>Menipis</v>
      </c>
      <c r="G726" s="64">
        <v>3.0</v>
      </c>
      <c r="H726" s="60">
        <v>32000.0</v>
      </c>
      <c r="I726" s="60">
        <v>70000.0</v>
      </c>
      <c r="J726" s="60">
        <f t="shared" si="59"/>
        <v>38000</v>
      </c>
      <c r="K726" s="61">
        <f t="shared" si="60"/>
        <v>1.1875</v>
      </c>
    </row>
    <row r="727" ht="27.75" customHeight="1">
      <c r="A727" s="56" t="s">
        <v>3727</v>
      </c>
      <c r="B727" s="57" t="s">
        <v>31</v>
      </c>
      <c r="C727" s="58" t="s">
        <v>3728</v>
      </c>
      <c r="D727" s="57" t="s">
        <v>845</v>
      </c>
      <c r="E727" s="59" t="s">
        <v>2953</v>
      </c>
      <c r="F727" s="57" t="str">
        <f t="shared" si="58"/>
        <v>Menipis</v>
      </c>
      <c r="G727" s="64">
        <v>1.0</v>
      </c>
      <c r="H727" s="60">
        <v>30000.0</v>
      </c>
      <c r="I727" s="60">
        <v>65000.0</v>
      </c>
      <c r="J727" s="60">
        <f t="shared" si="59"/>
        <v>35000</v>
      </c>
      <c r="K727" s="61">
        <f t="shared" si="60"/>
        <v>1.166666667</v>
      </c>
    </row>
    <row r="728" ht="27.75" customHeight="1">
      <c r="A728" s="56" t="s">
        <v>3729</v>
      </c>
      <c r="B728" s="57" t="s">
        <v>31</v>
      </c>
      <c r="C728" s="62" t="s">
        <v>3730</v>
      </c>
      <c r="D728" s="57" t="s">
        <v>845</v>
      </c>
      <c r="E728" s="59" t="s">
        <v>2953</v>
      </c>
      <c r="F728" s="57" t="str">
        <f t="shared" si="58"/>
        <v>Menipis</v>
      </c>
      <c r="G728" s="63">
        <v>2.0</v>
      </c>
      <c r="H728" s="60">
        <v>30000.0</v>
      </c>
      <c r="I728" s="60">
        <v>65000.0</v>
      </c>
      <c r="J728" s="60">
        <f t="shared" si="59"/>
        <v>35000</v>
      </c>
      <c r="K728" s="61">
        <f t="shared" si="60"/>
        <v>1.166666667</v>
      </c>
    </row>
    <row r="729" ht="27.75" customHeight="1">
      <c r="A729" s="56" t="s">
        <v>3731</v>
      </c>
      <c r="B729" s="57" t="s">
        <v>31</v>
      </c>
      <c r="C729" s="62" t="s">
        <v>3732</v>
      </c>
      <c r="D729" s="57" t="s">
        <v>845</v>
      </c>
      <c r="E729" s="59" t="s">
        <v>2953</v>
      </c>
      <c r="F729" s="57" t="str">
        <f t="shared" si="58"/>
        <v>Menipis</v>
      </c>
      <c r="G729" s="64">
        <v>2.0</v>
      </c>
      <c r="H729" s="60">
        <v>40000.0</v>
      </c>
      <c r="I729" s="60">
        <v>80000.0</v>
      </c>
      <c r="J729" s="60">
        <f t="shared" si="59"/>
        <v>40000</v>
      </c>
      <c r="K729" s="61">
        <f t="shared" si="60"/>
        <v>1</v>
      </c>
    </row>
    <row r="730" ht="27.75" customHeight="1">
      <c r="A730" s="56" t="s">
        <v>3733</v>
      </c>
      <c r="B730" s="57" t="s">
        <v>31</v>
      </c>
      <c r="C730" s="62" t="s">
        <v>3734</v>
      </c>
      <c r="D730" s="57" t="s">
        <v>845</v>
      </c>
      <c r="E730" s="59" t="s">
        <v>2953</v>
      </c>
      <c r="F730" s="57" t="str">
        <f t="shared" si="58"/>
        <v>Menipis</v>
      </c>
      <c r="G730" s="64">
        <v>1.0</v>
      </c>
      <c r="H730" s="60">
        <v>55000.0</v>
      </c>
      <c r="I730" s="60">
        <v>120000.0</v>
      </c>
      <c r="J730" s="60">
        <f t="shared" si="59"/>
        <v>65000</v>
      </c>
      <c r="K730" s="61">
        <f t="shared" si="60"/>
        <v>1.181818182</v>
      </c>
    </row>
    <row r="731" ht="27.75" customHeight="1">
      <c r="A731" s="56" t="s">
        <v>3735</v>
      </c>
      <c r="B731" s="57" t="s">
        <v>31</v>
      </c>
      <c r="C731" s="62" t="s">
        <v>3736</v>
      </c>
      <c r="D731" s="57" t="s">
        <v>845</v>
      </c>
      <c r="E731" s="59" t="s">
        <v>2953</v>
      </c>
      <c r="F731" s="57" t="str">
        <f t="shared" si="58"/>
        <v>Tersedia</v>
      </c>
      <c r="G731" s="64">
        <v>4.0</v>
      </c>
      <c r="H731" s="60">
        <v>27000.0</v>
      </c>
      <c r="I731" s="60">
        <v>55000.0</v>
      </c>
      <c r="J731" s="60">
        <f t="shared" si="59"/>
        <v>28000</v>
      </c>
      <c r="K731" s="61">
        <f t="shared" si="60"/>
        <v>1.037037037</v>
      </c>
    </row>
    <row r="732" ht="27.75" customHeight="1">
      <c r="A732" s="56" t="s">
        <v>3737</v>
      </c>
      <c r="B732" s="57" t="s">
        <v>31</v>
      </c>
      <c r="C732" s="62" t="s">
        <v>3738</v>
      </c>
      <c r="D732" s="57" t="s">
        <v>845</v>
      </c>
      <c r="E732" s="59" t="s">
        <v>2953</v>
      </c>
      <c r="F732" s="57" t="str">
        <f t="shared" si="58"/>
        <v>Menipis</v>
      </c>
      <c r="G732" s="64">
        <v>1.0</v>
      </c>
      <c r="H732" s="60">
        <v>50000.0</v>
      </c>
      <c r="I732" s="60">
        <v>120000.0</v>
      </c>
      <c r="J732" s="60">
        <f t="shared" si="59"/>
        <v>70000</v>
      </c>
      <c r="K732" s="61">
        <f t="shared" si="60"/>
        <v>1.4</v>
      </c>
    </row>
    <row r="733" ht="27.75" customHeight="1">
      <c r="A733" s="56" t="s">
        <v>3739</v>
      </c>
      <c r="B733" s="57" t="s">
        <v>31</v>
      </c>
      <c r="C733" s="62" t="s">
        <v>3740</v>
      </c>
      <c r="D733" s="57" t="s">
        <v>845</v>
      </c>
      <c r="E733" s="59" t="s">
        <v>2953</v>
      </c>
      <c r="F733" s="57" t="str">
        <f t="shared" si="58"/>
        <v>Menipis</v>
      </c>
      <c r="G733" s="64">
        <v>1.0</v>
      </c>
      <c r="H733" s="60">
        <v>27000.0</v>
      </c>
      <c r="I733" s="60">
        <v>60000.0</v>
      </c>
      <c r="J733" s="60">
        <f t="shared" si="59"/>
        <v>33000</v>
      </c>
      <c r="K733" s="61">
        <f t="shared" si="60"/>
        <v>1.222222222</v>
      </c>
    </row>
    <row r="734" ht="27.75" customHeight="1">
      <c r="A734" s="56" t="s">
        <v>3741</v>
      </c>
      <c r="B734" s="57" t="s">
        <v>31</v>
      </c>
      <c r="C734" s="58" t="s">
        <v>3742</v>
      </c>
      <c r="D734" s="57" t="s">
        <v>2867</v>
      </c>
      <c r="E734" s="59" t="s">
        <v>2953</v>
      </c>
      <c r="F734" s="57" t="str">
        <f t="shared" si="58"/>
        <v>Menipis</v>
      </c>
      <c r="G734" s="64">
        <v>1.0</v>
      </c>
      <c r="H734" s="60">
        <v>37500.0</v>
      </c>
      <c r="I734" s="60">
        <v>75000.0</v>
      </c>
      <c r="J734" s="60">
        <f t="shared" si="59"/>
        <v>37500</v>
      </c>
      <c r="K734" s="61">
        <f t="shared" si="60"/>
        <v>1</v>
      </c>
    </row>
    <row r="735" ht="27.75" customHeight="1">
      <c r="A735" s="56" t="s">
        <v>3743</v>
      </c>
      <c r="B735" s="57" t="s">
        <v>31</v>
      </c>
      <c r="C735" s="58" t="s">
        <v>3744</v>
      </c>
      <c r="D735" s="57" t="s">
        <v>2559</v>
      </c>
      <c r="E735" s="59" t="s">
        <v>2953</v>
      </c>
      <c r="F735" s="57" t="str">
        <f t="shared" si="58"/>
        <v>Menipis</v>
      </c>
      <c r="G735" s="64">
        <v>1.0</v>
      </c>
      <c r="H735" s="60">
        <v>35000.0</v>
      </c>
      <c r="I735" s="60">
        <v>70000.0</v>
      </c>
      <c r="J735" s="60">
        <f t="shared" si="59"/>
        <v>35000</v>
      </c>
      <c r="K735" s="61">
        <f t="shared" si="60"/>
        <v>1</v>
      </c>
    </row>
    <row r="736" ht="27.75" customHeight="1">
      <c r="A736" s="56" t="s">
        <v>3745</v>
      </c>
      <c r="B736" s="57" t="s">
        <v>31</v>
      </c>
      <c r="C736" s="58" t="s">
        <v>3746</v>
      </c>
      <c r="D736" s="57" t="s">
        <v>2559</v>
      </c>
      <c r="E736" s="59" t="s">
        <v>2953</v>
      </c>
      <c r="F736" s="57" t="str">
        <f t="shared" si="58"/>
        <v>Menipis</v>
      </c>
      <c r="G736" s="64">
        <v>2.0</v>
      </c>
      <c r="H736" s="60">
        <v>32000.0</v>
      </c>
      <c r="I736" s="60">
        <v>75000.0</v>
      </c>
      <c r="J736" s="60">
        <f t="shared" si="59"/>
        <v>43000</v>
      </c>
      <c r="K736" s="61">
        <f t="shared" si="60"/>
        <v>1.34375</v>
      </c>
    </row>
    <row r="737" ht="27.75" customHeight="1">
      <c r="A737" s="56" t="s">
        <v>3747</v>
      </c>
      <c r="B737" s="57" t="s">
        <v>31</v>
      </c>
      <c r="C737" s="58" t="s">
        <v>3748</v>
      </c>
      <c r="D737" s="57" t="s">
        <v>2848</v>
      </c>
      <c r="E737" s="59" t="s">
        <v>2953</v>
      </c>
      <c r="F737" s="57" t="str">
        <f t="shared" si="58"/>
        <v>Menipis</v>
      </c>
      <c r="G737" s="64">
        <v>2.0</v>
      </c>
      <c r="H737" s="60">
        <v>30000.0</v>
      </c>
      <c r="I737" s="60">
        <v>60000.0</v>
      </c>
      <c r="J737" s="60">
        <f t="shared" si="59"/>
        <v>30000</v>
      </c>
      <c r="K737" s="61">
        <f t="shared" si="60"/>
        <v>1</v>
      </c>
    </row>
    <row r="738" ht="27.75" customHeight="1">
      <c r="A738" s="56" t="s">
        <v>3749</v>
      </c>
      <c r="B738" s="57" t="s">
        <v>31</v>
      </c>
      <c r="C738" s="58" t="s">
        <v>3750</v>
      </c>
      <c r="D738" s="57" t="s">
        <v>2848</v>
      </c>
      <c r="E738" s="59" t="s">
        <v>2953</v>
      </c>
      <c r="F738" s="57" t="str">
        <f t="shared" si="58"/>
        <v>Menipis</v>
      </c>
      <c r="G738" s="64">
        <v>2.0</v>
      </c>
      <c r="H738" s="60">
        <v>30000.0</v>
      </c>
      <c r="I738" s="60">
        <v>60000.0</v>
      </c>
      <c r="J738" s="60">
        <f t="shared" si="59"/>
        <v>30000</v>
      </c>
      <c r="K738" s="61">
        <f t="shared" si="60"/>
        <v>1</v>
      </c>
    </row>
    <row r="739" ht="27.75" customHeight="1">
      <c r="A739" s="56" t="s">
        <v>3751</v>
      </c>
      <c r="B739" s="57" t="s">
        <v>31</v>
      </c>
      <c r="C739" s="58" t="s">
        <v>3752</v>
      </c>
      <c r="D739" s="57" t="s">
        <v>2848</v>
      </c>
      <c r="E739" s="59" t="s">
        <v>2953</v>
      </c>
      <c r="F739" s="57" t="str">
        <f t="shared" si="58"/>
        <v>Menipis</v>
      </c>
      <c r="G739" s="64">
        <v>3.0</v>
      </c>
      <c r="H739" s="60">
        <v>31000.0</v>
      </c>
      <c r="I739" s="60">
        <v>65000.0</v>
      </c>
      <c r="J739" s="60">
        <f t="shared" si="59"/>
        <v>34000</v>
      </c>
      <c r="K739" s="61">
        <f t="shared" si="60"/>
        <v>1.096774194</v>
      </c>
    </row>
    <row r="740" ht="27.75" customHeight="1">
      <c r="A740" s="56" t="s">
        <v>3753</v>
      </c>
      <c r="B740" s="57" t="s">
        <v>31</v>
      </c>
      <c r="C740" s="58" t="s">
        <v>3754</v>
      </c>
      <c r="D740" s="57" t="s">
        <v>2847</v>
      </c>
      <c r="E740" s="59" t="s">
        <v>2953</v>
      </c>
      <c r="F740" s="57" t="str">
        <f t="shared" si="58"/>
        <v>Menipis</v>
      </c>
      <c r="G740" s="64">
        <v>2.0</v>
      </c>
      <c r="H740" s="60">
        <v>30000.0</v>
      </c>
      <c r="I740" s="60">
        <v>60000.0</v>
      </c>
      <c r="J740" s="60">
        <f t="shared" si="59"/>
        <v>30000</v>
      </c>
      <c r="K740" s="61">
        <f t="shared" si="60"/>
        <v>1</v>
      </c>
    </row>
    <row r="741" ht="27.75" customHeight="1">
      <c r="A741" s="56" t="s">
        <v>3755</v>
      </c>
      <c r="B741" s="57" t="s">
        <v>31</v>
      </c>
      <c r="C741" s="58" t="s">
        <v>3756</v>
      </c>
      <c r="D741" s="57" t="s">
        <v>2513</v>
      </c>
      <c r="E741" s="59" t="s">
        <v>2953</v>
      </c>
      <c r="F741" s="57" t="str">
        <f t="shared" si="58"/>
        <v>Menipis</v>
      </c>
      <c r="G741" s="64">
        <v>1.0</v>
      </c>
      <c r="H741" s="60">
        <v>30000.0</v>
      </c>
      <c r="I741" s="60">
        <v>65000.0</v>
      </c>
      <c r="J741" s="60">
        <f t="shared" si="59"/>
        <v>35000</v>
      </c>
      <c r="K741" s="61">
        <f t="shared" si="60"/>
        <v>1.166666667</v>
      </c>
    </row>
    <row r="742" ht="27.75" customHeight="1">
      <c r="A742" s="56" t="s">
        <v>3757</v>
      </c>
      <c r="B742" s="57" t="s">
        <v>31</v>
      </c>
      <c r="C742" s="58" t="s">
        <v>3758</v>
      </c>
      <c r="D742" s="57" t="s">
        <v>2513</v>
      </c>
      <c r="E742" s="59" t="s">
        <v>2953</v>
      </c>
      <c r="F742" s="57" t="str">
        <f t="shared" si="58"/>
        <v>Menipis</v>
      </c>
      <c r="G742" s="64">
        <v>1.0</v>
      </c>
      <c r="H742" s="60">
        <v>32000.0</v>
      </c>
      <c r="I742" s="60">
        <v>65000.0</v>
      </c>
      <c r="J742" s="60">
        <f t="shared" si="59"/>
        <v>33000</v>
      </c>
      <c r="K742" s="61">
        <f t="shared" si="60"/>
        <v>1.03125</v>
      </c>
    </row>
    <row r="743" ht="27.75" customHeight="1">
      <c r="A743" s="56" t="s">
        <v>3759</v>
      </c>
      <c r="B743" s="57" t="s">
        <v>31</v>
      </c>
      <c r="C743" s="58" t="s">
        <v>3760</v>
      </c>
      <c r="D743" s="57" t="s">
        <v>2513</v>
      </c>
      <c r="E743" s="59" t="s">
        <v>2953</v>
      </c>
      <c r="F743" s="57" t="str">
        <f t="shared" si="58"/>
        <v>Habis</v>
      </c>
      <c r="G743" s="63">
        <v>0.0</v>
      </c>
      <c r="H743" s="60">
        <v>32000.0</v>
      </c>
      <c r="I743" s="60">
        <v>65000.0</v>
      </c>
      <c r="J743" s="60">
        <f t="shared" si="59"/>
        <v>33000</v>
      </c>
      <c r="K743" s="61">
        <f t="shared" si="60"/>
        <v>1.03125</v>
      </c>
    </row>
    <row r="744" ht="27.75" customHeight="1">
      <c r="A744" s="56" t="s">
        <v>3761</v>
      </c>
      <c r="B744" s="57" t="s">
        <v>31</v>
      </c>
      <c r="C744" s="58" t="s">
        <v>3762</v>
      </c>
      <c r="D744" s="57" t="s">
        <v>2513</v>
      </c>
      <c r="E744" s="59" t="s">
        <v>2953</v>
      </c>
      <c r="F744" s="57" t="str">
        <f t="shared" si="58"/>
        <v>Menipis</v>
      </c>
      <c r="G744" s="64">
        <v>1.0</v>
      </c>
      <c r="H744" s="60">
        <v>30000.0</v>
      </c>
      <c r="I744" s="60">
        <v>60000.0</v>
      </c>
      <c r="J744" s="60">
        <f t="shared" si="59"/>
        <v>30000</v>
      </c>
      <c r="K744" s="61">
        <f t="shared" si="60"/>
        <v>1</v>
      </c>
    </row>
    <row r="745" ht="27.75" customHeight="1">
      <c r="A745" s="56" t="s">
        <v>3763</v>
      </c>
      <c r="B745" s="57" t="s">
        <v>31</v>
      </c>
      <c r="C745" s="58" t="s">
        <v>3764</v>
      </c>
      <c r="D745" s="57" t="s">
        <v>2513</v>
      </c>
      <c r="E745" s="59" t="s">
        <v>2953</v>
      </c>
      <c r="F745" s="57" t="str">
        <f t="shared" si="58"/>
        <v>Menipis</v>
      </c>
      <c r="G745" s="64">
        <v>2.0</v>
      </c>
      <c r="H745" s="60">
        <v>25000.0</v>
      </c>
      <c r="I745" s="60">
        <v>55000.0</v>
      </c>
      <c r="J745" s="60">
        <f t="shared" si="59"/>
        <v>30000</v>
      </c>
      <c r="K745" s="61">
        <f t="shared" si="60"/>
        <v>1.2</v>
      </c>
    </row>
    <row r="746" ht="27.75" customHeight="1">
      <c r="A746" s="56" t="s">
        <v>3765</v>
      </c>
      <c r="B746" s="57" t="s">
        <v>31</v>
      </c>
      <c r="C746" s="58" t="s">
        <v>3766</v>
      </c>
      <c r="D746" s="57" t="s">
        <v>2513</v>
      </c>
      <c r="E746" s="59" t="s">
        <v>2953</v>
      </c>
      <c r="F746" s="57" t="str">
        <f t="shared" si="58"/>
        <v>Menipis</v>
      </c>
      <c r="G746" s="64">
        <v>2.0</v>
      </c>
      <c r="H746" s="60">
        <v>30000.0</v>
      </c>
      <c r="I746" s="60">
        <v>60000.0</v>
      </c>
      <c r="J746" s="60">
        <f t="shared" si="59"/>
        <v>30000</v>
      </c>
      <c r="K746" s="61">
        <f t="shared" si="60"/>
        <v>1</v>
      </c>
    </row>
    <row r="747" ht="27.75" customHeight="1">
      <c r="A747" s="56" t="s">
        <v>3767</v>
      </c>
      <c r="B747" s="57" t="s">
        <v>31</v>
      </c>
      <c r="C747" s="58" t="s">
        <v>3768</v>
      </c>
      <c r="D747" s="57" t="s">
        <v>2513</v>
      </c>
      <c r="E747" s="59" t="s">
        <v>2953</v>
      </c>
      <c r="F747" s="57" t="str">
        <f t="shared" si="58"/>
        <v>Menipis</v>
      </c>
      <c r="G747" s="64">
        <v>2.0</v>
      </c>
      <c r="H747" s="60">
        <v>32000.0</v>
      </c>
      <c r="I747" s="60">
        <v>65000.0</v>
      </c>
      <c r="J747" s="60">
        <f t="shared" si="59"/>
        <v>33000</v>
      </c>
      <c r="K747" s="61">
        <f t="shared" si="60"/>
        <v>1.03125</v>
      </c>
    </row>
    <row r="748" ht="27.75" customHeight="1">
      <c r="A748" s="56" t="s">
        <v>3769</v>
      </c>
      <c r="B748" s="57" t="s">
        <v>31</v>
      </c>
      <c r="C748" s="58" t="s">
        <v>3770</v>
      </c>
      <c r="D748" s="57" t="s">
        <v>2513</v>
      </c>
      <c r="E748" s="59" t="s">
        <v>2953</v>
      </c>
      <c r="F748" s="57" t="str">
        <f t="shared" si="58"/>
        <v>Menipis</v>
      </c>
      <c r="G748" s="64">
        <v>2.0</v>
      </c>
      <c r="H748" s="60">
        <v>30000.0</v>
      </c>
      <c r="I748" s="60">
        <v>60000.0</v>
      </c>
      <c r="J748" s="60">
        <f t="shared" si="59"/>
        <v>30000</v>
      </c>
      <c r="K748" s="61">
        <f t="shared" si="60"/>
        <v>1</v>
      </c>
    </row>
    <row r="749" ht="27.75" customHeight="1">
      <c r="A749" s="56" t="s">
        <v>3771</v>
      </c>
      <c r="B749" s="57" t="s">
        <v>31</v>
      </c>
      <c r="C749" s="58" t="s">
        <v>3772</v>
      </c>
      <c r="D749" s="57" t="s">
        <v>2513</v>
      </c>
      <c r="E749" s="59" t="s">
        <v>2953</v>
      </c>
      <c r="F749" s="57" t="str">
        <f t="shared" si="58"/>
        <v>Menipis</v>
      </c>
      <c r="G749" s="64">
        <v>1.0</v>
      </c>
      <c r="H749" s="60">
        <v>32000.0</v>
      </c>
      <c r="I749" s="60">
        <v>65000.0</v>
      </c>
      <c r="J749" s="60">
        <f t="shared" si="59"/>
        <v>33000</v>
      </c>
      <c r="K749" s="61">
        <f t="shared" si="60"/>
        <v>1.03125</v>
      </c>
    </row>
    <row r="750" ht="27.75" customHeight="1">
      <c r="A750" s="56" t="s">
        <v>3773</v>
      </c>
      <c r="B750" s="57" t="s">
        <v>31</v>
      </c>
      <c r="C750" s="245" t="s">
        <v>3774</v>
      </c>
      <c r="D750" s="57" t="s">
        <v>2848</v>
      </c>
      <c r="E750" s="59" t="s">
        <v>2953</v>
      </c>
      <c r="F750" s="57" t="str">
        <f t="shared" si="58"/>
        <v>Menipis</v>
      </c>
      <c r="G750" s="64">
        <v>1.0</v>
      </c>
      <c r="H750" s="60">
        <v>30000.0</v>
      </c>
      <c r="I750" s="60">
        <v>60000.0</v>
      </c>
      <c r="J750" s="60">
        <f t="shared" si="59"/>
        <v>30000</v>
      </c>
      <c r="K750" s="61">
        <f t="shared" si="60"/>
        <v>1</v>
      </c>
    </row>
    <row r="751" ht="27.75" customHeight="1">
      <c r="A751" s="56" t="s">
        <v>3775</v>
      </c>
      <c r="B751" s="57" t="s">
        <v>31</v>
      </c>
      <c r="C751" s="58" t="s">
        <v>3776</v>
      </c>
      <c r="D751" s="57" t="s">
        <v>2513</v>
      </c>
      <c r="E751" s="59" t="s">
        <v>2953</v>
      </c>
      <c r="F751" s="57" t="str">
        <f t="shared" si="58"/>
        <v>Habis</v>
      </c>
      <c r="G751" s="64">
        <v>0.0</v>
      </c>
      <c r="H751" s="60">
        <v>35000.0</v>
      </c>
      <c r="I751" s="60">
        <v>70000.0</v>
      </c>
      <c r="J751" s="60">
        <f t="shared" si="59"/>
        <v>35000</v>
      </c>
      <c r="K751" s="61">
        <f t="shared" si="60"/>
        <v>1</v>
      </c>
    </row>
    <row r="752" ht="27.75" customHeight="1">
      <c r="A752" s="56" t="s">
        <v>3777</v>
      </c>
      <c r="B752" s="57" t="s">
        <v>31</v>
      </c>
      <c r="C752" s="58" t="s">
        <v>3778</v>
      </c>
      <c r="D752" s="57" t="s">
        <v>2513</v>
      </c>
      <c r="E752" s="59" t="s">
        <v>2953</v>
      </c>
      <c r="F752" s="57" t="str">
        <f t="shared" si="58"/>
        <v>Menipis</v>
      </c>
      <c r="G752" s="64">
        <v>1.0</v>
      </c>
      <c r="H752" s="60">
        <v>32000.0</v>
      </c>
      <c r="I752" s="60">
        <v>65000.0</v>
      </c>
      <c r="J752" s="60">
        <f t="shared" si="59"/>
        <v>33000</v>
      </c>
      <c r="K752" s="61">
        <f t="shared" si="60"/>
        <v>1.03125</v>
      </c>
    </row>
    <row r="753" ht="27.75" customHeight="1">
      <c r="A753" s="56" t="s">
        <v>3779</v>
      </c>
      <c r="B753" s="57" t="s">
        <v>31</v>
      </c>
      <c r="C753" s="58" t="s">
        <v>3780</v>
      </c>
      <c r="D753" s="57" t="s">
        <v>2513</v>
      </c>
      <c r="E753" s="59" t="s">
        <v>2953</v>
      </c>
      <c r="F753" s="57" t="str">
        <f t="shared" si="58"/>
        <v>Menipis</v>
      </c>
      <c r="G753" s="64">
        <v>1.0</v>
      </c>
      <c r="H753" s="60">
        <v>30000.0</v>
      </c>
      <c r="I753" s="60">
        <v>60000.0</v>
      </c>
      <c r="J753" s="60">
        <f t="shared" si="59"/>
        <v>30000</v>
      </c>
      <c r="K753" s="61">
        <f t="shared" si="60"/>
        <v>1</v>
      </c>
    </row>
    <row r="754" ht="27.75" customHeight="1">
      <c r="A754" s="56" t="s">
        <v>3781</v>
      </c>
      <c r="B754" s="57" t="s">
        <v>31</v>
      </c>
      <c r="C754" s="58" t="s">
        <v>3782</v>
      </c>
      <c r="D754" s="57" t="s">
        <v>2513</v>
      </c>
      <c r="E754" s="59" t="s">
        <v>2953</v>
      </c>
      <c r="F754" s="57" t="str">
        <f t="shared" si="58"/>
        <v>Menipis</v>
      </c>
      <c r="G754" s="64">
        <v>1.0</v>
      </c>
      <c r="H754" s="60">
        <v>31000.0</v>
      </c>
      <c r="I754" s="60">
        <v>65000.0</v>
      </c>
      <c r="J754" s="60">
        <f t="shared" si="59"/>
        <v>34000</v>
      </c>
      <c r="K754" s="61">
        <f t="shared" si="60"/>
        <v>1.096774194</v>
      </c>
    </row>
    <row r="755" ht="27.75" customHeight="1">
      <c r="A755" s="56" t="s">
        <v>3783</v>
      </c>
      <c r="B755" s="57" t="s">
        <v>31</v>
      </c>
      <c r="C755" s="58" t="s">
        <v>3784</v>
      </c>
      <c r="D755" s="57" t="s">
        <v>2513</v>
      </c>
      <c r="E755" s="59" t="s">
        <v>2953</v>
      </c>
      <c r="F755" s="57" t="str">
        <f t="shared" si="58"/>
        <v>Menipis</v>
      </c>
      <c r="G755" s="64">
        <v>2.0</v>
      </c>
      <c r="H755" s="60">
        <v>28500.0</v>
      </c>
      <c r="I755" s="60">
        <v>65000.0</v>
      </c>
      <c r="J755" s="60">
        <f t="shared" si="59"/>
        <v>36500</v>
      </c>
      <c r="K755" s="61">
        <f t="shared" si="60"/>
        <v>1.280701754</v>
      </c>
    </row>
    <row r="756" ht="27.75" customHeight="1">
      <c r="A756" s="56" t="s">
        <v>3785</v>
      </c>
      <c r="B756" s="57" t="s">
        <v>31</v>
      </c>
      <c r="C756" s="58" t="s">
        <v>3786</v>
      </c>
      <c r="D756" s="57" t="s">
        <v>2836</v>
      </c>
      <c r="E756" s="59" t="s">
        <v>2953</v>
      </c>
      <c r="F756" s="57" t="str">
        <f t="shared" si="58"/>
        <v>Menipis</v>
      </c>
      <c r="G756" s="64">
        <v>1.0</v>
      </c>
      <c r="H756" s="60">
        <v>30000.0</v>
      </c>
      <c r="I756" s="60">
        <v>60000.0</v>
      </c>
      <c r="J756" s="60">
        <f t="shared" si="59"/>
        <v>30000</v>
      </c>
      <c r="K756" s="61">
        <f t="shared" si="60"/>
        <v>1</v>
      </c>
    </row>
    <row r="757" ht="27.75" customHeight="1">
      <c r="A757" s="56" t="s">
        <v>3787</v>
      </c>
      <c r="B757" s="57" t="s">
        <v>31</v>
      </c>
      <c r="C757" s="58" t="s">
        <v>3788</v>
      </c>
      <c r="D757" s="57" t="s">
        <v>1093</v>
      </c>
      <c r="E757" s="59" t="s">
        <v>2953</v>
      </c>
      <c r="F757" s="57" t="str">
        <f t="shared" si="58"/>
        <v>Menipis</v>
      </c>
      <c r="G757" s="64">
        <v>2.0</v>
      </c>
      <c r="H757" s="60">
        <v>29000.0</v>
      </c>
      <c r="I757" s="60">
        <v>60000.0</v>
      </c>
      <c r="J757" s="60">
        <f t="shared" si="59"/>
        <v>31000</v>
      </c>
      <c r="K757" s="61">
        <f t="shared" si="60"/>
        <v>1.068965517</v>
      </c>
    </row>
    <row r="758" ht="27.75" customHeight="1">
      <c r="A758" s="56" t="s">
        <v>3789</v>
      </c>
      <c r="B758" s="57" t="s">
        <v>31</v>
      </c>
      <c r="C758" s="58" t="s">
        <v>3790</v>
      </c>
      <c r="D758" s="57" t="s">
        <v>1093</v>
      </c>
      <c r="E758" s="59" t="s">
        <v>2953</v>
      </c>
      <c r="F758" s="57" t="str">
        <f t="shared" si="58"/>
        <v>Menipis</v>
      </c>
      <c r="G758" s="64">
        <v>2.0</v>
      </c>
      <c r="H758" s="60">
        <v>30000.0</v>
      </c>
      <c r="I758" s="60">
        <v>65000.0</v>
      </c>
      <c r="J758" s="60">
        <f t="shared" si="59"/>
        <v>35000</v>
      </c>
      <c r="K758" s="61">
        <f t="shared" si="60"/>
        <v>1.166666667</v>
      </c>
    </row>
    <row r="759" ht="27.75" customHeight="1">
      <c r="A759" s="56" t="s">
        <v>3791</v>
      </c>
      <c r="B759" s="57" t="s">
        <v>31</v>
      </c>
      <c r="C759" s="58" t="s">
        <v>3792</v>
      </c>
      <c r="D759" s="57" t="s">
        <v>2849</v>
      </c>
      <c r="E759" s="59" t="s">
        <v>2953</v>
      </c>
      <c r="F759" s="57" t="str">
        <f t="shared" si="58"/>
        <v>Menipis</v>
      </c>
      <c r="G759" s="63">
        <v>1.0</v>
      </c>
      <c r="H759" s="60">
        <v>32000.0</v>
      </c>
      <c r="I759" s="60">
        <v>75000.0</v>
      </c>
      <c r="J759" s="60">
        <f t="shared" si="59"/>
        <v>43000</v>
      </c>
      <c r="K759" s="61">
        <f t="shared" si="60"/>
        <v>1.34375</v>
      </c>
    </row>
    <row r="760" ht="27.75" customHeight="1">
      <c r="A760" s="56" t="s">
        <v>3793</v>
      </c>
      <c r="B760" s="57" t="s">
        <v>31</v>
      </c>
      <c r="C760" s="58" t="s">
        <v>3794</v>
      </c>
      <c r="D760" s="57" t="s">
        <v>945</v>
      </c>
      <c r="E760" s="59" t="s">
        <v>2953</v>
      </c>
      <c r="F760" s="57" t="str">
        <f t="shared" si="58"/>
        <v>Menipis</v>
      </c>
      <c r="G760" s="64">
        <v>2.0</v>
      </c>
      <c r="H760" s="60">
        <v>35000.0</v>
      </c>
      <c r="I760" s="60">
        <v>75000.0</v>
      </c>
      <c r="J760" s="60">
        <f t="shared" si="59"/>
        <v>40000</v>
      </c>
      <c r="K760" s="61">
        <f t="shared" si="60"/>
        <v>1.142857143</v>
      </c>
    </row>
    <row r="761" ht="27.75" customHeight="1">
      <c r="A761" s="56" t="s">
        <v>3795</v>
      </c>
      <c r="B761" s="57" t="s">
        <v>31</v>
      </c>
      <c r="C761" s="58" t="s">
        <v>3796</v>
      </c>
      <c r="D761" s="57" t="s">
        <v>2863</v>
      </c>
      <c r="E761" s="59" t="s">
        <v>2953</v>
      </c>
      <c r="F761" s="57" t="str">
        <f t="shared" si="58"/>
        <v>Habis</v>
      </c>
      <c r="G761" s="64">
        <v>0.0</v>
      </c>
      <c r="H761" s="60">
        <v>26000.0</v>
      </c>
      <c r="I761" s="60">
        <v>55000.0</v>
      </c>
      <c r="J761" s="60">
        <f t="shared" si="59"/>
        <v>29000</v>
      </c>
      <c r="K761" s="61">
        <f t="shared" si="60"/>
        <v>1.115384615</v>
      </c>
    </row>
    <row r="762" ht="27.75" customHeight="1">
      <c r="A762" s="56" t="s">
        <v>3797</v>
      </c>
      <c r="B762" s="57" t="s">
        <v>31</v>
      </c>
      <c r="C762" s="58" t="s">
        <v>3798</v>
      </c>
      <c r="D762" s="57" t="s">
        <v>2853</v>
      </c>
      <c r="E762" s="59" t="s">
        <v>2953</v>
      </c>
      <c r="F762" s="57" t="str">
        <f t="shared" si="58"/>
        <v>Habis</v>
      </c>
      <c r="G762" s="64">
        <v>0.0</v>
      </c>
      <c r="H762" s="60">
        <v>28500.0</v>
      </c>
      <c r="I762" s="60">
        <v>60000.0</v>
      </c>
      <c r="J762" s="60">
        <f t="shared" si="59"/>
        <v>31500</v>
      </c>
      <c r="K762" s="61">
        <f t="shared" si="60"/>
        <v>1.105263158</v>
      </c>
    </row>
    <row r="763" ht="27.75" customHeight="1">
      <c r="A763" s="56" t="s">
        <v>3799</v>
      </c>
      <c r="B763" s="57" t="s">
        <v>31</v>
      </c>
      <c r="C763" s="58" t="s">
        <v>3800</v>
      </c>
      <c r="D763" s="57" t="s">
        <v>2853</v>
      </c>
      <c r="E763" s="59" t="s">
        <v>2953</v>
      </c>
      <c r="F763" s="57" t="str">
        <f t="shared" si="58"/>
        <v>Habis</v>
      </c>
      <c r="G763" s="64">
        <v>0.0</v>
      </c>
      <c r="H763" s="60">
        <v>24000.0</v>
      </c>
      <c r="I763" s="60">
        <v>50000.0</v>
      </c>
      <c r="J763" s="60">
        <f t="shared" si="59"/>
        <v>26000</v>
      </c>
      <c r="K763" s="61">
        <f t="shared" si="60"/>
        <v>1.083333333</v>
      </c>
    </row>
    <row r="764" ht="27.75" customHeight="1">
      <c r="A764" s="56" t="s">
        <v>3801</v>
      </c>
      <c r="B764" s="57" t="s">
        <v>31</v>
      </c>
      <c r="C764" s="58" t="s">
        <v>3802</v>
      </c>
      <c r="D764" s="57" t="s">
        <v>845</v>
      </c>
      <c r="E764" s="59" t="s">
        <v>2953</v>
      </c>
      <c r="F764" s="57" t="str">
        <f t="shared" si="58"/>
        <v>Habis</v>
      </c>
      <c r="G764" s="64">
        <v>0.0</v>
      </c>
      <c r="H764" s="60">
        <v>55000.0</v>
      </c>
      <c r="I764" s="60">
        <v>110000.0</v>
      </c>
      <c r="J764" s="60">
        <f t="shared" si="59"/>
        <v>55000</v>
      </c>
      <c r="K764" s="61">
        <f t="shared" si="60"/>
        <v>1</v>
      </c>
    </row>
    <row r="765" ht="27.75" customHeight="1">
      <c r="A765" s="56" t="s">
        <v>3803</v>
      </c>
      <c r="B765" s="57" t="s">
        <v>31</v>
      </c>
      <c r="C765" s="58" t="s">
        <v>3804</v>
      </c>
      <c r="D765" s="57" t="s">
        <v>1093</v>
      </c>
      <c r="E765" s="59" t="s">
        <v>2953</v>
      </c>
      <c r="F765" s="57" t="str">
        <f t="shared" si="58"/>
        <v>Habis</v>
      </c>
      <c r="G765" s="64">
        <v>0.0</v>
      </c>
      <c r="H765" s="60">
        <v>28500.0</v>
      </c>
      <c r="I765" s="60">
        <v>60000.0</v>
      </c>
      <c r="J765" s="60">
        <f t="shared" si="59"/>
        <v>31500</v>
      </c>
      <c r="K765" s="61">
        <f t="shared" si="60"/>
        <v>1.105263158</v>
      </c>
    </row>
    <row r="766" ht="27.75" customHeight="1">
      <c r="A766" s="56" t="s">
        <v>3805</v>
      </c>
      <c r="B766" s="57" t="s">
        <v>31</v>
      </c>
      <c r="C766" s="58" t="s">
        <v>3806</v>
      </c>
      <c r="D766" s="57" t="s">
        <v>1093</v>
      </c>
      <c r="E766" s="59" t="s">
        <v>2953</v>
      </c>
      <c r="F766" s="57" t="str">
        <f t="shared" si="58"/>
        <v>Habis</v>
      </c>
      <c r="G766" s="64">
        <v>0.0</v>
      </c>
      <c r="H766" s="60">
        <v>27500.0</v>
      </c>
      <c r="I766" s="60">
        <v>55000.0</v>
      </c>
      <c r="J766" s="60">
        <f t="shared" si="59"/>
        <v>27500</v>
      </c>
      <c r="K766" s="61">
        <f t="shared" si="60"/>
        <v>1</v>
      </c>
    </row>
    <row r="767" ht="27.75" customHeight="1">
      <c r="A767" s="56" t="s">
        <v>3807</v>
      </c>
      <c r="B767" s="57" t="s">
        <v>31</v>
      </c>
      <c r="C767" s="58" t="s">
        <v>3808</v>
      </c>
      <c r="D767" s="57" t="s">
        <v>2853</v>
      </c>
      <c r="E767" s="59" t="s">
        <v>2953</v>
      </c>
      <c r="F767" s="57" t="str">
        <f t="shared" si="58"/>
        <v>Habis</v>
      </c>
      <c r="G767" s="64">
        <v>0.0</v>
      </c>
      <c r="H767" s="60">
        <v>40000.0</v>
      </c>
      <c r="I767" s="60">
        <v>80000.0</v>
      </c>
      <c r="J767" s="60">
        <f t="shared" si="59"/>
        <v>40000</v>
      </c>
      <c r="K767" s="61">
        <f t="shared" si="60"/>
        <v>1</v>
      </c>
    </row>
    <row r="768" ht="27.75" customHeight="1">
      <c r="A768" s="56" t="s">
        <v>3809</v>
      </c>
      <c r="B768" s="57" t="s">
        <v>31</v>
      </c>
      <c r="C768" s="58" t="s">
        <v>3810</v>
      </c>
      <c r="D768" s="57" t="s">
        <v>845</v>
      </c>
      <c r="E768" s="59" t="s">
        <v>2953</v>
      </c>
      <c r="F768" s="57" t="str">
        <f t="shared" si="58"/>
        <v>Habis</v>
      </c>
      <c r="G768" s="64">
        <v>0.0</v>
      </c>
      <c r="H768" s="60">
        <v>27500.0</v>
      </c>
      <c r="I768" s="60">
        <v>55000.0</v>
      </c>
      <c r="J768" s="60">
        <f t="shared" si="59"/>
        <v>27500</v>
      </c>
      <c r="K768" s="61">
        <f t="shared" si="60"/>
        <v>1</v>
      </c>
    </row>
    <row r="769" ht="27.75" customHeight="1">
      <c r="A769" s="56" t="s">
        <v>3811</v>
      </c>
      <c r="B769" s="57" t="s">
        <v>31</v>
      </c>
      <c r="C769" s="58" t="s">
        <v>3812</v>
      </c>
      <c r="D769" s="57" t="s">
        <v>2559</v>
      </c>
      <c r="E769" s="59" t="s">
        <v>2953</v>
      </c>
      <c r="F769" s="57" t="str">
        <f t="shared" si="58"/>
        <v>Habis</v>
      </c>
      <c r="G769" s="64">
        <v>0.0</v>
      </c>
      <c r="H769" s="60">
        <v>26000.0</v>
      </c>
      <c r="I769" s="60">
        <v>52000.0</v>
      </c>
      <c r="J769" s="60">
        <f t="shared" si="59"/>
        <v>26000</v>
      </c>
      <c r="K769" s="61">
        <f t="shared" si="60"/>
        <v>1</v>
      </c>
    </row>
    <row r="770" ht="27.75" customHeight="1">
      <c r="A770" s="56" t="s">
        <v>3813</v>
      </c>
      <c r="B770" s="57" t="s">
        <v>31</v>
      </c>
      <c r="C770" s="58" t="s">
        <v>3814</v>
      </c>
      <c r="D770" s="57" t="s">
        <v>2559</v>
      </c>
      <c r="E770" s="59" t="s">
        <v>2953</v>
      </c>
      <c r="F770" s="57" t="str">
        <f t="shared" si="58"/>
        <v>Habis</v>
      </c>
      <c r="G770" s="64">
        <v>0.0</v>
      </c>
      <c r="H770" s="60">
        <v>25000.0</v>
      </c>
      <c r="I770" s="60">
        <v>50000.0</v>
      </c>
      <c r="J770" s="60">
        <f t="shared" si="59"/>
        <v>25000</v>
      </c>
      <c r="K770" s="61">
        <f t="shared" si="60"/>
        <v>1</v>
      </c>
    </row>
    <row r="771" ht="27.75" customHeight="1">
      <c r="A771" s="56" t="s">
        <v>3815</v>
      </c>
      <c r="B771" s="57" t="s">
        <v>31</v>
      </c>
      <c r="C771" s="58" t="s">
        <v>3816</v>
      </c>
      <c r="D771" s="57" t="s">
        <v>2559</v>
      </c>
      <c r="E771" s="59" t="s">
        <v>2953</v>
      </c>
      <c r="F771" s="57" t="str">
        <f t="shared" si="58"/>
        <v>Habis</v>
      </c>
      <c r="G771" s="64">
        <v>0.0</v>
      </c>
      <c r="H771" s="60">
        <v>26000.0</v>
      </c>
      <c r="I771" s="60">
        <v>52000.0</v>
      </c>
      <c r="J771" s="60">
        <f t="shared" si="59"/>
        <v>26000</v>
      </c>
      <c r="K771" s="61">
        <f t="shared" si="60"/>
        <v>1</v>
      </c>
    </row>
    <row r="772" ht="27.75" customHeight="1">
      <c r="A772" s="56" t="s">
        <v>3817</v>
      </c>
      <c r="B772" s="57" t="s">
        <v>31</v>
      </c>
      <c r="C772" s="58" t="s">
        <v>3818</v>
      </c>
      <c r="D772" s="57" t="s">
        <v>2559</v>
      </c>
      <c r="E772" s="59" t="s">
        <v>2953</v>
      </c>
      <c r="F772" s="57" t="str">
        <f t="shared" si="58"/>
        <v>Habis</v>
      </c>
      <c r="G772" s="64">
        <v>0.0</v>
      </c>
      <c r="H772" s="60">
        <v>25000.0</v>
      </c>
      <c r="I772" s="60">
        <v>50000.0</v>
      </c>
      <c r="J772" s="60">
        <f t="shared" si="59"/>
        <v>25000</v>
      </c>
      <c r="K772" s="61">
        <f t="shared" si="60"/>
        <v>1</v>
      </c>
    </row>
    <row r="773" ht="27.75" customHeight="1">
      <c r="A773" s="56" t="s">
        <v>3819</v>
      </c>
      <c r="B773" s="57" t="s">
        <v>31</v>
      </c>
      <c r="C773" s="58" t="s">
        <v>3820</v>
      </c>
      <c r="D773" s="57" t="s">
        <v>2867</v>
      </c>
      <c r="E773" s="59" t="s">
        <v>2953</v>
      </c>
      <c r="F773" s="57" t="str">
        <f t="shared" si="58"/>
        <v>Habis</v>
      </c>
      <c r="G773" s="64">
        <v>0.0</v>
      </c>
      <c r="H773" s="60">
        <v>37500.0</v>
      </c>
      <c r="I773" s="60">
        <v>75000.0</v>
      </c>
      <c r="J773" s="60">
        <f t="shared" si="59"/>
        <v>37500</v>
      </c>
      <c r="K773" s="61">
        <f t="shared" si="60"/>
        <v>1</v>
      </c>
    </row>
    <row r="774" ht="27.75" customHeight="1">
      <c r="A774" s="56" t="s">
        <v>3821</v>
      </c>
      <c r="B774" s="57" t="s">
        <v>31</v>
      </c>
      <c r="C774" s="58" t="s">
        <v>3822</v>
      </c>
      <c r="D774" s="57" t="s">
        <v>2867</v>
      </c>
      <c r="E774" s="59" t="s">
        <v>2953</v>
      </c>
      <c r="F774" s="57" t="str">
        <f t="shared" si="58"/>
        <v>Habis</v>
      </c>
      <c r="G774" s="64">
        <v>0.0</v>
      </c>
      <c r="H774" s="60">
        <v>26000.0</v>
      </c>
      <c r="I774" s="60">
        <v>52000.0</v>
      </c>
      <c r="J774" s="60">
        <f t="shared" si="59"/>
        <v>26000</v>
      </c>
      <c r="K774" s="61">
        <f t="shared" si="60"/>
        <v>1</v>
      </c>
    </row>
    <row r="775" ht="27.75" customHeight="1">
      <c r="A775" s="56" t="s">
        <v>3823</v>
      </c>
      <c r="B775" s="57" t="s">
        <v>31</v>
      </c>
      <c r="C775" s="58" t="s">
        <v>3824</v>
      </c>
      <c r="D775" s="57" t="s">
        <v>2867</v>
      </c>
      <c r="E775" s="59" t="s">
        <v>2953</v>
      </c>
      <c r="F775" s="57" t="str">
        <f t="shared" si="58"/>
        <v>Habis</v>
      </c>
      <c r="G775" s="64">
        <v>0.0</v>
      </c>
      <c r="H775" s="60">
        <v>25000.0</v>
      </c>
      <c r="I775" s="60">
        <v>50000.0</v>
      </c>
      <c r="J775" s="60">
        <f t="shared" si="59"/>
        <v>25000</v>
      </c>
      <c r="K775" s="61">
        <f t="shared" si="60"/>
        <v>1</v>
      </c>
    </row>
    <row r="776" ht="27.75" customHeight="1">
      <c r="A776" s="56" t="s">
        <v>3825</v>
      </c>
      <c r="B776" s="57" t="s">
        <v>31</v>
      </c>
      <c r="C776" s="58" t="s">
        <v>3826</v>
      </c>
      <c r="D776" s="57" t="s">
        <v>2867</v>
      </c>
      <c r="E776" s="59" t="s">
        <v>2953</v>
      </c>
      <c r="F776" s="57" t="str">
        <f t="shared" si="58"/>
        <v>Habis</v>
      </c>
      <c r="G776" s="64">
        <v>0.0</v>
      </c>
      <c r="H776" s="60">
        <v>31000.0</v>
      </c>
      <c r="I776" s="60">
        <v>62000.0</v>
      </c>
      <c r="J776" s="60">
        <f t="shared" si="59"/>
        <v>31000</v>
      </c>
      <c r="K776" s="61">
        <f t="shared" si="60"/>
        <v>1</v>
      </c>
    </row>
    <row r="777" ht="27.75" customHeight="1">
      <c r="A777" s="56" t="s">
        <v>3827</v>
      </c>
      <c r="B777" s="57" t="s">
        <v>31</v>
      </c>
      <c r="C777" s="58" t="s">
        <v>3828</v>
      </c>
      <c r="D777" s="57" t="s">
        <v>2867</v>
      </c>
      <c r="E777" s="59" t="s">
        <v>2953</v>
      </c>
      <c r="F777" s="57" t="str">
        <f t="shared" si="58"/>
        <v>Habis</v>
      </c>
      <c r="G777" s="64">
        <v>0.0</v>
      </c>
      <c r="H777" s="60">
        <v>31000.0</v>
      </c>
      <c r="I777" s="60">
        <v>62000.0</v>
      </c>
      <c r="J777" s="60">
        <f t="shared" si="59"/>
        <v>31000</v>
      </c>
      <c r="K777" s="61">
        <f t="shared" si="60"/>
        <v>1</v>
      </c>
    </row>
    <row r="778" ht="27.75" customHeight="1">
      <c r="A778" s="56" t="s">
        <v>3829</v>
      </c>
      <c r="B778" s="57" t="s">
        <v>31</v>
      </c>
      <c r="C778" s="58" t="s">
        <v>3830</v>
      </c>
      <c r="D778" s="57" t="s">
        <v>2867</v>
      </c>
      <c r="E778" s="59" t="s">
        <v>2953</v>
      </c>
      <c r="F778" s="57" t="str">
        <f t="shared" si="58"/>
        <v>Habis</v>
      </c>
      <c r="G778" s="64">
        <v>0.0</v>
      </c>
      <c r="H778" s="60">
        <v>30000.0</v>
      </c>
      <c r="I778" s="60">
        <v>60000.0</v>
      </c>
      <c r="J778" s="60">
        <f t="shared" si="59"/>
        <v>30000</v>
      </c>
      <c r="K778" s="61">
        <f t="shared" si="60"/>
        <v>1</v>
      </c>
    </row>
    <row r="779" ht="27.75" customHeight="1">
      <c r="A779" s="56" t="s">
        <v>3831</v>
      </c>
      <c r="B779" s="57" t="s">
        <v>31</v>
      </c>
      <c r="C779" s="58" t="s">
        <v>3832</v>
      </c>
      <c r="D779" s="57" t="s">
        <v>2867</v>
      </c>
      <c r="E779" s="59" t="s">
        <v>2953</v>
      </c>
      <c r="F779" s="57" t="str">
        <f t="shared" si="58"/>
        <v>Habis</v>
      </c>
      <c r="G779" s="64">
        <v>0.0</v>
      </c>
      <c r="H779" s="60">
        <v>30000.0</v>
      </c>
      <c r="I779" s="60">
        <v>60000.0</v>
      </c>
      <c r="J779" s="60">
        <f t="shared" si="59"/>
        <v>30000</v>
      </c>
      <c r="K779" s="61">
        <f t="shared" si="60"/>
        <v>1</v>
      </c>
    </row>
    <row r="780" ht="27.75" customHeight="1">
      <c r="A780" s="56" t="s">
        <v>3833</v>
      </c>
      <c r="B780" s="57" t="s">
        <v>31</v>
      </c>
      <c r="C780" s="58" t="s">
        <v>3834</v>
      </c>
      <c r="D780" s="57" t="s">
        <v>2559</v>
      </c>
      <c r="E780" s="59" t="s">
        <v>2953</v>
      </c>
      <c r="F780" s="57" t="str">
        <f t="shared" si="58"/>
        <v>Habis</v>
      </c>
      <c r="G780" s="64">
        <v>0.0</v>
      </c>
      <c r="H780" s="60">
        <v>31000.0</v>
      </c>
      <c r="I780" s="60">
        <v>62000.0</v>
      </c>
      <c r="J780" s="60">
        <f t="shared" si="59"/>
        <v>31000</v>
      </c>
      <c r="K780" s="61">
        <f t="shared" si="60"/>
        <v>1</v>
      </c>
    </row>
    <row r="781" ht="27.75" customHeight="1">
      <c r="A781" s="56" t="s">
        <v>3835</v>
      </c>
      <c r="B781" s="57" t="s">
        <v>31</v>
      </c>
      <c r="C781" s="58" t="s">
        <v>3836</v>
      </c>
      <c r="D781" s="57" t="s">
        <v>2559</v>
      </c>
      <c r="E781" s="59" t="s">
        <v>2953</v>
      </c>
      <c r="F781" s="57" t="str">
        <f t="shared" si="58"/>
        <v>Habis</v>
      </c>
      <c r="G781" s="64">
        <v>0.0</v>
      </c>
      <c r="H781" s="60">
        <v>30000.0</v>
      </c>
      <c r="I781" s="60">
        <v>60000.0</v>
      </c>
      <c r="J781" s="60">
        <f t="shared" si="59"/>
        <v>30000</v>
      </c>
      <c r="K781" s="61">
        <f t="shared" si="60"/>
        <v>1</v>
      </c>
    </row>
    <row r="782" ht="27.75" customHeight="1">
      <c r="A782" s="56" t="s">
        <v>3837</v>
      </c>
      <c r="B782" s="57" t="s">
        <v>31</v>
      </c>
      <c r="C782" s="58" t="s">
        <v>3838</v>
      </c>
      <c r="D782" s="57" t="s">
        <v>2842</v>
      </c>
      <c r="E782" s="59" t="s">
        <v>2953</v>
      </c>
      <c r="F782" s="57" t="str">
        <f t="shared" si="58"/>
        <v>Habis</v>
      </c>
      <c r="G782" s="64">
        <v>0.0</v>
      </c>
      <c r="H782" s="60">
        <v>31000.0</v>
      </c>
      <c r="I782" s="60">
        <v>62000.0</v>
      </c>
      <c r="J782" s="60">
        <f t="shared" si="59"/>
        <v>31000</v>
      </c>
      <c r="K782" s="61">
        <f t="shared" si="60"/>
        <v>1</v>
      </c>
    </row>
    <row r="783" ht="27.75" customHeight="1">
      <c r="A783" s="56" t="s">
        <v>3839</v>
      </c>
      <c r="B783" s="57" t="s">
        <v>31</v>
      </c>
      <c r="C783" s="58" t="s">
        <v>3840</v>
      </c>
      <c r="D783" s="57" t="s">
        <v>2559</v>
      </c>
      <c r="E783" s="59" t="s">
        <v>2953</v>
      </c>
      <c r="F783" s="57" t="str">
        <f t="shared" si="58"/>
        <v>Habis</v>
      </c>
      <c r="G783" s="64">
        <v>0.0</v>
      </c>
      <c r="H783" s="60">
        <v>30000.0</v>
      </c>
      <c r="I783" s="60">
        <v>60000.0</v>
      </c>
      <c r="J783" s="60">
        <f t="shared" si="59"/>
        <v>30000</v>
      </c>
      <c r="K783" s="61">
        <f t="shared" si="60"/>
        <v>1</v>
      </c>
    </row>
    <row r="784" ht="27.75" customHeight="1">
      <c r="A784" s="56" t="s">
        <v>3841</v>
      </c>
      <c r="B784" s="57" t="s">
        <v>31</v>
      </c>
      <c r="C784" s="58" t="s">
        <v>3842</v>
      </c>
      <c r="D784" s="57" t="s">
        <v>2559</v>
      </c>
      <c r="E784" s="59" t="s">
        <v>2953</v>
      </c>
      <c r="F784" s="57" t="str">
        <f t="shared" si="58"/>
        <v>Habis</v>
      </c>
      <c r="G784" s="64">
        <v>0.0</v>
      </c>
      <c r="H784" s="60">
        <v>30000.0</v>
      </c>
      <c r="I784" s="60">
        <v>60000.0</v>
      </c>
      <c r="J784" s="60">
        <f t="shared" si="59"/>
        <v>30000</v>
      </c>
      <c r="K784" s="61">
        <f t="shared" si="60"/>
        <v>1</v>
      </c>
    </row>
    <row r="785" ht="27.75" customHeight="1">
      <c r="A785" s="56" t="s">
        <v>3843</v>
      </c>
      <c r="B785" s="57" t="s">
        <v>31</v>
      </c>
      <c r="C785" s="58" t="s">
        <v>3844</v>
      </c>
      <c r="D785" s="57" t="s">
        <v>2849</v>
      </c>
      <c r="E785" s="59" t="s">
        <v>2953</v>
      </c>
      <c r="F785" s="57" t="str">
        <f t="shared" si="58"/>
        <v>Habis</v>
      </c>
      <c r="G785" s="64">
        <v>0.0</v>
      </c>
      <c r="H785" s="60">
        <v>26000.0</v>
      </c>
      <c r="I785" s="60">
        <v>52000.0</v>
      </c>
      <c r="J785" s="60">
        <f t="shared" si="59"/>
        <v>26000</v>
      </c>
      <c r="K785" s="61">
        <f t="shared" si="60"/>
        <v>1</v>
      </c>
    </row>
    <row r="786" ht="27.75" customHeight="1">
      <c r="A786" s="56" t="s">
        <v>3845</v>
      </c>
      <c r="B786" s="57" t="s">
        <v>31</v>
      </c>
      <c r="C786" s="58" t="s">
        <v>3846</v>
      </c>
      <c r="D786" s="57" t="s">
        <v>2849</v>
      </c>
      <c r="E786" s="59" t="s">
        <v>2953</v>
      </c>
      <c r="F786" s="57" t="str">
        <f t="shared" si="58"/>
        <v>Habis</v>
      </c>
      <c r="G786" s="64">
        <v>0.0</v>
      </c>
      <c r="H786" s="60">
        <v>25000.0</v>
      </c>
      <c r="I786" s="60">
        <v>50000.0</v>
      </c>
      <c r="J786" s="60">
        <f t="shared" si="59"/>
        <v>25000</v>
      </c>
      <c r="K786" s="61">
        <f t="shared" si="60"/>
        <v>1</v>
      </c>
    </row>
    <row r="787" ht="27.75" customHeight="1">
      <c r="A787" s="56" t="s">
        <v>3847</v>
      </c>
      <c r="B787" s="57" t="s">
        <v>31</v>
      </c>
      <c r="C787" s="58" t="s">
        <v>3848</v>
      </c>
      <c r="D787" s="57" t="s">
        <v>2848</v>
      </c>
      <c r="E787" s="59" t="s">
        <v>2953</v>
      </c>
      <c r="F787" s="57" t="str">
        <f t="shared" si="58"/>
        <v>Habis</v>
      </c>
      <c r="G787" s="64">
        <v>0.0</v>
      </c>
      <c r="H787" s="60">
        <v>31000.0</v>
      </c>
      <c r="I787" s="60">
        <v>62000.0</v>
      </c>
      <c r="J787" s="60">
        <f t="shared" si="59"/>
        <v>31000</v>
      </c>
      <c r="K787" s="61">
        <f t="shared" si="60"/>
        <v>1</v>
      </c>
    </row>
    <row r="788" ht="27.75" customHeight="1">
      <c r="A788" s="56" t="s">
        <v>3849</v>
      </c>
      <c r="B788" s="57" t="s">
        <v>31</v>
      </c>
      <c r="C788" s="58" t="s">
        <v>3850</v>
      </c>
      <c r="D788" s="57" t="s">
        <v>2848</v>
      </c>
      <c r="E788" s="59" t="s">
        <v>2953</v>
      </c>
      <c r="F788" s="57" t="str">
        <f t="shared" si="58"/>
        <v>Habis</v>
      </c>
      <c r="G788" s="64">
        <v>0.0</v>
      </c>
      <c r="H788" s="60">
        <v>31000.0</v>
      </c>
      <c r="I788" s="60">
        <v>62000.0</v>
      </c>
      <c r="J788" s="60">
        <f t="shared" si="59"/>
        <v>31000</v>
      </c>
      <c r="K788" s="61">
        <f t="shared" si="60"/>
        <v>1</v>
      </c>
    </row>
    <row r="789" ht="27.75" customHeight="1">
      <c r="A789" s="56" t="s">
        <v>3851</v>
      </c>
      <c r="B789" s="57" t="s">
        <v>31</v>
      </c>
      <c r="C789" s="58" t="s">
        <v>3852</v>
      </c>
      <c r="D789" s="57" t="s">
        <v>2848</v>
      </c>
      <c r="E789" s="59" t="s">
        <v>2953</v>
      </c>
      <c r="F789" s="57" t="str">
        <f t="shared" si="58"/>
        <v>Habis</v>
      </c>
      <c r="G789" s="64">
        <v>0.0</v>
      </c>
      <c r="H789" s="60">
        <v>30000.0</v>
      </c>
      <c r="I789" s="60">
        <v>60000.0</v>
      </c>
      <c r="J789" s="60">
        <f t="shared" si="59"/>
        <v>30000</v>
      </c>
      <c r="K789" s="61">
        <f t="shared" si="60"/>
        <v>1</v>
      </c>
    </row>
    <row r="790" ht="27.75" customHeight="1">
      <c r="A790" s="56" t="s">
        <v>3853</v>
      </c>
      <c r="B790" s="57" t="s">
        <v>31</v>
      </c>
      <c r="C790" s="58" t="s">
        <v>3854</v>
      </c>
      <c r="D790" s="57" t="s">
        <v>2847</v>
      </c>
      <c r="E790" s="59" t="s">
        <v>2953</v>
      </c>
      <c r="F790" s="57" t="str">
        <f t="shared" si="58"/>
        <v>Habis</v>
      </c>
      <c r="G790" s="64">
        <v>0.0</v>
      </c>
      <c r="H790" s="60">
        <v>31000.0</v>
      </c>
      <c r="I790" s="60">
        <v>62000.0</v>
      </c>
      <c r="J790" s="60">
        <f t="shared" si="59"/>
        <v>31000</v>
      </c>
      <c r="K790" s="61">
        <f t="shared" si="60"/>
        <v>1</v>
      </c>
    </row>
    <row r="791" ht="27.75" customHeight="1">
      <c r="A791" s="56" t="s">
        <v>3855</v>
      </c>
      <c r="B791" s="57" t="s">
        <v>31</v>
      </c>
      <c r="C791" s="58" t="s">
        <v>3856</v>
      </c>
      <c r="D791" s="57" t="s">
        <v>2513</v>
      </c>
      <c r="E791" s="59" t="s">
        <v>2953</v>
      </c>
      <c r="F791" s="57" t="str">
        <f t="shared" si="58"/>
        <v>Habis</v>
      </c>
      <c r="G791" s="64">
        <v>0.0</v>
      </c>
      <c r="H791" s="60">
        <v>31000.0</v>
      </c>
      <c r="I791" s="60">
        <v>62000.0</v>
      </c>
      <c r="J791" s="60">
        <f t="shared" si="59"/>
        <v>31000</v>
      </c>
      <c r="K791" s="61">
        <f t="shared" si="60"/>
        <v>1</v>
      </c>
    </row>
    <row r="792" ht="27.75" customHeight="1">
      <c r="A792" s="56" t="s">
        <v>3857</v>
      </c>
      <c r="B792" s="57" t="s">
        <v>31</v>
      </c>
      <c r="C792" s="58" t="s">
        <v>3858</v>
      </c>
      <c r="D792" s="57" t="s">
        <v>2513</v>
      </c>
      <c r="E792" s="59" t="s">
        <v>2953</v>
      </c>
      <c r="F792" s="57" t="str">
        <f t="shared" si="58"/>
        <v>Habis</v>
      </c>
      <c r="G792" s="64">
        <v>0.0</v>
      </c>
      <c r="H792" s="60">
        <v>30000.0</v>
      </c>
      <c r="I792" s="60">
        <v>60000.0</v>
      </c>
      <c r="J792" s="60">
        <f t="shared" si="59"/>
        <v>30000</v>
      </c>
      <c r="K792" s="61">
        <f t="shared" si="60"/>
        <v>1</v>
      </c>
    </row>
    <row r="793" ht="27.75" customHeight="1">
      <c r="A793" s="56" t="s">
        <v>3859</v>
      </c>
      <c r="B793" s="57" t="s">
        <v>31</v>
      </c>
      <c r="C793" s="58" t="s">
        <v>3860</v>
      </c>
      <c r="D793" s="57" t="s">
        <v>2513</v>
      </c>
      <c r="E793" s="59" t="s">
        <v>2953</v>
      </c>
      <c r="F793" s="57" t="str">
        <f t="shared" si="58"/>
        <v>Habis</v>
      </c>
      <c r="G793" s="64">
        <v>0.0</v>
      </c>
      <c r="H793" s="60">
        <v>31000.0</v>
      </c>
      <c r="I793" s="60">
        <v>62000.0</v>
      </c>
      <c r="J793" s="60">
        <f t="shared" si="59"/>
        <v>31000</v>
      </c>
      <c r="K793" s="61">
        <f t="shared" si="60"/>
        <v>1</v>
      </c>
    </row>
    <row r="794" ht="27.75" customHeight="1">
      <c r="A794" s="56" t="s">
        <v>3861</v>
      </c>
      <c r="B794" s="57" t="s">
        <v>31</v>
      </c>
      <c r="C794" s="58" t="s">
        <v>3862</v>
      </c>
      <c r="D794" s="57" t="s">
        <v>2513</v>
      </c>
      <c r="E794" s="59" t="s">
        <v>2953</v>
      </c>
      <c r="F794" s="57" t="str">
        <f t="shared" si="58"/>
        <v>Habis</v>
      </c>
      <c r="G794" s="64">
        <v>0.0</v>
      </c>
      <c r="H794" s="60">
        <v>30000.0</v>
      </c>
      <c r="I794" s="60">
        <v>60000.0</v>
      </c>
      <c r="J794" s="60">
        <f t="shared" si="59"/>
        <v>30000</v>
      </c>
      <c r="K794" s="61">
        <f t="shared" si="60"/>
        <v>1</v>
      </c>
    </row>
    <row r="795" ht="27.75" customHeight="1">
      <c r="A795" s="56" t="s">
        <v>3863</v>
      </c>
      <c r="B795" s="57" t="s">
        <v>31</v>
      </c>
      <c r="C795" s="58" t="s">
        <v>3864</v>
      </c>
      <c r="D795" s="57" t="s">
        <v>2513</v>
      </c>
      <c r="E795" s="59" t="s">
        <v>2953</v>
      </c>
      <c r="F795" s="57" t="str">
        <f t="shared" si="58"/>
        <v>Habis</v>
      </c>
      <c r="G795" s="64">
        <v>0.0</v>
      </c>
      <c r="H795" s="60">
        <v>30000.0</v>
      </c>
      <c r="I795" s="60">
        <v>60000.0</v>
      </c>
      <c r="J795" s="60">
        <f t="shared" si="59"/>
        <v>30000</v>
      </c>
      <c r="K795" s="61">
        <f t="shared" si="60"/>
        <v>1</v>
      </c>
    </row>
    <row r="796" ht="27.75" customHeight="1">
      <c r="A796" s="56" t="s">
        <v>3865</v>
      </c>
      <c r="B796" s="57" t="s">
        <v>31</v>
      </c>
      <c r="C796" s="58" t="s">
        <v>3866</v>
      </c>
      <c r="D796" s="57" t="s">
        <v>2513</v>
      </c>
      <c r="E796" s="59" t="s">
        <v>2953</v>
      </c>
      <c r="F796" s="57" t="str">
        <f t="shared" si="58"/>
        <v>Habis</v>
      </c>
      <c r="G796" s="64">
        <v>0.0</v>
      </c>
      <c r="H796" s="60">
        <v>31000.0</v>
      </c>
      <c r="I796" s="60">
        <v>62000.0</v>
      </c>
      <c r="J796" s="60">
        <f t="shared" si="59"/>
        <v>31000</v>
      </c>
      <c r="K796" s="61">
        <f t="shared" si="60"/>
        <v>1</v>
      </c>
    </row>
    <row r="797" ht="27.75" customHeight="1">
      <c r="A797" s="56" t="s">
        <v>3867</v>
      </c>
      <c r="B797" s="57" t="s">
        <v>31</v>
      </c>
      <c r="C797" s="58" t="s">
        <v>3868</v>
      </c>
      <c r="D797" s="57" t="s">
        <v>2513</v>
      </c>
      <c r="E797" s="59" t="s">
        <v>2953</v>
      </c>
      <c r="F797" s="57" t="str">
        <f t="shared" si="58"/>
        <v>Habis</v>
      </c>
      <c r="G797" s="64">
        <v>0.0</v>
      </c>
      <c r="H797" s="60">
        <v>30000.0</v>
      </c>
      <c r="I797" s="60">
        <v>60000.0</v>
      </c>
      <c r="J797" s="60">
        <f t="shared" si="59"/>
        <v>30000</v>
      </c>
      <c r="K797" s="61">
        <f t="shared" si="60"/>
        <v>1</v>
      </c>
    </row>
    <row r="798" ht="27.75" customHeight="1">
      <c r="A798" s="56" t="s">
        <v>3869</v>
      </c>
      <c r="B798" s="57" t="s">
        <v>31</v>
      </c>
      <c r="C798" s="58" t="s">
        <v>3870</v>
      </c>
      <c r="D798" s="57" t="s">
        <v>2513</v>
      </c>
      <c r="E798" s="59" t="s">
        <v>2953</v>
      </c>
      <c r="F798" s="57" t="str">
        <f t="shared" si="58"/>
        <v>Habis</v>
      </c>
      <c r="G798" s="64">
        <v>0.0</v>
      </c>
      <c r="H798" s="60">
        <v>31000.0</v>
      </c>
      <c r="I798" s="60">
        <v>62000.0</v>
      </c>
      <c r="J798" s="60">
        <f t="shared" si="59"/>
        <v>31000</v>
      </c>
      <c r="K798" s="61">
        <f t="shared" si="60"/>
        <v>1</v>
      </c>
    </row>
    <row r="799" ht="27.75" customHeight="1">
      <c r="A799" s="56" t="s">
        <v>3871</v>
      </c>
      <c r="B799" s="57" t="s">
        <v>31</v>
      </c>
      <c r="C799" s="58" t="s">
        <v>3872</v>
      </c>
      <c r="D799" s="57" t="s">
        <v>2513</v>
      </c>
      <c r="E799" s="59" t="s">
        <v>2953</v>
      </c>
      <c r="F799" s="57" t="str">
        <f t="shared" si="58"/>
        <v>Habis</v>
      </c>
      <c r="G799" s="64">
        <v>0.0</v>
      </c>
      <c r="H799" s="60">
        <v>30000.0</v>
      </c>
      <c r="I799" s="60">
        <v>60000.0</v>
      </c>
      <c r="J799" s="60">
        <f t="shared" si="59"/>
        <v>30000</v>
      </c>
      <c r="K799" s="61">
        <f t="shared" si="60"/>
        <v>1</v>
      </c>
    </row>
    <row r="800" ht="27.75" customHeight="1">
      <c r="A800" s="56" t="s">
        <v>3873</v>
      </c>
      <c r="B800" s="57" t="s">
        <v>31</v>
      </c>
      <c r="C800" s="58" t="s">
        <v>3874</v>
      </c>
      <c r="D800" s="57" t="s">
        <v>2513</v>
      </c>
      <c r="E800" s="59" t="s">
        <v>2953</v>
      </c>
      <c r="F800" s="57" t="str">
        <f t="shared" si="58"/>
        <v>Habis</v>
      </c>
      <c r="G800" s="64">
        <v>0.0</v>
      </c>
      <c r="H800" s="60">
        <v>32000.0</v>
      </c>
      <c r="I800" s="60">
        <v>64000.0</v>
      </c>
      <c r="J800" s="60">
        <f t="shared" si="59"/>
        <v>32000</v>
      </c>
      <c r="K800" s="61">
        <f t="shared" si="60"/>
        <v>1</v>
      </c>
    </row>
    <row r="801" ht="27.75" customHeight="1">
      <c r="A801" s="56" t="s">
        <v>3875</v>
      </c>
      <c r="B801" s="57" t="s">
        <v>31</v>
      </c>
      <c r="C801" s="58" t="s">
        <v>3876</v>
      </c>
      <c r="D801" s="57" t="s">
        <v>2513</v>
      </c>
      <c r="E801" s="59" t="s">
        <v>2953</v>
      </c>
      <c r="F801" s="57" t="str">
        <f t="shared" si="58"/>
        <v>Habis</v>
      </c>
      <c r="G801" s="64">
        <v>0.0</v>
      </c>
      <c r="H801" s="60">
        <v>30000.0</v>
      </c>
      <c r="I801" s="60">
        <v>60000.0</v>
      </c>
      <c r="J801" s="60">
        <f t="shared" si="59"/>
        <v>30000</v>
      </c>
      <c r="K801" s="61">
        <f t="shared" si="60"/>
        <v>1</v>
      </c>
    </row>
    <row r="802" ht="27.75" customHeight="1">
      <c r="A802" s="56" t="s">
        <v>3877</v>
      </c>
      <c r="B802" s="57" t="s">
        <v>31</v>
      </c>
      <c r="C802" s="58" t="s">
        <v>3878</v>
      </c>
      <c r="D802" s="57" t="s">
        <v>845</v>
      </c>
      <c r="E802" s="59" t="s">
        <v>2953</v>
      </c>
      <c r="F802" s="57" t="str">
        <f t="shared" si="58"/>
        <v>Habis</v>
      </c>
      <c r="G802" s="64">
        <v>0.0</v>
      </c>
      <c r="H802" s="60">
        <v>80000.0</v>
      </c>
      <c r="I802" s="60">
        <v>160000.0</v>
      </c>
      <c r="J802" s="60">
        <f t="shared" si="59"/>
        <v>80000</v>
      </c>
      <c r="K802" s="61">
        <f t="shared" si="60"/>
        <v>1</v>
      </c>
    </row>
    <row r="803" ht="27.75" customHeight="1">
      <c r="A803" s="56" t="s">
        <v>3879</v>
      </c>
      <c r="B803" s="57" t="s">
        <v>31</v>
      </c>
      <c r="C803" s="58" t="s">
        <v>3880</v>
      </c>
      <c r="D803" s="57" t="s">
        <v>845</v>
      </c>
      <c r="E803" s="59" t="s">
        <v>2953</v>
      </c>
      <c r="F803" s="57" t="str">
        <f t="shared" si="58"/>
        <v>Habis</v>
      </c>
      <c r="G803" s="64">
        <v>0.0</v>
      </c>
      <c r="H803" s="60">
        <v>50000.0</v>
      </c>
      <c r="I803" s="60">
        <v>100000.0</v>
      </c>
      <c r="J803" s="60">
        <f t="shared" si="59"/>
        <v>50000</v>
      </c>
      <c r="K803" s="61">
        <f t="shared" si="60"/>
        <v>1</v>
      </c>
    </row>
    <row r="804" ht="27.75" customHeight="1">
      <c r="A804" s="56" t="s">
        <v>3881</v>
      </c>
      <c r="B804" s="57" t="s">
        <v>31</v>
      </c>
      <c r="C804" s="58" t="s">
        <v>3882</v>
      </c>
      <c r="D804" s="57" t="s">
        <v>2836</v>
      </c>
      <c r="E804" s="59" t="s">
        <v>2953</v>
      </c>
      <c r="F804" s="57" t="str">
        <f t="shared" si="58"/>
        <v>Habis</v>
      </c>
      <c r="G804" s="64">
        <v>0.0</v>
      </c>
      <c r="H804" s="60">
        <v>31000.0</v>
      </c>
      <c r="I804" s="60">
        <v>62000.0</v>
      </c>
      <c r="J804" s="60">
        <f t="shared" si="59"/>
        <v>31000</v>
      </c>
      <c r="K804" s="61">
        <f t="shared" si="60"/>
        <v>1</v>
      </c>
    </row>
    <row r="805" ht="27.75" customHeight="1">
      <c r="A805" s="56" t="s">
        <v>3883</v>
      </c>
      <c r="B805" s="57" t="s">
        <v>31</v>
      </c>
      <c r="C805" s="58" t="s">
        <v>3884</v>
      </c>
      <c r="D805" s="57" t="s">
        <v>2836</v>
      </c>
      <c r="E805" s="59" t="s">
        <v>2953</v>
      </c>
      <c r="F805" s="57" t="str">
        <f t="shared" si="58"/>
        <v>Habis</v>
      </c>
      <c r="G805" s="64">
        <v>0.0</v>
      </c>
      <c r="H805" s="60">
        <v>31000.0</v>
      </c>
      <c r="I805" s="60">
        <v>62000.0</v>
      </c>
      <c r="J805" s="60">
        <f t="shared" si="59"/>
        <v>31000</v>
      </c>
      <c r="K805" s="61">
        <f t="shared" si="60"/>
        <v>1</v>
      </c>
    </row>
    <row r="806" ht="27.75" customHeight="1">
      <c r="A806" s="56" t="s">
        <v>3885</v>
      </c>
      <c r="B806" s="57" t="s">
        <v>31</v>
      </c>
      <c r="C806" s="58" t="s">
        <v>3886</v>
      </c>
      <c r="D806" s="57" t="s">
        <v>2836</v>
      </c>
      <c r="E806" s="59" t="s">
        <v>2953</v>
      </c>
      <c r="F806" s="57" t="str">
        <f t="shared" si="58"/>
        <v>Habis</v>
      </c>
      <c r="G806" s="64">
        <v>0.0</v>
      </c>
      <c r="H806" s="60">
        <v>30000.0</v>
      </c>
      <c r="I806" s="60">
        <v>60000.0</v>
      </c>
      <c r="J806" s="60">
        <f t="shared" si="59"/>
        <v>30000</v>
      </c>
      <c r="K806" s="61">
        <f t="shared" si="60"/>
        <v>1</v>
      </c>
    </row>
    <row r="807" ht="27.75" customHeight="1">
      <c r="A807" s="56" t="s">
        <v>3887</v>
      </c>
      <c r="B807" s="57" t="s">
        <v>31</v>
      </c>
      <c r="C807" s="58" t="s">
        <v>3888</v>
      </c>
      <c r="D807" s="57" t="s">
        <v>2836</v>
      </c>
      <c r="E807" s="59" t="s">
        <v>2953</v>
      </c>
      <c r="F807" s="57" t="str">
        <f t="shared" si="58"/>
        <v>Habis</v>
      </c>
      <c r="G807" s="64">
        <v>0.0</v>
      </c>
      <c r="H807" s="60">
        <v>31000.0</v>
      </c>
      <c r="I807" s="60">
        <v>62000.0</v>
      </c>
      <c r="J807" s="60">
        <f t="shared" si="59"/>
        <v>31000</v>
      </c>
      <c r="K807" s="61">
        <f t="shared" si="60"/>
        <v>1</v>
      </c>
    </row>
    <row r="808" ht="27.75" customHeight="1">
      <c r="A808" s="56" t="s">
        <v>3889</v>
      </c>
      <c r="B808" s="57" t="s">
        <v>31</v>
      </c>
      <c r="C808" s="62" t="s">
        <v>3890</v>
      </c>
      <c r="D808" s="57" t="s">
        <v>363</v>
      </c>
      <c r="E808" s="59" t="s">
        <v>2953</v>
      </c>
      <c r="F808" s="57" t="str">
        <f t="shared" si="58"/>
        <v>Tersedia</v>
      </c>
      <c r="G808" s="64">
        <v>4.0</v>
      </c>
      <c r="H808" s="60">
        <v>0.0</v>
      </c>
      <c r="I808" s="60">
        <v>40000.0</v>
      </c>
      <c r="J808" s="60">
        <f t="shared" si="59"/>
        <v>40000</v>
      </c>
      <c r="K808" s="61" t="str">
        <f t="shared" si="60"/>
        <v>#DIV/0!</v>
      </c>
    </row>
    <row r="809" ht="27.75" customHeight="1">
      <c r="A809" s="56" t="s">
        <v>3891</v>
      </c>
      <c r="B809" s="57" t="s">
        <v>31</v>
      </c>
      <c r="C809" s="62" t="s">
        <v>3892</v>
      </c>
      <c r="D809" s="57" t="s">
        <v>845</v>
      </c>
      <c r="E809" s="59" t="s">
        <v>2953</v>
      </c>
      <c r="F809" s="57" t="str">
        <f t="shared" si="58"/>
        <v>Menipis</v>
      </c>
      <c r="G809" s="63">
        <v>2.0</v>
      </c>
      <c r="H809" s="60">
        <v>25000.0</v>
      </c>
      <c r="I809" s="60">
        <v>50000.0</v>
      </c>
      <c r="J809" s="60">
        <f t="shared" si="59"/>
        <v>25000</v>
      </c>
      <c r="K809" s="61">
        <f t="shared" si="60"/>
        <v>1</v>
      </c>
    </row>
    <row r="810" ht="27.75" customHeight="1">
      <c r="A810" s="56" t="s">
        <v>3893</v>
      </c>
      <c r="B810" s="57" t="s">
        <v>31</v>
      </c>
      <c r="C810" s="58" t="s">
        <v>3894</v>
      </c>
      <c r="D810" s="57" t="s">
        <v>363</v>
      </c>
      <c r="E810" s="70" t="s">
        <v>410</v>
      </c>
      <c r="F810" s="57" t="str">
        <f t="shared" si="58"/>
        <v>Menipis</v>
      </c>
      <c r="G810" s="56">
        <v>2.0</v>
      </c>
      <c r="H810" s="60">
        <v>3500.0</v>
      </c>
      <c r="I810" s="60">
        <v>10000.0</v>
      </c>
      <c r="J810" s="60">
        <f t="shared" si="59"/>
        <v>6500</v>
      </c>
      <c r="K810" s="61">
        <f t="shared" si="60"/>
        <v>1.857142857</v>
      </c>
    </row>
    <row r="811" ht="27.75" customHeight="1">
      <c r="A811" s="56" t="s">
        <v>3895</v>
      </c>
      <c r="B811" s="57" t="s">
        <v>31</v>
      </c>
      <c r="C811" s="62" t="s">
        <v>3896</v>
      </c>
      <c r="D811" s="57" t="s">
        <v>363</v>
      </c>
      <c r="E811" s="59" t="s">
        <v>2490</v>
      </c>
      <c r="F811" s="57" t="str">
        <f t="shared" si="58"/>
        <v>Tersedia</v>
      </c>
      <c r="G811" s="63">
        <v>13.0</v>
      </c>
      <c r="H811" s="60">
        <v>2000.0</v>
      </c>
      <c r="I811" s="60">
        <v>5000.0</v>
      </c>
      <c r="J811" s="60">
        <f t="shared" si="59"/>
        <v>3000</v>
      </c>
      <c r="K811" s="61">
        <f t="shared" si="60"/>
        <v>1.5</v>
      </c>
    </row>
    <row r="812" ht="27.75" customHeight="1">
      <c r="A812" s="56" t="s">
        <v>3897</v>
      </c>
      <c r="B812" s="57" t="s">
        <v>31</v>
      </c>
      <c r="C812" s="58" t="s">
        <v>3898</v>
      </c>
      <c r="D812" s="57" t="s">
        <v>945</v>
      </c>
      <c r="E812" s="59" t="s">
        <v>2953</v>
      </c>
      <c r="F812" s="57" t="str">
        <f t="shared" si="58"/>
        <v>Tersedia</v>
      </c>
      <c r="G812" s="64">
        <v>4.0</v>
      </c>
      <c r="H812" s="60">
        <v>12500.0</v>
      </c>
      <c r="I812" s="60">
        <v>30000.0</v>
      </c>
      <c r="J812" s="60">
        <f t="shared" si="59"/>
        <v>17500</v>
      </c>
      <c r="K812" s="61">
        <f t="shared" si="60"/>
        <v>1.4</v>
      </c>
    </row>
    <row r="813" ht="27.75" customHeight="1">
      <c r="A813" s="56" t="s">
        <v>3899</v>
      </c>
      <c r="B813" s="57" t="s">
        <v>31</v>
      </c>
      <c r="C813" s="58" t="s">
        <v>3900</v>
      </c>
      <c r="D813" s="57" t="s">
        <v>2559</v>
      </c>
      <c r="E813" s="59" t="s">
        <v>2953</v>
      </c>
      <c r="F813" s="57" t="str">
        <f t="shared" si="58"/>
        <v>Menipis</v>
      </c>
      <c r="G813" s="64">
        <v>1.0</v>
      </c>
      <c r="H813" s="60">
        <v>12000.0</v>
      </c>
      <c r="I813" s="60">
        <v>30000.0</v>
      </c>
      <c r="J813" s="60">
        <f t="shared" si="59"/>
        <v>18000</v>
      </c>
      <c r="K813" s="61">
        <f t="shared" si="60"/>
        <v>1.5</v>
      </c>
    </row>
    <row r="814" ht="27.75" customHeight="1">
      <c r="A814" s="56" t="s">
        <v>3901</v>
      </c>
      <c r="B814" s="57" t="s">
        <v>31</v>
      </c>
      <c r="C814" s="62" t="s">
        <v>3902</v>
      </c>
      <c r="D814" s="57" t="s">
        <v>2838</v>
      </c>
      <c r="E814" s="59" t="s">
        <v>2953</v>
      </c>
      <c r="F814" s="57" t="str">
        <f t="shared" si="58"/>
        <v>Tersedia</v>
      </c>
      <c r="G814" s="63">
        <v>8.0</v>
      </c>
      <c r="H814" s="60">
        <v>10000.0</v>
      </c>
      <c r="I814" s="68">
        <v>25000.0</v>
      </c>
      <c r="J814" s="60">
        <f t="shared" si="59"/>
        <v>15000</v>
      </c>
      <c r="K814" s="61">
        <f t="shared" si="60"/>
        <v>1.5</v>
      </c>
    </row>
    <row r="815" ht="27.75" customHeight="1">
      <c r="A815" s="56" t="s">
        <v>3903</v>
      </c>
      <c r="B815" s="57" t="s">
        <v>31</v>
      </c>
      <c r="C815" s="58" t="s">
        <v>3904</v>
      </c>
      <c r="D815" s="57" t="s">
        <v>363</v>
      </c>
      <c r="E815" s="59" t="s">
        <v>2953</v>
      </c>
      <c r="F815" s="57" t="str">
        <f t="shared" si="58"/>
        <v>Menipis</v>
      </c>
      <c r="G815" s="64">
        <v>2.0</v>
      </c>
      <c r="H815" s="60">
        <v>12000.0</v>
      </c>
      <c r="I815" s="60">
        <v>35000.0</v>
      </c>
      <c r="J815" s="60">
        <f t="shared" si="59"/>
        <v>23000</v>
      </c>
      <c r="K815" s="61">
        <f t="shared" si="60"/>
        <v>1.916666667</v>
      </c>
    </row>
    <row r="816" ht="27.75" customHeight="1">
      <c r="A816" s="56" t="s">
        <v>3905</v>
      </c>
      <c r="B816" s="57" t="s">
        <v>31</v>
      </c>
      <c r="C816" s="58" t="s">
        <v>3906</v>
      </c>
      <c r="D816" s="65" t="s">
        <v>341</v>
      </c>
      <c r="E816" s="59" t="s">
        <v>2953</v>
      </c>
      <c r="F816" s="57" t="str">
        <f t="shared" si="58"/>
        <v>Menipis</v>
      </c>
      <c r="G816" s="64">
        <v>1.0</v>
      </c>
      <c r="H816" s="60">
        <v>33000.0</v>
      </c>
      <c r="I816" s="60">
        <v>65000.0</v>
      </c>
      <c r="J816" s="60">
        <f t="shared" si="59"/>
        <v>32000</v>
      </c>
      <c r="K816" s="61">
        <f t="shared" si="60"/>
        <v>0.9696969697</v>
      </c>
    </row>
    <row r="817" ht="27.75" customHeight="1">
      <c r="A817" s="56" t="s">
        <v>3907</v>
      </c>
      <c r="B817" s="57" t="s">
        <v>31</v>
      </c>
      <c r="C817" s="58" t="s">
        <v>3908</v>
      </c>
      <c r="D817" s="65" t="s">
        <v>341</v>
      </c>
      <c r="E817" s="59" t="s">
        <v>2953</v>
      </c>
      <c r="F817" s="57" t="str">
        <f t="shared" si="58"/>
        <v>Menipis</v>
      </c>
      <c r="G817" s="64">
        <v>1.0</v>
      </c>
      <c r="H817" s="60">
        <v>57000.0</v>
      </c>
      <c r="I817" s="60">
        <v>110000.0</v>
      </c>
      <c r="J817" s="60">
        <f t="shared" si="59"/>
        <v>53000</v>
      </c>
      <c r="K817" s="61">
        <f t="shared" si="60"/>
        <v>0.9298245614</v>
      </c>
    </row>
    <row r="818" ht="27.75" customHeight="1">
      <c r="A818" s="56" t="s">
        <v>3909</v>
      </c>
      <c r="B818" s="57" t="s">
        <v>31</v>
      </c>
      <c r="C818" s="58" t="s">
        <v>3910</v>
      </c>
      <c r="D818" s="65" t="s">
        <v>341</v>
      </c>
      <c r="E818" s="59" t="s">
        <v>2953</v>
      </c>
      <c r="F818" s="57" t="str">
        <f t="shared" si="58"/>
        <v>Menipis</v>
      </c>
      <c r="G818" s="64">
        <v>1.0</v>
      </c>
      <c r="H818" s="60">
        <v>38000.0</v>
      </c>
      <c r="I818" s="60">
        <v>70000.0</v>
      </c>
      <c r="J818" s="60">
        <f t="shared" si="59"/>
        <v>32000</v>
      </c>
      <c r="K818" s="61">
        <f t="shared" si="60"/>
        <v>0.8421052632</v>
      </c>
    </row>
    <row r="819" ht="27.75" customHeight="1">
      <c r="A819" s="56" t="s">
        <v>3911</v>
      </c>
      <c r="B819" s="57" t="s">
        <v>31</v>
      </c>
      <c r="C819" s="58" t="s">
        <v>3912</v>
      </c>
      <c r="D819" s="65" t="s">
        <v>341</v>
      </c>
      <c r="E819" s="59" t="s">
        <v>2953</v>
      </c>
      <c r="F819" s="57" t="str">
        <f t="shared" si="58"/>
        <v>Menipis</v>
      </c>
      <c r="G819" s="64">
        <v>1.0</v>
      </c>
      <c r="H819" s="60">
        <v>38000.0</v>
      </c>
      <c r="I819" s="60">
        <v>70000.0</v>
      </c>
      <c r="J819" s="60">
        <f t="shared" si="59"/>
        <v>32000</v>
      </c>
      <c r="K819" s="61">
        <f t="shared" si="60"/>
        <v>0.8421052632</v>
      </c>
    </row>
    <row r="820" ht="27.75" customHeight="1">
      <c r="A820" s="56" t="s">
        <v>3913</v>
      </c>
      <c r="B820" s="57" t="s">
        <v>31</v>
      </c>
      <c r="C820" s="58" t="s">
        <v>3914</v>
      </c>
      <c r="D820" s="65" t="s">
        <v>341</v>
      </c>
      <c r="E820" s="59" t="s">
        <v>2953</v>
      </c>
      <c r="F820" s="57" t="str">
        <f t="shared" si="58"/>
        <v>Menipis</v>
      </c>
      <c r="G820" s="64">
        <v>1.0</v>
      </c>
      <c r="H820" s="60">
        <v>50000.0</v>
      </c>
      <c r="I820" s="60">
        <v>90000.0</v>
      </c>
      <c r="J820" s="60">
        <f t="shared" si="59"/>
        <v>40000</v>
      </c>
      <c r="K820" s="61">
        <f t="shared" si="60"/>
        <v>0.8</v>
      </c>
    </row>
    <row r="821" ht="27.75" customHeight="1">
      <c r="A821" s="56" t="s">
        <v>3915</v>
      </c>
      <c r="B821" s="57" t="s">
        <v>31</v>
      </c>
      <c r="C821" s="58" t="s">
        <v>3916</v>
      </c>
      <c r="D821" s="65" t="s">
        <v>341</v>
      </c>
      <c r="E821" s="59" t="s">
        <v>2953</v>
      </c>
      <c r="F821" s="57" t="str">
        <f t="shared" si="58"/>
        <v>Menipis</v>
      </c>
      <c r="G821" s="64">
        <v>1.0</v>
      </c>
      <c r="H821" s="60">
        <v>68000.0</v>
      </c>
      <c r="I821" s="60">
        <v>125000.0</v>
      </c>
      <c r="J821" s="60">
        <f t="shared" si="59"/>
        <v>57000</v>
      </c>
      <c r="K821" s="61">
        <f t="shared" si="60"/>
        <v>0.8382352941</v>
      </c>
    </row>
    <row r="822" ht="27.75" customHeight="1">
      <c r="A822" s="56" t="s">
        <v>3917</v>
      </c>
      <c r="B822" s="57" t="s">
        <v>31</v>
      </c>
      <c r="C822" s="58" t="s">
        <v>3918</v>
      </c>
      <c r="D822" s="65" t="s">
        <v>341</v>
      </c>
      <c r="E822" s="59" t="s">
        <v>2953</v>
      </c>
      <c r="F822" s="57" t="str">
        <f t="shared" si="58"/>
        <v>Menipis</v>
      </c>
      <c r="G822" s="64">
        <v>1.0</v>
      </c>
      <c r="H822" s="60">
        <v>68000.0</v>
      </c>
      <c r="I822" s="60">
        <v>125000.0</v>
      </c>
      <c r="J822" s="60">
        <f t="shared" si="59"/>
        <v>57000</v>
      </c>
      <c r="K822" s="61">
        <f t="shared" si="60"/>
        <v>0.8382352941</v>
      </c>
    </row>
    <row r="823" ht="27.75" customHeight="1">
      <c r="A823" s="56" t="s">
        <v>3919</v>
      </c>
      <c r="B823" s="57" t="s">
        <v>31</v>
      </c>
      <c r="C823" s="58" t="s">
        <v>3920</v>
      </c>
      <c r="D823" s="65" t="s">
        <v>341</v>
      </c>
      <c r="E823" s="59" t="s">
        <v>2953</v>
      </c>
      <c r="F823" s="57" t="str">
        <f t="shared" si="58"/>
        <v>Menipis</v>
      </c>
      <c r="G823" s="64">
        <v>1.0</v>
      </c>
      <c r="H823" s="60">
        <v>68000.0</v>
      </c>
      <c r="I823" s="60">
        <v>125000.0</v>
      </c>
      <c r="J823" s="60">
        <f t="shared" si="59"/>
        <v>57000</v>
      </c>
      <c r="K823" s="61">
        <f t="shared" si="60"/>
        <v>0.8382352941</v>
      </c>
    </row>
    <row r="824" ht="27.75" customHeight="1">
      <c r="A824" s="56" t="s">
        <v>3921</v>
      </c>
      <c r="B824" s="57" t="s">
        <v>31</v>
      </c>
      <c r="C824" s="58" t="s">
        <v>3922</v>
      </c>
      <c r="D824" s="65" t="s">
        <v>341</v>
      </c>
      <c r="E824" s="59" t="s">
        <v>2953</v>
      </c>
      <c r="F824" s="57" t="str">
        <f t="shared" si="58"/>
        <v>Menipis</v>
      </c>
      <c r="G824" s="64">
        <v>2.0</v>
      </c>
      <c r="H824" s="60">
        <v>72000.0</v>
      </c>
      <c r="I824" s="60">
        <v>130000.0</v>
      </c>
      <c r="J824" s="60">
        <f t="shared" si="59"/>
        <v>58000</v>
      </c>
      <c r="K824" s="61">
        <f t="shared" si="60"/>
        <v>0.8055555556</v>
      </c>
    </row>
    <row r="825" ht="27.75" customHeight="1">
      <c r="A825" s="56" t="s">
        <v>3923</v>
      </c>
      <c r="B825" s="57" t="s">
        <v>31</v>
      </c>
      <c r="C825" s="58" t="s">
        <v>3924</v>
      </c>
      <c r="D825" s="57" t="s">
        <v>341</v>
      </c>
      <c r="E825" s="159" t="s">
        <v>3925</v>
      </c>
      <c r="F825" s="57" t="s">
        <v>1597</v>
      </c>
      <c r="G825" s="64">
        <v>4.0</v>
      </c>
      <c r="H825" s="60">
        <v>63270.0</v>
      </c>
      <c r="I825" s="60">
        <v>130000.0</v>
      </c>
      <c r="J825" s="60">
        <v>66730.0</v>
      </c>
      <c r="K825" s="61">
        <v>1.05</v>
      </c>
    </row>
    <row r="826" ht="27.75" customHeight="1">
      <c r="A826" s="56" t="s">
        <v>3926</v>
      </c>
      <c r="B826" s="57" t="s">
        <v>31</v>
      </c>
      <c r="C826" s="58" t="s">
        <v>3927</v>
      </c>
      <c r="D826" s="57" t="s">
        <v>341</v>
      </c>
      <c r="E826" s="159" t="s">
        <v>2953</v>
      </c>
      <c r="F826" s="57" t="s">
        <v>1180</v>
      </c>
      <c r="G826" s="64">
        <v>2.0</v>
      </c>
      <c r="H826" s="60">
        <v>53000.0</v>
      </c>
      <c r="I826" s="60">
        <v>100000.0</v>
      </c>
      <c r="J826" s="60">
        <v>47000.0</v>
      </c>
      <c r="K826" s="61">
        <v>0.89</v>
      </c>
    </row>
    <row r="827" ht="27.75" customHeight="1">
      <c r="A827" s="56" t="s">
        <v>3928</v>
      </c>
      <c r="B827" s="57" t="s">
        <v>31</v>
      </c>
      <c r="C827" s="58" t="s">
        <v>3929</v>
      </c>
      <c r="D827" s="57" t="s">
        <v>64</v>
      </c>
      <c r="E827" s="159" t="s">
        <v>2953</v>
      </c>
      <c r="F827" s="57" t="s">
        <v>1180</v>
      </c>
      <c r="G827" s="64">
        <v>2.0</v>
      </c>
      <c r="H827" s="60">
        <v>30000.0</v>
      </c>
      <c r="I827" s="60">
        <v>60000.0</v>
      </c>
      <c r="J827" s="60">
        <v>30000.0</v>
      </c>
      <c r="K827" s="61">
        <v>1.0</v>
      </c>
    </row>
    <row r="828" ht="27.75" customHeight="1">
      <c r="A828" s="56" t="s">
        <v>3930</v>
      </c>
      <c r="B828" s="57" t="s">
        <v>31</v>
      </c>
      <c r="C828" s="58" t="s">
        <v>3931</v>
      </c>
      <c r="D828" s="57" t="s">
        <v>363</v>
      </c>
      <c r="E828" s="59" t="s">
        <v>137</v>
      </c>
      <c r="F828" s="57" t="str">
        <f t="shared" ref="F828:F851" si="61">IF(G828="", "", IF(G828&lt;=0, "Habis", IF(G828&lt;=3, "Menipis", "Tersedia")))</f>
        <v>Menipis</v>
      </c>
      <c r="G828" s="64">
        <v>1.0</v>
      </c>
      <c r="H828" s="60">
        <v>12000.0</v>
      </c>
      <c r="I828" s="60">
        <v>25000.0</v>
      </c>
      <c r="J828" s="60">
        <f t="shared" ref="J828:J851" si="62">I828-H828</f>
        <v>13000</v>
      </c>
      <c r="K828" s="61">
        <f t="shared" ref="K828:K851" si="63">J828/H828*100%</f>
        <v>1.083333333</v>
      </c>
    </row>
    <row r="829" ht="27.75" customHeight="1">
      <c r="A829" s="56" t="s">
        <v>3932</v>
      </c>
      <c r="B829" s="57" t="s">
        <v>31</v>
      </c>
      <c r="C829" s="62" t="s">
        <v>3933</v>
      </c>
      <c r="D829" s="57" t="s">
        <v>363</v>
      </c>
      <c r="E829" s="59" t="s">
        <v>137</v>
      </c>
      <c r="F829" s="57" t="str">
        <f t="shared" si="61"/>
        <v>Menipis</v>
      </c>
      <c r="G829" s="64">
        <v>1.0</v>
      </c>
      <c r="H829" s="60">
        <v>65000.0</v>
      </c>
      <c r="I829" s="60">
        <v>130000.0</v>
      </c>
      <c r="J829" s="60">
        <f t="shared" si="62"/>
        <v>65000</v>
      </c>
      <c r="K829" s="61">
        <f t="shared" si="63"/>
        <v>1</v>
      </c>
    </row>
    <row r="830" ht="27.75" customHeight="1">
      <c r="A830" s="56" t="s">
        <v>3934</v>
      </c>
      <c r="B830" s="57" t="s">
        <v>31</v>
      </c>
      <c r="C830" s="58" t="s">
        <v>3935</v>
      </c>
      <c r="D830" s="57" t="s">
        <v>363</v>
      </c>
      <c r="E830" s="59" t="s">
        <v>137</v>
      </c>
      <c r="F830" s="57" t="str">
        <f t="shared" si="61"/>
        <v>Menipis</v>
      </c>
      <c r="G830" s="64">
        <v>2.0</v>
      </c>
      <c r="H830" s="60">
        <v>47500.0</v>
      </c>
      <c r="I830" s="60">
        <v>110000.0</v>
      </c>
      <c r="J830" s="60">
        <f t="shared" si="62"/>
        <v>62500</v>
      </c>
      <c r="K830" s="61">
        <f t="shared" si="63"/>
        <v>1.315789474</v>
      </c>
    </row>
    <row r="831" ht="27.75" customHeight="1">
      <c r="A831" s="56" t="s">
        <v>3936</v>
      </c>
      <c r="B831" s="57" t="s">
        <v>31</v>
      </c>
      <c r="C831" s="62" t="s">
        <v>3937</v>
      </c>
      <c r="D831" s="57" t="s">
        <v>363</v>
      </c>
      <c r="E831" s="59" t="s">
        <v>137</v>
      </c>
      <c r="F831" s="57" t="str">
        <f t="shared" si="61"/>
        <v>Menipis</v>
      </c>
      <c r="G831" s="64">
        <v>1.0</v>
      </c>
      <c r="H831" s="60">
        <v>70000.0</v>
      </c>
      <c r="I831" s="60">
        <v>140000.0</v>
      </c>
      <c r="J831" s="60">
        <f t="shared" si="62"/>
        <v>70000</v>
      </c>
      <c r="K831" s="61">
        <f t="shared" si="63"/>
        <v>1</v>
      </c>
    </row>
    <row r="832" ht="27.75" customHeight="1">
      <c r="A832" s="56" t="s">
        <v>3938</v>
      </c>
      <c r="B832" s="57" t="s">
        <v>31</v>
      </c>
      <c r="C832" s="62" t="s">
        <v>3939</v>
      </c>
      <c r="D832" s="57" t="s">
        <v>363</v>
      </c>
      <c r="E832" s="59" t="s">
        <v>137</v>
      </c>
      <c r="F832" s="57" t="str">
        <f t="shared" si="61"/>
        <v>Menipis</v>
      </c>
      <c r="G832" s="64">
        <v>2.0</v>
      </c>
      <c r="H832" s="60">
        <v>60000.0</v>
      </c>
      <c r="I832" s="60">
        <v>120000.0</v>
      </c>
      <c r="J832" s="60">
        <f t="shared" si="62"/>
        <v>60000</v>
      </c>
      <c r="K832" s="61">
        <f t="shared" si="63"/>
        <v>1</v>
      </c>
    </row>
    <row r="833" ht="27.75" customHeight="1">
      <c r="A833" s="56" t="s">
        <v>3940</v>
      </c>
      <c r="B833" s="57" t="s">
        <v>31</v>
      </c>
      <c r="C833" s="58" t="s">
        <v>3941</v>
      </c>
      <c r="D833" s="57" t="s">
        <v>363</v>
      </c>
      <c r="E833" s="59" t="s">
        <v>137</v>
      </c>
      <c r="F833" s="57" t="str">
        <f t="shared" si="61"/>
        <v>Menipis</v>
      </c>
      <c r="G833" s="64">
        <v>1.0</v>
      </c>
      <c r="H833" s="60">
        <v>60000.0</v>
      </c>
      <c r="I833" s="60">
        <v>120000.0</v>
      </c>
      <c r="J833" s="60">
        <f t="shared" si="62"/>
        <v>60000</v>
      </c>
      <c r="K833" s="61">
        <f t="shared" si="63"/>
        <v>1</v>
      </c>
    </row>
    <row r="834" ht="27.75" customHeight="1">
      <c r="A834" s="56" t="s">
        <v>3942</v>
      </c>
      <c r="B834" s="57" t="s">
        <v>31</v>
      </c>
      <c r="C834" s="58" t="s">
        <v>3943</v>
      </c>
      <c r="D834" s="57" t="s">
        <v>363</v>
      </c>
      <c r="E834" s="59" t="s">
        <v>137</v>
      </c>
      <c r="F834" s="57" t="str">
        <f t="shared" si="61"/>
        <v>Menipis</v>
      </c>
      <c r="G834" s="64">
        <v>1.0</v>
      </c>
      <c r="H834" s="60">
        <v>29000.0</v>
      </c>
      <c r="I834" s="60">
        <v>58000.0</v>
      </c>
      <c r="J834" s="60">
        <f t="shared" si="62"/>
        <v>29000</v>
      </c>
      <c r="K834" s="61">
        <f t="shared" si="63"/>
        <v>1</v>
      </c>
    </row>
    <row r="835" ht="27.75" customHeight="1">
      <c r="A835" s="56" t="s">
        <v>3944</v>
      </c>
      <c r="B835" s="57" t="s">
        <v>31</v>
      </c>
      <c r="C835" s="58" t="s">
        <v>3945</v>
      </c>
      <c r="D835" s="57" t="s">
        <v>363</v>
      </c>
      <c r="E835" s="59" t="s">
        <v>137</v>
      </c>
      <c r="F835" s="57" t="str">
        <f t="shared" si="61"/>
        <v>Menipis</v>
      </c>
      <c r="G835" s="64">
        <v>1.0</v>
      </c>
      <c r="H835" s="60">
        <v>72500.0</v>
      </c>
      <c r="I835" s="60">
        <v>145000.0</v>
      </c>
      <c r="J835" s="60">
        <f t="shared" si="62"/>
        <v>72500</v>
      </c>
      <c r="K835" s="61">
        <f t="shared" si="63"/>
        <v>1</v>
      </c>
    </row>
    <row r="836" ht="27.75" customHeight="1">
      <c r="A836" s="56" t="s">
        <v>3946</v>
      </c>
      <c r="B836" s="57" t="s">
        <v>31</v>
      </c>
      <c r="C836" s="58" t="s">
        <v>3947</v>
      </c>
      <c r="D836" s="57" t="s">
        <v>363</v>
      </c>
      <c r="E836" s="59" t="s">
        <v>137</v>
      </c>
      <c r="F836" s="57" t="str">
        <f t="shared" si="61"/>
        <v>Menipis</v>
      </c>
      <c r="G836" s="64">
        <v>1.0</v>
      </c>
      <c r="H836" s="60">
        <v>49500.0</v>
      </c>
      <c r="I836" s="60">
        <v>99000.0</v>
      </c>
      <c r="J836" s="60">
        <f t="shared" si="62"/>
        <v>49500</v>
      </c>
      <c r="K836" s="61">
        <f t="shared" si="63"/>
        <v>1</v>
      </c>
    </row>
    <row r="837" ht="27.75" customHeight="1">
      <c r="A837" s="56" t="s">
        <v>3948</v>
      </c>
      <c r="B837" s="57" t="s">
        <v>31</v>
      </c>
      <c r="C837" s="58" t="s">
        <v>3949</v>
      </c>
      <c r="D837" s="57" t="s">
        <v>363</v>
      </c>
      <c r="E837" s="59" t="s">
        <v>137</v>
      </c>
      <c r="F837" s="57" t="str">
        <f t="shared" si="61"/>
        <v>Menipis</v>
      </c>
      <c r="G837" s="64">
        <v>1.0</v>
      </c>
      <c r="H837" s="60">
        <v>22500.0</v>
      </c>
      <c r="I837" s="60">
        <v>45000.0</v>
      </c>
      <c r="J837" s="60">
        <f t="shared" si="62"/>
        <v>22500</v>
      </c>
      <c r="K837" s="61">
        <f t="shared" si="63"/>
        <v>1</v>
      </c>
    </row>
    <row r="838" ht="27.75" customHeight="1">
      <c r="A838" s="56" t="s">
        <v>3950</v>
      </c>
      <c r="B838" s="57" t="s">
        <v>31</v>
      </c>
      <c r="C838" s="58" t="s">
        <v>3951</v>
      </c>
      <c r="D838" s="57" t="s">
        <v>363</v>
      </c>
      <c r="E838" s="59" t="s">
        <v>177</v>
      </c>
      <c r="F838" s="57" t="str">
        <f t="shared" si="61"/>
        <v>Menipis</v>
      </c>
      <c r="G838" s="64">
        <v>2.0</v>
      </c>
      <c r="H838" s="60">
        <v>24000.0</v>
      </c>
      <c r="I838" s="60">
        <v>50000.0</v>
      </c>
      <c r="J838" s="60">
        <f t="shared" si="62"/>
        <v>26000</v>
      </c>
      <c r="K838" s="61">
        <f t="shared" si="63"/>
        <v>1.083333333</v>
      </c>
    </row>
    <row r="839" ht="27.75" customHeight="1">
      <c r="A839" s="56" t="s">
        <v>3952</v>
      </c>
      <c r="B839" s="57" t="s">
        <v>31</v>
      </c>
      <c r="C839" s="58" t="s">
        <v>3953</v>
      </c>
      <c r="D839" s="57" t="s">
        <v>2556</v>
      </c>
      <c r="E839" s="59" t="s">
        <v>177</v>
      </c>
      <c r="F839" s="57" t="str">
        <f t="shared" si="61"/>
        <v>Menipis</v>
      </c>
      <c r="G839" s="64">
        <v>1.0</v>
      </c>
      <c r="H839" s="60">
        <v>30000.0</v>
      </c>
      <c r="I839" s="60">
        <v>60000.0</v>
      </c>
      <c r="J839" s="60">
        <f t="shared" si="62"/>
        <v>30000</v>
      </c>
      <c r="K839" s="61">
        <f t="shared" si="63"/>
        <v>1</v>
      </c>
    </row>
    <row r="840" ht="27.75" customHeight="1">
      <c r="A840" s="56" t="s">
        <v>3954</v>
      </c>
      <c r="B840" s="57" t="s">
        <v>31</v>
      </c>
      <c r="C840" s="58" t="s">
        <v>3955</v>
      </c>
      <c r="D840" s="57" t="s">
        <v>510</v>
      </c>
      <c r="E840" s="59" t="s">
        <v>177</v>
      </c>
      <c r="F840" s="57" t="str">
        <f t="shared" si="61"/>
        <v>Menipis</v>
      </c>
      <c r="G840" s="64">
        <v>1.0</v>
      </c>
      <c r="H840" s="60">
        <v>75000.0</v>
      </c>
      <c r="I840" s="60">
        <v>120000.0</v>
      </c>
      <c r="J840" s="60">
        <f t="shared" si="62"/>
        <v>45000</v>
      </c>
      <c r="K840" s="61">
        <f t="shared" si="63"/>
        <v>0.6</v>
      </c>
    </row>
    <row r="841" ht="27.75" customHeight="1">
      <c r="A841" s="56" t="s">
        <v>3956</v>
      </c>
      <c r="B841" s="57" t="s">
        <v>31</v>
      </c>
      <c r="C841" s="58" t="s">
        <v>3957</v>
      </c>
      <c r="D841" s="57" t="s">
        <v>945</v>
      </c>
      <c r="E841" s="59" t="s">
        <v>177</v>
      </c>
      <c r="F841" s="57" t="str">
        <f t="shared" si="61"/>
        <v>Menipis</v>
      </c>
      <c r="G841" s="64">
        <v>1.0</v>
      </c>
      <c r="H841" s="60">
        <v>60000.0</v>
      </c>
      <c r="I841" s="60">
        <v>120000.0</v>
      </c>
      <c r="J841" s="60">
        <f t="shared" si="62"/>
        <v>60000</v>
      </c>
      <c r="K841" s="61">
        <f t="shared" si="63"/>
        <v>1</v>
      </c>
    </row>
    <row r="842" ht="27.75" customHeight="1">
      <c r="A842" s="56" t="s">
        <v>3958</v>
      </c>
      <c r="B842" s="57" t="s">
        <v>31</v>
      </c>
      <c r="C842" s="58" t="s">
        <v>3959</v>
      </c>
      <c r="D842" s="57" t="s">
        <v>2556</v>
      </c>
      <c r="E842" s="59" t="s">
        <v>177</v>
      </c>
      <c r="F842" s="57" t="str">
        <f t="shared" si="61"/>
        <v>Menipis</v>
      </c>
      <c r="G842" s="64">
        <v>1.0</v>
      </c>
      <c r="H842" s="60">
        <v>40000.0</v>
      </c>
      <c r="I842" s="60">
        <v>80000.0</v>
      </c>
      <c r="J842" s="60">
        <f t="shared" si="62"/>
        <v>40000</v>
      </c>
      <c r="K842" s="61">
        <f t="shared" si="63"/>
        <v>1</v>
      </c>
    </row>
    <row r="843" ht="27.75" customHeight="1">
      <c r="A843" s="56" t="s">
        <v>3960</v>
      </c>
      <c r="B843" s="57" t="s">
        <v>31</v>
      </c>
      <c r="C843" s="58" t="s">
        <v>3961</v>
      </c>
      <c r="D843" s="57" t="s">
        <v>2843</v>
      </c>
      <c r="E843" s="59" t="s">
        <v>177</v>
      </c>
      <c r="F843" s="57" t="str">
        <f t="shared" si="61"/>
        <v>Menipis</v>
      </c>
      <c r="G843" s="64">
        <v>1.0</v>
      </c>
      <c r="H843" s="60">
        <v>35000.0</v>
      </c>
      <c r="I843" s="60">
        <v>70000.0</v>
      </c>
      <c r="J843" s="60">
        <f t="shared" si="62"/>
        <v>35000</v>
      </c>
      <c r="K843" s="61">
        <f t="shared" si="63"/>
        <v>1</v>
      </c>
    </row>
    <row r="844" ht="27.75" customHeight="1">
      <c r="A844" s="56" t="s">
        <v>3962</v>
      </c>
      <c r="B844" s="57" t="s">
        <v>31</v>
      </c>
      <c r="C844" s="58" t="s">
        <v>3963</v>
      </c>
      <c r="D844" s="57" t="s">
        <v>363</v>
      </c>
      <c r="E844" s="59" t="s">
        <v>177</v>
      </c>
      <c r="F844" s="57" t="str">
        <f t="shared" si="61"/>
        <v>Tersedia</v>
      </c>
      <c r="G844" s="64">
        <v>4.0</v>
      </c>
      <c r="H844" s="60">
        <v>20000.0</v>
      </c>
      <c r="I844" s="60">
        <v>40000.0</v>
      </c>
      <c r="J844" s="60">
        <f t="shared" si="62"/>
        <v>20000</v>
      </c>
      <c r="K844" s="61">
        <f t="shared" si="63"/>
        <v>1</v>
      </c>
    </row>
    <row r="845" ht="27.75" customHeight="1">
      <c r="A845" s="56" t="s">
        <v>3964</v>
      </c>
      <c r="B845" s="57" t="s">
        <v>31</v>
      </c>
      <c r="C845" s="58" t="s">
        <v>3965</v>
      </c>
      <c r="D845" s="57" t="s">
        <v>2556</v>
      </c>
      <c r="E845" s="59" t="s">
        <v>177</v>
      </c>
      <c r="F845" s="57" t="str">
        <f t="shared" si="61"/>
        <v>Menipis</v>
      </c>
      <c r="G845" s="64">
        <v>1.0</v>
      </c>
      <c r="H845" s="60">
        <v>30000.0</v>
      </c>
      <c r="I845" s="60">
        <v>60000.0</v>
      </c>
      <c r="J845" s="60">
        <f t="shared" si="62"/>
        <v>30000</v>
      </c>
      <c r="K845" s="61">
        <f t="shared" si="63"/>
        <v>1</v>
      </c>
    </row>
    <row r="846" ht="27.75" customHeight="1">
      <c r="A846" s="56" t="s">
        <v>3966</v>
      </c>
      <c r="B846" s="57" t="s">
        <v>31</v>
      </c>
      <c r="C846" s="58" t="s">
        <v>3967</v>
      </c>
      <c r="D846" s="57" t="s">
        <v>2841</v>
      </c>
      <c r="E846" s="59" t="s">
        <v>177</v>
      </c>
      <c r="F846" s="57" t="str">
        <f t="shared" si="61"/>
        <v>Menipis</v>
      </c>
      <c r="G846" s="64">
        <v>1.0</v>
      </c>
      <c r="H846" s="60">
        <v>95000.0</v>
      </c>
      <c r="I846" s="60">
        <v>150000.0</v>
      </c>
      <c r="J846" s="60">
        <f t="shared" si="62"/>
        <v>55000</v>
      </c>
      <c r="K846" s="61">
        <f t="shared" si="63"/>
        <v>0.5789473684</v>
      </c>
    </row>
    <row r="847" ht="27.75" customHeight="1">
      <c r="A847" s="56" t="s">
        <v>3968</v>
      </c>
      <c r="B847" s="57" t="s">
        <v>31</v>
      </c>
      <c r="C847" s="58" t="s">
        <v>3969</v>
      </c>
      <c r="D847" s="57" t="s">
        <v>1485</v>
      </c>
      <c r="E847" s="59" t="s">
        <v>177</v>
      </c>
      <c r="F847" s="57" t="str">
        <f t="shared" si="61"/>
        <v>Menipis</v>
      </c>
      <c r="G847" s="64">
        <v>1.0</v>
      </c>
      <c r="H847" s="60">
        <v>94000.0</v>
      </c>
      <c r="I847" s="60">
        <v>150000.0</v>
      </c>
      <c r="J847" s="60">
        <f t="shared" si="62"/>
        <v>56000</v>
      </c>
      <c r="K847" s="61">
        <f t="shared" si="63"/>
        <v>0.5957446809</v>
      </c>
    </row>
    <row r="848" ht="27.75" customHeight="1">
      <c r="A848" s="56" t="s">
        <v>3970</v>
      </c>
      <c r="B848" s="57" t="s">
        <v>31</v>
      </c>
      <c r="C848" s="58" t="s">
        <v>3971</v>
      </c>
      <c r="D848" s="57" t="s">
        <v>1485</v>
      </c>
      <c r="E848" s="59" t="s">
        <v>177</v>
      </c>
      <c r="F848" s="57" t="str">
        <f t="shared" si="61"/>
        <v>Menipis</v>
      </c>
      <c r="G848" s="64">
        <v>1.0</v>
      </c>
      <c r="H848" s="60">
        <v>94000.0</v>
      </c>
      <c r="I848" s="60">
        <v>150000.0</v>
      </c>
      <c r="J848" s="60">
        <f t="shared" si="62"/>
        <v>56000</v>
      </c>
      <c r="K848" s="61">
        <f t="shared" si="63"/>
        <v>0.5957446809</v>
      </c>
    </row>
    <row r="849" ht="27.75" customHeight="1">
      <c r="A849" s="56" t="s">
        <v>3972</v>
      </c>
      <c r="B849" s="57" t="s">
        <v>31</v>
      </c>
      <c r="C849" s="58" t="s">
        <v>3973</v>
      </c>
      <c r="D849" s="57" t="s">
        <v>2843</v>
      </c>
      <c r="E849" s="59" t="s">
        <v>177</v>
      </c>
      <c r="F849" s="57" t="str">
        <f t="shared" si="61"/>
        <v>Menipis</v>
      </c>
      <c r="G849" s="64">
        <v>1.0</v>
      </c>
      <c r="H849" s="60">
        <v>35000.0</v>
      </c>
      <c r="I849" s="60">
        <v>70000.0</v>
      </c>
      <c r="J849" s="60">
        <f t="shared" si="62"/>
        <v>35000</v>
      </c>
      <c r="K849" s="61">
        <f t="shared" si="63"/>
        <v>1</v>
      </c>
    </row>
    <row r="850" ht="27.75" customHeight="1">
      <c r="A850" s="56" t="s">
        <v>3974</v>
      </c>
      <c r="B850" s="57" t="s">
        <v>31</v>
      </c>
      <c r="C850" s="58" t="s">
        <v>3975</v>
      </c>
      <c r="D850" s="57" t="s">
        <v>363</v>
      </c>
      <c r="E850" s="59" t="s">
        <v>177</v>
      </c>
      <c r="F850" s="57" t="str">
        <f t="shared" si="61"/>
        <v>Menipis</v>
      </c>
      <c r="G850" s="64">
        <v>2.0</v>
      </c>
      <c r="H850" s="60">
        <v>30000.0</v>
      </c>
      <c r="I850" s="60">
        <v>65000.0</v>
      </c>
      <c r="J850" s="60">
        <f t="shared" si="62"/>
        <v>35000</v>
      </c>
      <c r="K850" s="61">
        <f t="shared" si="63"/>
        <v>1.166666667</v>
      </c>
    </row>
    <row r="851" ht="27.75" customHeight="1">
      <c r="A851" s="56" t="s">
        <v>3976</v>
      </c>
      <c r="B851" s="57" t="s">
        <v>31</v>
      </c>
      <c r="C851" s="58" t="s">
        <v>3977</v>
      </c>
      <c r="D851" s="57" t="s">
        <v>363</v>
      </c>
      <c r="E851" s="59" t="s">
        <v>177</v>
      </c>
      <c r="F851" s="57" t="str">
        <f t="shared" si="61"/>
        <v>Menipis</v>
      </c>
      <c r="G851" s="64">
        <v>2.0</v>
      </c>
      <c r="H851" s="60">
        <v>24000.0</v>
      </c>
      <c r="I851" s="60">
        <v>55000.0</v>
      </c>
      <c r="J851" s="60">
        <f t="shared" si="62"/>
        <v>31000</v>
      </c>
      <c r="K851" s="61">
        <f t="shared" si="63"/>
        <v>1.291666667</v>
      </c>
    </row>
    <row r="852" ht="27.75" customHeight="1">
      <c r="A852" s="56" t="s">
        <v>3978</v>
      </c>
      <c r="B852" s="57" t="s">
        <v>31</v>
      </c>
      <c r="C852" s="58" t="s">
        <v>3979</v>
      </c>
      <c r="D852" s="57" t="s">
        <v>341</v>
      </c>
      <c r="E852" s="159" t="s">
        <v>177</v>
      </c>
      <c r="F852" s="57" t="s">
        <v>1180</v>
      </c>
      <c r="G852" s="64">
        <v>2.0</v>
      </c>
      <c r="H852" s="60">
        <v>105000.0</v>
      </c>
      <c r="I852" s="60">
        <v>180000.0</v>
      </c>
      <c r="J852" s="60">
        <v>75000.0</v>
      </c>
      <c r="K852" s="61">
        <v>0.71</v>
      </c>
    </row>
    <row r="853" ht="27.75" customHeight="1">
      <c r="A853" s="56" t="s">
        <v>3980</v>
      </c>
      <c r="B853" s="57" t="s">
        <v>31</v>
      </c>
      <c r="C853" s="58" t="s">
        <v>3981</v>
      </c>
      <c r="D853" s="57" t="s">
        <v>341</v>
      </c>
      <c r="E853" s="159" t="s">
        <v>177</v>
      </c>
      <c r="F853" s="57" t="s">
        <v>1180</v>
      </c>
      <c r="G853" s="64">
        <v>1.0</v>
      </c>
      <c r="H853" s="60">
        <v>150000.0</v>
      </c>
      <c r="I853" s="60">
        <v>220000.0</v>
      </c>
      <c r="J853" s="60">
        <v>70000.0</v>
      </c>
      <c r="K853" s="61">
        <v>0.47</v>
      </c>
    </row>
    <row r="854" ht="27.75" customHeight="1">
      <c r="A854" s="56" t="s">
        <v>3982</v>
      </c>
      <c r="B854" s="57" t="s">
        <v>31</v>
      </c>
      <c r="C854" s="58" t="s">
        <v>3983</v>
      </c>
      <c r="D854" s="57" t="s">
        <v>363</v>
      </c>
      <c r="E854" s="59" t="s">
        <v>387</v>
      </c>
      <c r="F854" s="57" t="str">
        <f t="shared" ref="F854:F859" si="64">IF(G854="", "", IF(G854&lt;=0, "Habis", IF(G854&lt;=3, "Menipis", "Tersedia")))</f>
        <v>Menipis</v>
      </c>
      <c r="G854" s="56">
        <v>2.0</v>
      </c>
      <c r="H854" s="60">
        <v>12500.0</v>
      </c>
      <c r="I854" s="60">
        <v>25000.0</v>
      </c>
      <c r="J854" s="60">
        <f t="shared" ref="J854:J859" si="65">I854-H854</f>
        <v>12500</v>
      </c>
      <c r="K854" s="61">
        <f t="shared" ref="K854:K859" si="66">J854/H854*100%</f>
        <v>1</v>
      </c>
    </row>
    <row r="855" ht="27.75" customHeight="1">
      <c r="A855" s="56" t="s">
        <v>3984</v>
      </c>
      <c r="B855" s="57" t="s">
        <v>31</v>
      </c>
      <c r="C855" s="58" t="s">
        <v>3985</v>
      </c>
      <c r="D855" s="57" t="s">
        <v>363</v>
      </c>
      <c r="E855" s="59" t="s">
        <v>1205</v>
      </c>
      <c r="F855" s="57" t="str">
        <f t="shared" si="64"/>
        <v>Tersedia</v>
      </c>
      <c r="G855" s="64">
        <v>5.0</v>
      </c>
      <c r="H855" s="60">
        <v>27000.0</v>
      </c>
      <c r="I855" s="60">
        <v>45000.0</v>
      </c>
      <c r="J855" s="60">
        <f t="shared" si="65"/>
        <v>18000</v>
      </c>
      <c r="K855" s="61">
        <f t="shared" si="66"/>
        <v>0.6666666667</v>
      </c>
    </row>
    <row r="856" ht="27.75" customHeight="1">
      <c r="A856" s="56" t="s">
        <v>3986</v>
      </c>
      <c r="B856" s="57" t="s">
        <v>31</v>
      </c>
      <c r="C856" s="58" t="s">
        <v>3987</v>
      </c>
      <c r="D856" s="57" t="s">
        <v>363</v>
      </c>
      <c r="E856" s="59" t="s">
        <v>1205</v>
      </c>
      <c r="F856" s="57" t="str">
        <f t="shared" si="64"/>
        <v>Menipis</v>
      </c>
      <c r="G856" s="64">
        <v>1.0</v>
      </c>
      <c r="H856" s="60">
        <v>16000.0</v>
      </c>
      <c r="I856" s="60">
        <v>25000.0</v>
      </c>
      <c r="J856" s="60">
        <f t="shared" si="65"/>
        <v>9000</v>
      </c>
      <c r="K856" s="61">
        <f t="shared" si="66"/>
        <v>0.5625</v>
      </c>
    </row>
    <row r="857" ht="27.75" customHeight="1">
      <c r="A857" s="56" t="s">
        <v>3988</v>
      </c>
      <c r="B857" s="57" t="s">
        <v>31</v>
      </c>
      <c r="C857" s="58" t="s">
        <v>3989</v>
      </c>
      <c r="D857" s="57" t="s">
        <v>2861</v>
      </c>
      <c r="E857" s="59" t="s">
        <v>1205</v>
      </c>
      <c r="F857" s="57" t="str">
        <f t="shared" si="64"/>
        <v>Menipis</v>
      </c>
      <c r="G857" s="64">
        <v>1.0</v>
      </c>
      <c r="H857" s="60">
        <v>26112.0</v>
      </c>
      <c r="I857" s="60">
        <v>47002.0</v>
      </c>
      <c r="J857" s="60">
        <f t="shared" si="65"/>
        <v>20890</v>
      </c>
      <c r="K857" s="61">
        <f t="shared" si="66"/>
        <v>0.8000153186</v>
      </c>
    </row>
    <row r="858" ht="27.75" customHeight="1">
      <c r="A858" s="56" t="s">
        <v>3990</v>
      </c>
      <c r="B858" s="57" t="s">
        <v>31</v>
      </c>
      <c r="C858" s="58" t="s">
        <v>3991</v>
      </c>
      <c r="D858" s="57" t="s">
        <v>2861</v>
      </c>
      <c r="E858" s="59" t="s">
        <v>1205</v>
      </c>
      <c r="F858" s="57" t="str">
        <f t="shared" si="64"/>
        <v>Menipis</v>
      </c>
      <c r="G858" s="64">
        <v>1.0</v>
      </c>
      <c r="H858" s="60">
        <v>15678.0</v>
      </c>
      <c r="I858" s="60">
        <v>28220.0</v>
      </c>
      <c r="J858" s="60">
        <f t="shared" si="65"/>
        <v>12542</v>
      </c>
      <c r="K858" s="61">
        <f t="shared" si="66"/>
        <v>0.7999744865</v>
      </c>
    </row>
    <row r="859" ht="27.75" customHeight="1">
      <c r="A859" s="56" t="s">
        <v>3992</v>
      </c>
      <c r="B859" s="57" t="s">
        <v>31</v>
      </c>
      <c r="C859" s="58" t="s">
        <v>3993</v>
      </c>
      <c r="D859" s="57" t="s">
        <v>363</v>
      </c>
      <c r="E859" s="70" t="s">
        <v>410</v>
      </c>
      <c r="F859" s="57" t="str">
        <f t="shared" si="64"/>
        <v>Menipis</v>
      </c>
      <c r="G859" s="56">
        <v>1.0</v>
      </c>
      <c r="H859" s="60">
        <v>12500.0</v>
      </c>
      <c r="I859" s="60">
        <v>25000.0</v>
      </c>
      <c r="J859" s="60">
        <f t="shared" si="65"/>
        <v>12500</v>
      </c>
      <c r="K859" s="61">
        <f t="shared" si="66"/>
        <v>1</v>
      </c>
    </row>
    <row r="860" ht="27.75" customHeight="1">
      <c r="A860" s="56" t="s">
        <v>3994</v>
      </c>
      <c r="B860" s="57" t="s">
        <v>1172</v>
      </c>
      <c r="C860" s="58" t="s">
        <v>3995</v>
      </c>
      <c r="D860" s="57" t="s">
        <v>1248</v>
      </c>
      <c r="E860" s="159" t="s">
        <v>3996</v>
      </c>
      <c r="F860" s="57" t="s">
        <v>1180</v>
      </c>
      <c r="G860" s="64">
        <v>2.0</v>
      </c>
      <c r="H860" s="60">
        <v>11000.0</v>
      </c>
      <c r="I860" s="60">
        <v>30000.0</v>
      </c>
      <c r="J860" s="60">
        <v>19000.0</v>
      </c>
      <c r="K860" s="61">
        <v>1.73</v>
      </c>
    </row>
    <row r="861" ht="27.75" customHeight="1">
      <c r="A861" s="56" t="s">
        <v>3997</v>
      </c>
      <c r="B861" s="57" t="s">
        <v>31</v>
      </c>
      <c r="C861" s="58" t="s">
        <v>3998</v>
      </c>
      <c r="D861" s="57" t="s">
        <v>363</v>
      </c>
      <c r="E861" s="59" t="s">
        <v>2418</v>
      </c>
      <c r="F861" s="57" t="str">
        <f t="shared" ref="F861:F1064" si="67">IF(G861="", "", IF(G861&lt;=0, "Habis", IF(G861&lt;=3, "Menipis", "Tersedia")))</f>
        <v>Tersedia</v>
      </c>
      <c r="G861" s="64">
        <v>33.0</v>
      </c>
      <c r="H861" s="60">
        <v>1500.0</v>
      </c>
      <c r="I861" s="60">
        <v>5000.0</v>
      </c>
      <c r="J861" s="60">
        <f t="shared" ref="J861:J1064" si="68">I861-H861</f>
        <v>3500</v>
      </c>
      <c r="K861" s="61">
        <f t="shared" ref="K861:K1064" si="69">J861/H861*100%</f>
        <v>2.333333333</v>
      </c>
    </row>
    <row r="862" ht="27.75" customHeight="1">
      <c r="A862" s="56" t="s">
        <v>3999</v>
      </c>
      <c r="B862" s="57" t="s">
        <v>31</v>
      </c>
      <c r="C862" s="58" t="s">
        <v>4000</v>
      </c>
      <c r="D862" s="57" t="s">
        <v>2862</v>
      </c>
      <c r="E862" s="59" t="s">
        <v>1822</v>
      </c>
      <c r="F862" s="57" t="str">
        <f t="shared" si="67"/>
        <v>Menipis</v>
      </c>
      <c r="G862" s="56">
        <v>1.0</v>
      </c>
      <c r="H862" s="60">
        <v>10000.0</v>
      </c>
      <c r="I862" s="60">
        <v>20000.0</v>
      </c>
      <c r="J862" s="60">
        <f t="shared" si="68"/>
        <v>10000</v>
      </c>
      <c r="K862" s="61">
        <f t="shared" si="69"/>
        <v>1</v>
      </c>
    </row>
    <row r="863" ht="27.75" customHeight="1">
      <c r="A863" s="56" t="s">
        <v>4001</v>
      </c>
      <c r="B863" s="57" t="s">
        <v>31</v>
      </c>
      <c r="C863" s="58" t="s">
        <v>4002</v>
      </c>
      <c r="D863" s="57" t="s">
        <v>2862</v>
      </c>
      <c r="E863" s="59" t="s">
        <v>1822</v>
      </c>
      <c r="F863" s="57" t="str">
        <f t="shared" si="67"/>
        <v>Menipis</v>
      </c>
      <c r="G863" s="56">
        <v>1.0</v>
      </c>
      <c r="H863" s="60">
        <v>16000.0</v>
      </c>
      <c r="I863" s="60">
        <v>25000.0</v>
      </c>
      <c r="J863" s="60">
        <f t="shared" si="68"/>
        <v>9000</v>
      </c>
      <c r="K863" s="61">
        <f t="shared" si="69"/>
        <v>0.5625</v>
      </c>
    </row>
    <row r="864" ht="27.75" customHeight="1">
      <c r="A864" s="56" t="s">
        <v>4003</v>
      </c>
      <c r="B864" s="57" t="s">
        <v>1363</v>
      </c>
      <c r="C864" s="58" t="s">
        <v>4004</v>
      </c>
      <c r="D864" s="57" t="s">
        <v>2834</v>
      </c>
      <c r="E864" s="59" t="s">
        <v>3637</v>
      </c>
      <c r="F864" s="57" t="str">
        <f t="shared" si="67"/>
        <v>Tersedia</v>
      </c>
      <c r="G864" s="64">
        <v>16.0</v>
      </c>
      <c r="H864" s="60">
        <v>9750.0</v>
      </c>
      <c r="I864" s="60">
        <v>12000.0</v>
      </c>
      <c r="J864" s="60">
        <f t="shared" si="68"/>
        <v>2250</v>
      </c>
      <c r="K864" s="61">
        <f t="shared" si="69"/>
        <v>0.2307692308</v>
      </c>
    </row>
    <row r="865" ht="27.75" customHeight="1">
      <c r="A865" s="56" t="s">
        <v>4005</v>
      </c>
      <c r="B865" s="57" t="s">
        <v>1363</v>
      </c>
      <c r="C865" s="58" t="s">
        <v>4006</v>
      </c>
      <c r="D865" s="57" t="s">
        <v>2834</v>
      </c>
      <c r="E865" s="59" t="s">
        <v>3637</v>
      </c>
      <c r="F865" s="57" t="str">
        <f t="shared" si="67"/>
        <v>Tersedia</v>
      </c>
      <c r="G865" s="64">
        <v>15.0</v>
      </c>
      <c r="H865" s="60">
        <v>12950.0</v>
      </c>
      <c r="I865" s="60">
        <v>15500.0</v>
      </c>
      <c r="J865" s="60">
        <f t="shared" si="68"/>
        <v>2550</v>
      </c>
      <c r="K865" s="61">
        <f t="shared" si="69"/>
        <v>0.1969111969</v>
      </c>
    </row>
    <row r="866" ht="27.75" customHeight="1">
      <c r="A866" s="56" t="s">
        <v>4007</v>
      </c>
      <c r="B866" s="57" t="s">
        <v>1363</v>
      </c>
      <c r="C866" s="58" t="s">
        <v>4008</v>
      </c>
      <c r="D866" s="57" t="s">
        <v>2834</v>
      </c>
      <c r="E866" s="59" t="s">
        <v>3637</v>
      </c>
      <c r="F866" s="57" t="str">
        <f t="shared" si="67"/>
        <v>Tersedia</v>
      </c>
      <c r="G866" s="64">
        <v>15.0</v>
      </c>
      <c r="H866" s="60">
        <v>22800.0</v>
      </c>
      <c r="I866" s="60">
        <v>26000.0</v>
      </c>
      <c r="J866" s="60">
        <f t="shared" si="68"/>
        <v>3200</v>
      </c>
      <c r="K866" s="61">
        <f t="shared" si="69"/>
        <v>0.1403508772</v>
      </c>
    </row>
    <row r="867" ht="27.75" customHeight="1">
      <c r="A867" s="56" t="s">
        <v>4009</v>
      </c>
      <c r="B867" s="57" t="s">
        <v>1363</v>
      </c>
      <c r="C867" s="58" t="s">
        <v>4010</v>
      </c>
      <c r="D867" s="57" t="s">
        <v>2834</v>
      </c>
      <c r="E867" s="59" t="s">
        <v>3637</v>
      </c>
      <c r="F867" s="57" t="str">
        <f t="shared" si="67"/>
        <v>Tersedia</v>
      </c>
      <c r="G867" s="64">
        <v>15.0</v>
      </c>
      <c r="H867" s="60">
        <v>12950.0</v>
      </c>
      <c r="I867" s="60">
        <v>15000.0</v>
      </c>
      <c r="J867" s="60">
        <f t="shared" si="68"/>
        <v>2050</v>
      </c>
      <c r="K867" s="61">
        <f t="shared" si="69"/>
        <v>0.1583011583</v>
      </c>
    </row>
    <row r="868" ht="27.75" customHeight="1">
      <c r="A868" s="56" t="s">
        <v>4011</v>
      </c>
      <c r="B868" s="57" t="s">
        <v>1363</v>
      </c>
      <c r="C868" s="58" t="s">
        <v>4012</v>
      </c>
      <c r="D868" s="57" t="s">
        <v>2834</v>
      </c>
      <c r="E868" s="59" t="s">
        <v>3637</v>
      </c>
      <c r="F868" s="57" t="str">
        <f t="shared" si="67"/>
        <v>Tersedia</v>
      </c>
      <c r="G868" s="64">
        <v>15.0</v>
      </c>
      <c r="H868" s="60">
        <v>22825.0</v>
      </c>
      <c r="I868" s="60">
        <v>25000.0</v>
      </c>
      <c r="J868" s="60">
        <f t="shared" si="68"/>
        <v>2175</v>
      </c>
      <c r="K868" s="61">
        <f t="shared" si="69"/>
        <v>0.09529025192</v>
      </c>
    </row>
    <row r="869" ht="27.75" customHeight="1">
      <c r="A869" s="56" t="s">
        <v>4013</v>
      </c>
      <c r="B869" s="57" t="s">
        <v>1363</v>
      </c>
      <c r="C869" s="58" t="s">
        <v>4014</v>
      </c>
      <c r="D869" s="57" t="s">
        <v>2835</v>
      </c>
      <c r="E869" s="59" t="s">
        <v>3637</v>
      </c>
      <c r="F869" s="57" t="str">
        <f t="shared" si="67"/>
        <v>Tersedia</v>
      </c>
      <c r="G869" s="64">
        <v>4.0</v>
      </c>
      <c r="H869" s="60">
        <v>23050.0</v>
      </c>
      <c r="I869" s="60">
        <v>26000.0</v>
      </c>
      <c r="J869" s="60">
        <f t="shared" si="68"/>
        <v>2950</v>
      </c>
      <c r="K869" s="61">
        <f t="shared" si="69"/>
        <v>0.1279826464</v>
      </c>
    </row>
    <row r="870" ht="27.75" customHeight="1">
      <c r="A870" s="56" t="s">
        <v>4015</v>
      </c>
      <c r="B870" s="57" t="s">
        <v>1363</v>
      </c>
      <c r="C870" s="58" t="s">
        <v>4016</v>
      </c>
      <c r="D870" s="57" t="s">
        <v>2835</v>
      </c>
      <c r="E870" s="59" t="s">
        <v>3637</v>
      </c>
      <c r="F870" s="57" t="str">
        <f t="shared" si="67"/>
        <v>Tersedia</v>
      </c>
      <c r="G870" s="64">
        <v>20.0</v>
      </c>
      <c r="H870" s="60">
        <v>13300.0</v>
      </c>
      <c r="I870" s="60">
        <v>16000.0</v>
      </c>
      <c r="J870" s="60">
        <f t="shared" si="68"/>
        <v>2700</v>
      </c>
      <c r="K870" s="61">
        <f t="shared" si="69"/>
        <v>0.2030075188</v>
      </c>
    </row>
    <row r="871" ht="27.75" customHeight="1">
      <c r="A871" s="56" t="s">
        <v>4017</v>
      </c>
      <c r="B871" s="57" t="s">
        <v>1363</v>
      </c>
      <c r="C871" s="58" t="s">
        <v>4018</v>
      </c>
      <c r="D871" s="57" t="s">
        <v>2835</v>
      </c>
      <c r="E871" s="59" t="s">
        <v>3637</v>
      </c>
      <c r="F871" s="57" t="str">
        <f t="shared" si="67"/>
        <v>Menipis</v>
      </c>
      <c r="G871" s="64">
        <v>1.0</v>
      </c>
      <c r="H871" s="60">
        <v>17350.0</v>
      </c>
      <c r="I871" s="60">
        <v>20000.0</v>
      </c>
      <c r="J871" s="60">
        <f t="shared" si="68"/>
        <v>2650</v>
      </c>
      <c r="K871" s="61">
        <f t="shared" si="69"/>
        <v>0.1527377522</v>
      </c>
    </row>
    <row r="872" ht="27.75" customHeight="1">
      <c r="A872" s="56" t="s">
        <v>4019</v>
      </c>
      <c r="B872" s="57" t="s">
        <v>1363</v>
      </c>
      <c r="C872" s="58" t="s">
        <v>4020</v>
      </c>
      <c r="D872" s="57" t="s">
        <v>2835</v>
      </c>
      <c r="E872" s="59" t="s">
        <v>3637</v>
      </c>
      <c r="F872" s="57" t="str">
        <f t="shared" si="67"/>
        <v>Tersedia</v>
      </c>
      <c r="G872" s="64">
        <v>15.0</v>
      </c>
      <c r="H872" s="60">
        <v>17000.0</v>
      </c>
      <c r="I872" s="60">
        <v>20000.0</v>
      </c>
      <c r="J872" s="60">
        <f t="shared" si="68"/>
        <v>3000</v>
      </c>
      <c r="K872" s="61">
        <f t="shared" si="69"/>
        <v>0.1764705882</v>
      </c>
    </row>
    <row r="873" ht="27.75" customHeight="1">
      <c r="A873" s="56" t="s">
        <v>4021</v>
      </c>
      <c r="B873" s="57" t="s">
        <v>1363</v>
      </c>
      <c r="C873" s="58" t="s">
        <v>4022</v>
      </c>
      <c r="D873" s="57" t="s">
        <v>2858</v>
      </c>
      <c r="E873" s="59" t="s">
        <v>3637</v>
      </c>
      <c r="F873" s="57" t="str">
        <f t="shared" si="67"/>
        <v>Habis</v>
      </c>
      <c r="G873" s="64">
        <v>0.0</v>
      </c>
      <c r="H873" s="60">
        <v>11700.0</v>
      </c>
      <c r="I873" s="60">
        <v>14000.0</v>
      </c>
      <c r="J873" s="60">
        <f t="shared" si="68"/>
        <v>2300</v>
      </c>
      <c r="K873" s="61">
        <f t="shared" si="69"/>
        <v>0.1965811966</v>
      </c>
    </row>
    <row r="874" ht="27.75" customHeight="1">
      <c r="A874" s="56" t="s">
        <v>4023</v>
      </c>
      <c r="B874" s="57" t="s">
        <v>1363</v>
      </c>
      <c r="C874" s="58" t="s">
        <v>4024</v>
      </c>
      <c r="D874" s="57" t="s">
        <v>2858</v>
      </c>
      <c r="E874" s="59" t="s">
        <v>3637</v>
      </c>
      <c r="F874" s="57" t="str">
        <f t="shared" si="67"/>
        <v>Habis</v>
      </c>
      <c r="G874" s="64">
        <v>0.0</v>
      </c>
      <c r="H874" s="60">
        <v>23060.0</v>
      </c>
      <c r="I874" s="60">
        <v>25000.0</v>
      </c>
      <c r="J874" s="60">
        <f t="shared" si="68"/>
        <v>1940</v>
      </c>
      <c r="K874" s="61">
        <f t="shared" si="69"/>
        <v>0.0841283608</v>
      </c>
    </row>
    <row r="875" ht="27.75" customHeight="1">
      <c r="A875" s="56" t="s">
        <v>4025</v>
      </c>
      <c r="B875" s="57" t="s">
        <v>1363</v>
      </c>
      <c r="C875" s="58" t="s">
        <v>4026</v>
      </c>
      <c r="D875" s="57" t="s">
        <v>2858</v>
      </c>
      <c r="E875" s="59" t="s">
        <v>3637</v>
      </c>
      <c r="F875" s="57" t="str">
        <f t="shared" si="67"/>
        <v>Tersedia</v>
      </c>
      <c r="G875" s="64">
        <v>10.0</v>
      </c>
      <c r="H875" s="60">
        <v>12150.0</v>
      </c>
      <c r="I875" s="60">
        <v>14000.0</v>
      </c>
      <c r="J875" s="60">
        <f t="shared" si="68"/>
        <v>1850</v>
      </c>
      <c r="K875" s="61">
        <f t="shared" si="69"/>
        <v>0.1522633745</v>
      </c>
    </row>
    <row r="876" ht="27.75" customHeight="1">
      <c r="A876" s="56" t="s">
        <v>4027</v>
      </c>
      <c r="B876" s="57" t="s">
        <v>1363</v>
      </c>
      <c r="C876" s="58" t="s">
        <v>4028</v>
      </c>
      <c r="D876" s="57" t="s">
        <v>2858</v>
      </c>
      <c r="E876" s="59" t="s">
        <v>3637</v>
      </c>
      <c r="F876" s="57" t="str">
        <f t="shared" si="67"/>
        <v>Tersedia</v>
      </c>
      <c r="G876" s="64">
        <v>10.0</v>
      </c>
      <c r="H876" s="60">
        <v>22625.0</v>
      </c>
      <c r="I876" s="60">
        <v>26000.0</v>
      </c>
      <c r="J876" s="60">
        <f t="shared" si="68"/>
        <v>3375</v>
      </c>
      <c r="K876" s="61">
        <f t="shared" si="69"/>
        <v>0.1491712707</v>
      </c>
    </row>
    <row r="877" ht="27.75" customHeight="1">
      <c r="A877" s="56" t="s">
        <v>4029</v>
      </c>
      <c r="B877" s="57" t="s">
        <v>1363</v>
      </c>
      <c r="C877" s="58" t="s">
        <v>4030</v>
      </c>
      <c r="D877" s="57" t="s">
        <v>2857</v>
      </c>
      <c r="E877" s="59" t="s">
        <v>3637</v>
      </c>
      <c r="F877" s="57" t="str">
        <f t="shared" si="67"/>
        <v>Tersedia</v>
      </c>
      <c r="G877" s="64">
        <v>13.0</v>
      </c>
      <c r="H877" s="60">
        <v>13050.0</v>
      </c>
      <c r="I877" s="60">
        <v>15500.0</v>
      </c>
      <c r="J877" s="60">
        <f t="shared" si="68"/>
        <v>2450</v>
      </c>
      <c r="K877" s="61">
        <f t="shared" si="69"/>
        <v>0.1877394636</v>
      </c>
    </row>
    <row r="878" ht="27.75" customHeight="1">
      <c r="A878" s="56" t="s">
        <v>4031</v>
      </c>
      <c r="B878" s="57" t="s">
        <v>1363</v>
      </c>
      <c r="C878" s="58" t="s">
        <v>4032</v>
      </c>
      <c r="D878" s="57" t="s">
        <v>2857</v>
      </c>
      <c r="E878" s="59" t="s">
        <v>3637</v>
      </c>
      <c r="F878" s="57" t="str">
        <f t="shared" si="67"/>
        <v>Habis</v>
      </c>
      <c r="G878" s="64">
        <v>0.0</v>
      </c>
      <c r="H878" s="60">
        <v>27400.0</v>
      </c>
      <c r="I878" s="60">
        <v>30000.0</v>
      </c>
      <c r="J878" s="60">
        <f t="shared" si="68"/>
        <v>2600</v>
      </c>
      <c r="K878" s="61">
        <f t="shared" si="69"/>
        <v>0.09489051095</v>
      </c>
    </row>
    <row r="879" ht="27.75" customHeight="1">
      <c r="A879" s="56" t="s">
        <v>4033</v>
      </c>
      <c r="B879" s="57" t="s">
        <v>1363</v>
      </c>
      <c r="C879" s="58" t="s">
        <v>4034</v>
      </c>
      <c r="D879" s="57" t="s">
        <v>2857</v>
      </c>
      <c r="E879" s="59" t="s">
        <v>3637</v>
      </c>
      <c r="F879" s="57" t="str">
        <f t="shared" si="67"/>
        <v>Tersedia</v>
      </c>
      <c r="G879" s="64">
        <v>20.0</v>
      </c>
      <c r="H879" s="60">
        <v>10550.0</v>
      </c>
      <c r="I879" s="60">
        <v>12500.0</v>
      </c>
      <c r="J879" s="60">
        <f t="shared" si="68"/>
        <v>1950</v>
      </c>
      <c r="K879" s="61">
        <f t="shared" si="69"/>
        <v>0.1848341232</v>
      </c>
    </row>
    <row r="880" ht="27.75" customHeight="1">
      <c r="A880" s="56" t="s">
        <v>4035</v>
      </c>
      <c r="B880" s="57" t="s">
        <v>1363</v>
      </c>
      <c r="C880" s="58" t="s">
        <v>4036</v>
      </c>
      <c r="D880" s="57" t="s">
        <v>2857</v>
      </c>
      <c r="E880" s="59" t="s">
        <v>3637</v>
      </c>
      <c r="F880" s="57" t="str">
        <f t="shared" si="67"/>
        <v>Tersedia</v>
      </c>
      <c r="G880" s="64">
        <v>14.0</v>
      </c>
      <c r="H880" s="60">
        <v>27400.0</v>
      </c>
      <c r="I880" s="60">
        <v>30000.0</v>
      </c>
      <c r="J880" s="60">
        <f t="shared" si="68"/>
        <v>2600</v>
      </c>
      <c r="K880" s="61">
        <f t="shared" si="69"/>
        <v>0.09489051095</v>
      </c>
    </row>
    <row r="881" ht="27.75" customHeight="1">
      <c r="A881" s="56" t="s">
        <v>4037</v>
      </c>
      <c r="B881" s="57" t="s">
        <v>1363</v>
      </c>
      <c r="C881" s="58" t="s">
        <v>4038</v>
      </c>
      <c r="D881" s="57" t="s">
        <v>2857</v>
      </c>
      <c r="E881" s="59" t="s">
        <v>3637</v>
      </c>
      <c r="F881" s="57" t="str">
        <f t="shared" si="67"/>
        <v>Tersedia</v>
      </c>
      <c r="G881" s="64">
        <v>20.0</v>
      </c>
      <c r="H881" s="60">
        <v>12800.0</v>
      </c>
      <c r="I881" s="60">
        <v>15000.0</v>
      </c>
      <c r="J881" s="60">
        <f t="shared" si="68"/>
        <v>2200</v>
      </c>
      <c r="K881" s="61">
        <f t="shared" si="69"/>
        <v>0.171875</v>
      </c>
    </row>
    <row r="882" ht="27.75" customHeight="1">
      <c r="A882" s="56" t="s">
        <v>4039</v>
      </c>
      <c r="B882" s="57" t="s">
        <v>1363</v>
      </c>
      <c r="C882" s="58" t="s">
        <v>4040</v>
      </c>
      <c r="D882" s="57" t="s">
        <v>2868</v>
      </c>
      <c r="E882" s="59" t="s">
        <v>3637</v>
      </c>
      <c r="F882" s="57" t="str">
        <f t="shared" si="67"/>
        <v>Tersedia</v>
      </c>
      <c r="G882" s="64">
        <v>4.0</v>
      </c>
      <c r="H882" s="60">
        <v>14925.0</v>
      </c>
      <c r="I882" s="60">
        <v>17000.0</v>
      </c>
      <c r="J882" s="60">
        <f t="shared" si="68"/>
        <v>2075</v>
      </c>
      <c r="K882" s="61">
        <f t="shared" si="69"/>
        <v>0.1390284757</v>
      </c>
    </row>
    <row r="883" ht="27.75" customHeight="1">
      <c r="A883" s="56" t="s">
        <v>4041</v>
      </c>
      <c r="B883" s="57" t="s">
        <v>1363</v>
      </c>
      <c r="C883" s="58" t="s">
        <v>4042</v>
      </c>
      <c r="D883" s="57" t="s">
        <v>2868</v>
      </c>
      <c r="E883" s="59" t="s">
        <v>3637</v>
      </c>
      <c r="F883" s="57" t="str">
        <f t="shared" si="67"/>
        <v>Tersedia</v>
      </c>
      <c r="G883" s="64">
        <v>9.0</v>
      </c>
      <c r="H883" s="60">
        <v>21325.0</v>
      </c>
      <c r="I883" s="60">
        <v>24000.0</v>
      </c>
      <c r="J883" s="60">
        <f t="shared" si="68"/>
        <v>2675</v>
      </c>
      <c r="K883" s="61">
        <f t="shared" si="69"/>
        <v>0.1254396249</v>
      </c>
    </row>
    <row r="884" ht="27.75" customHeight="1">
      <c r="A884" s="56" t="s">
        <v>4043</v>
      </c>
      <c r="B884" s="57" t="s">
        <v>1363</v>
      </c>
      <c r="C884" s="58" t="s">
        <v>4044</v>
      </c>
      <c r="D884" s="57" t="s">
        <v>2868</v>
      </c>
      <c r="E884" s="59" t="s">
        <v>3637</v>
      </c>
      <c r="F884" s="57" t="str">
        <f t="shared" si="67"/>
        <v>Tersedia</v>
      </c>
      <c r="G884" s="64">
        <v>13.0</v>
      </c>
      <c r="H884" s="60">
        <v>17700.0</v>
      </c>
      <c r="I884" s="60">
        <v>20000.0</v>
      </c>
      <c r="J884" s="60">
        <f t="shared" si="68"/>
        <v>2300</v>
      </c>
      <c r="K884" s="61">
        <f t="shared" si="69"/>
        <v>0.1299435028</v>
      </c>
    </row>
    <row r="885" ht="27.75" customHeight="1">
      <c r="A885" s="56" t="s">
        <v>4045</v>
      </c>
      <c r="B885" s="57" t="s">
        <v>31</v>
      </c>
      <c r="C885" s="58" t="s">
        <v>4046</v>
      </c>
      <c r="D885" s="57" t="s">
        <v>363</v>
      </c>
      <c r="E885" s="70" t="s">
        <v>410</v>
      </c>
      <c r="F885" s="57" t="str">
        <f t="shared" si="67"/>
        <v>Menipis</v>
      </c>
      <c r="G885" s="56">
        <v>2.0</v>
      </c>
      <c r="H885" s="60">
        <v>15000.0</v>
      </c>
      <c r="I885" s="60">
        <v>30000.0</v>
      </c>
      <c r="J885" s="60">
        <f t="shared" si="68"/>
        <v>15000</v>
      </c>
      <c r="K885" s="61">
        <f t="shared" si="69"/>
        <v>1</v>
      </c>
    </row>
    <row r="886" ht="27.75" customHeight="1">
      <c r="A886" s="56" t="s">
        <v>4047</v>
      </c>
      <c r="B886" s="57" t="s">
        <v>31</v>
      </c>
      <c r="C886" s="58" t="s">
        <v>4048</v>
      </c>
      <c r="D886" s="57" t="s">
        <v>33</v>
      </c>
      <c r="E886" s="59" t="s">
        <v>387</v>
      </c>
      <c r="F886" s="57" t="str">
        <f t="shared" si="67"/>
        <v>Menipis</v>
      </c>
      <c r="G886" s="56">
        <v>1.0</v>
      </c>
      <c r="H886" s="60">
        <v>35000.0</v>
      </c>
      <c r="I886" s="60">
        <v>55000.0</v>
      </c>
      <c r="J886" s="60">
        <f t="shared" si="68"/>
        <v>20000</v>
      </c>
      <c r="K886" s="61">
        <f t="shared" si="69"/>
        <v>0.5714285714</v>
      </c>
    </row>
    <row r="887" ht="27.75" customHeight="1">
      <c r="A887" s="56" t="s">
        <v>4049</v>
      </c>
      <c r="B887" s="57" t="s">
        <v>31</v>
      </c>
      <c r="C887" s="58" t="s">
        <v>4050</v>
      </c>
      <c r="D887" s="57" t="s">
        <v>33</v>
      </c>
      <c r="E887" s="59" t="s">
        <v>66</v>
      </c>
      <c r="F887" s="57" t="str">
        <f t="shared" si="67"/>
        <v>Menipis</v>
      </c>
      <c r="G887" s="56">
        <v>1.0</v>
      </c>
      <c r="H887" s="60">
        <v>175000.0</v>
      </c>
      <c r="I887" s="60">
        <v>285000.0</v>
      </c>
      <c r="J887" s="60">
        <f t="shared" si="68"/>
        <v>110000</v>
      </c>
      <c r="K887" s="61">
        <f t="shared" si="69"/>
        <v>0.6285714286</v>
      </c>
    </row>
    <row r="888" ht="27.75" customHeight="1">
      <c r="A888" s="56" t="s">
        <v>4051</v>
      </c>
      <c r="B888" s="57" t="s">
        <v>31</v>
      </c>
      <c r="C888" s="58" t="s">
        <v>4052</v>
      </c>
      <c r="D888" s="57" t="s">
        <v>33</v>
      </c>
      <c r="E888" s="59" t="s">
        <v>1272</v>
      </c>
      <c r="F888" s="57" t="str">
        <f t="shared" si="67"/>
        <v>Menipis</v>
      </c>
      <c r="G888" s="56">
        <v>1.0</v>
      </c>
      <c r="H888" s="60">
        <v>111000.0</v>
      </c>
      <c r="I888" s="60">
        <v>170000.0</v>
      </c>
      <c r="J888" s="60">
        <f t="shared" si="68"/>
        <v>59000</v>
      </c>
      <c r="K888" s="61">
        <f t="shared" si="69"/>
        <v>0.5315315315</v>
      </c>
    </row>
    <row r="889" ht="27.75" customHeight="1">
      <c r="A889" s="56" t="s">
        <v>4053</v>
      </c>
      <c r="B889" s="57" t="s">
        <v>31</v>
      </c>
      <c r="C889" s="58" t="s">
        <v>4054</v>
      </c>
      <c r="D889" s="57" t="s">
        <v>33</v>
      </c>
      <c r="E889" s="59" t="s">
        <v>1272</v>
      </c>
      <c r="F889" s="57" t="str">
        <f t="shared" si="67"/>
        <v>Menipis</v>
      </c>
      <c r="G889" s="56">
        <v>2.0</v>
      </c>
      <c r="H889" s="60">
        <v>52000.0</v>
      </c>
      <c r="I889" s="60">
        <v>80000.0</v>
      </c>
      <c r="J889" s="60">
        <f t="shared" si="68"/>
        <v>28000</v>
      </c>
      <c r="K889" s="61">
        <f t="shared" si="69"/>
        <v>0.5384615385</v>
      </c>
    </row>
    <row r="890" ht="27.75" customHeight="1">
      <c r="A890" s="56" t="s">
        <v>4055</v>
      </c>
      <c r="B890" s="57" t="s">
        <v>31</v>
      </c>
      <c r="C890" s="58" t="s">
        <v>4056</v>
      </c>
      <c r="D890" s="57" t="s">
        <v>33</v>
      </c>
      <c r="E890" s="59" t="s">
        <v>1272</v>
      </c>
      <c r="F890" s="57" t="str">
        <f t="shared" si="67"/>
        <v>Menipis</v>
      </c>
      <c r="G890" s="56">
        <v>1.0</v>
      </c>
      <c r="H890" s="60">
        <v>95000.0</v>
      </c>
      <c r="I890" s="60">
        <v>150000.0</v>
      </c>
      <c r="J890" s="60">
        <f t="shared" si="68"/>
        <v>55000</v>
      </c>
      <c r="K890" s="61">
        <f t="shared" si="69"/>
        <v>0.5789473684</v>
      </c>
    </row>
    <row r="891" ht="27.75" customHeight="1">
      <c r="A891" s="56" t="s">
        <v>4057</v>
      </c>
      <c r="B891" s="57" t="s">
        <v>31</v>
      </c>
      <c r="C891" s="58" t="s">
        <v>4058</v>
      </c>
      <c r="D891" s="57" t="s">
        <v>33</v>
      </c>
      <c r="E891" s="59" t="s">
        <v>1272</v>
      </c>
      <c r="F891" s="57" t="str">
        <f t="shared" si="67"/>
        <v>Menipis</v>
      </c>
      <c r="G891" s="56">
        <v>2.0</v>
      </c>
      <c r="H891" s="60">
        <v>102000.0</v>
      </c>
      <c r="I891" s="60">
        <v>150000.0</v>
      </c>
      <c r="J891" s="60">
        <f t="shared" si="68"/>
        <v>48000</v>
      </c>
      <c r="K891" s="61">
        <f t="shared" si="69"/>
        <v>0.4705882353</v>
      </c>
    </row>
    <row r="892" ht="27.75" customHeight="1">
      <c r="A892" s="56" t="s">
        <v>4059</v>
      </c>
      <c r="B892" s="57" t="s">
        <v>31</v>
      </c>
      <c r="C892" s="58" t="s">
        <v>4060</v>
      </c>
      <c r="D892" s="57" t="s">
        <v>33</v>
      </c>
      <c r="E892" s="59" t="s">
        <v>1272</v>
      </c>
      <c r="F892" s="57" t="str">
        <f t="shared" si="67"/>
        <v>Menipis</v>
      </c>
      <c r="G892" s="56">
        <v>2.0</v>
      </c>
      <c r="H892" s="60">
        <v>68000.0</v>
      </c>
      <c r="I892" s="60">
        <v>105000.0</v>
      </c>
      <c r="J892" s="60">
        <f t="shared" si="68"/>
        <v>37000</v>
      </c>
      <c r="K892" s="61">
        <f t="shared" si="69"/>
        <v>0.5441176471</v>
      </c>
    </row>
    <row r="893" ht="27.75" customHeight="1">
      <c r="A893" s="56" t="s">
        <v>4061</v>
      </c>
      <c r="B893" s="57" t="s">
        <v>31</v>
      </c>
      <c r="C893" s="58" t="s">
        <v>4062</v>
      </c>
      <c r="D893" s="57" t="s">
        <v>33</v>
      </c>
      <c r="E893" s="59" t="s">
        <v>1272</v>
      </c>
      <c r="F893" s="57" t="str">
        <f t="shared" si="67"/>
        <v>Menipis</v>
      </c>
      <c r="G893" s="56">
        <v>1.0</v>
      </c>
      <c r="H893" s="60">
        <v>127000.0</v>
      </c>
      <c r="I893" s="60">
        <v>200000.0</v>
      </c>
      <c r="J893" s="60">
        <f t="shared" si="68"/>
        <v>73000</v>
      </c>
      <c r="K893" s="61">
        <f t="shared" si="69"/>
        <v>0.5748031496</v>
      </c>
    </row>
    <row r="894" ht="27.75" customHeight="1">
      <c r="A894" s="56" t="s">
        <v>4063</v>
      </c>
      <c r="B894" s="57" t="s">
        <v>31</v>
      </c>
      <c r="C894" s="58" t="s">
        <v>4064</v>
      </c>
      <c r="D894" s="57" t="s">
        <v>33</v>
      </c>
      <c r="E894" s="59" t="s">
        <v>1272</v>
      </c>
      <c r="F894" s="57" t="str">
        <f t="shared" si="67"/>
        <v>Tersedia</v>
      </c>
      <c r="G894" s="56">
        <v>4.0</v>
      </c>
      <c r="H894" s="60">
        <v>55000.0</v>
      </c>
      <c r="I894" s="60">
        <v>85000.0</v>
      </c>
      <c r="J894" s="60">
        <f t="shared" si="68"/>
        <v>30000</v>
      </c>
      <c r="K894" s="61">
        <f t="shared" si="69"/>
        <v>0.5454545455</v>
      </c>
    </row>
    <row r="895" ht="27.75" customHeight="1">
      <c r="A895" s="56" t="s">
        <v>4065</v>
      </c>
      <c r="B895" s="57" t="s">
        <v>31</v>
      </c>
      <c r="C895" s="58" t="s">
        <v>4066</v>
      </c>
      <c r="D895" s="57" t="s">
        <v>33</v>
      </c>
      <c r="E895" s="59" t="s">
        <v>2455</v>
      </c>
      <c r="F895" s="57" t="str">
        <f t="shared" si="67"/>
        <v>Menipis</v>
      </c>
      <c r="G895" s="56">
        <v>1.0</v>
      </c>
      <c r="H895" s="60">
        <v>110000.0</v>
      </c>
      <c r="I895" s="60">
        <v>225000.0</v>
      </c>
      <c r="J895" s="60">
        <f t="shared" si="68"/>
        <v>115000</v>
      </c>
      <c r="K895" s="61">
        <f t="shared" si="69"/>
        <v>1.045454545</v>
      </c>
    </row>
    <row r="896" ht="27.75" customHeight="1">
      <c r="A896" s="56" t="s">
        <v>4067</v>
      </c>
      <c r="B896" s="57" t="s">
        <v>31</v>
      </c>
      <c r="C896" s="58" t="s">
        <v>4068</v>
      </c>
      <c r="D896" s="57" t="s">
        <v>33</v>
      </c>
      <c r="E896" s="59" t="s">
        <v>2445</v>
      </c>
      <c r="F896" s="57" t="str">
        <f t="shared" si="67"/>
        <v>Habis</v>
      </c>
      <c r="G896" s="56">
        <v>0.0</v>
      </c>
      <c r="H896" s="60">
        <v>80000.0</v>
      </c>
      <c r="I896" s="60">
        <v>130000.0</v>
      </c>
      <c r="J896" s="60">
        <f t="shared" si="68"/>
        <v>50000</v>
      </c>
      <c r="K896" s="61">
        <f t="shared" si="69"/>
        <v>0.625</v>
      </c>
    </row>
    <row r="897" ht="27.75" customHeight="1">
      <c r="A897" s="56" t="s">
        <v>4069</v>
      </c>
      <c r="B897" s="57" t="s">
        <v>31</v>
      </c>
      <c r="C897" s="58" t="s">
        <v>4070</v>
      </c>
      <c r="D897" s="57" t="s">
        <v>33</v>
      </c>
      <c r="E897" s="59" t="s">
        <v>2445</v>
      </c>
      <c r="F897" s="57" t="str">
        <f t="shared" si="67"/>
        <v>Tersedia</v>
      </c>
      <c r="G897" s="56">
        <v>5.0</v>
      </c>
      <c r="H897" s="60">
        <v>92000.0</v>
      </c>
      <c r="I897" s="60">
        <v>135000.0</v>
      </c>
      <c r="J897" s="60">
        <f t="shared" si="68"/>
        <v>43000</v>
      </c>
      <c r="K897" s="61">
        <f t="shared" si="69"/>
        <v>0.4673913043</v>
      </c>
    </row>
    <row r="898" ht="27.75" customHeight="1">
      <c r="A898" s="56" t="s">
        <v>4071</v>
      </c>
      <c r="B898" s="57" t="s">
        <v>31</v>
      </c>
      <c r="C898" s="58" t="s">
        <v>4072</v>
      </c>
      <c r="D898" s="57" t="s">
        <v>33</v>
      </c>
      <c r="E898" s="59" t="s">
        <v>2423</v>
      </c>
      <c r="F898" s="57" t="str">
        <f t="shared" si="67"/>
        <v>Menipis</v>
      </c>
      <c r="G898" s="64">
        <v>3.0</v>
      </c>
      <c r="H898" s="60">
        <v>80000.0</v>
      </c>
      <c r="I898" s="60">
        <v>120000.0</v>
      </c>
      <c r="J898" s="60">
        <f t="shared" si="68"/>
        <v>40000</v>
      </c>
      <c r="K898" s="61">
        <f t="shared" si="69"/>
        <v>0.5</v>
      </c>
    </row>
    <row r="899" ht="27.75" customHeight="1">
      <c r="A899" s="56" t="s">
        <v>4073</v>
      </c>
      <c r="B899" s="57" t="s">
        <v>31</v>
      </c>
      <c r="C899" s="58" t="s">
        <v>4074</v>
      </c>
      <c r="D899" s="57" t="s">
        <v>33</v>
      </c>
      <c r="E899" s="59" t="s">
        <v>2423</v>
      </c>
      <c r="F899" s="57" t="str">
        <f t="shared" si="67"/>
        <v>Menipis</v>
      </c>
      <c r="G899" s="64">
        <v>2.0</v>
      </c>
      <c r="H899" s="60">
        <v>55000.0</v>
      </c>
      <c r="I899" s="60">
        <v>85000.0</v>
      </c>
      <c r="J899" s="60">
        <f t="shared" si="68"/>
        <v>30000</v>
      </c>
      <c r="K899" s="61">
        <f t="shared" si="69"/>
        <v>0.5454545455</v>
      </c>
    </row>
    <row r="900" ht="27.75" customHeight="1">
      <c r="A900" s="56" t="s">
        <v>4075</v>
      </c>
      <c r="B900" s="57" t="s">
        <v>31</v>
      </c>
      <c r="C900" s="58" t="s">
        <v>4076</v>
      </c>
      <c r="D900" s="57" t="s">
        <v>33</v>
      </c>
      <c r="E900" s="59" t="s">
        <v>2423</v>
      </c>
      <c r="F900" s="57" t="str">
        <f t="shared" si="67"/>
        <v>Menipis</v>
      </c>
      <c r="G900" s="64">
        <v>1.0</v>
      </c>
      <c r="H900" s="60">
        <v>71100.0</v>
      </c>
      <c r="I900" s="60">
        <v>120000.0</v>
      </c>
      <c r="J900" s="60">
        <f t="shared" si="68"/>
        <v>48900</v>
      </c>
      <c r="K900" s="61">
        <f t="shared" si="69"/>
        <v>0.6877637131</v>
      </c>
    </row>
    <row r="901" ht="27.75" customHeight="1">
      <c r="A901" s="56" t="s">
        <v>4077</v>
      </c>
      <c r="B901" s="57" t="s">
        <v>31</v>
      </c>
      <c r="C901" s="58" t="s">
        <v>4078</v>
      </c>
      <c r="D901" s="57" t="s">
        <v>33</v>
      </c>
      <c r="E901" s="59" t="s">
        <v>2423</v>
      </c>
      <c r="F901" s="57" t="str">
        <f t="shared" si="67"/>
        <v>Tersedia</v>
      </c>
      <c r="G901" s="64">
        <v>4.0</v>
      </c>
      <c r="H901" s="60">
        <v>35000.0</v>
      </c>
      <c r="I901" s="60">
        <v>70000.0</v>
      </c>
      <c r="J901" s="60">
        <f t="shared" si="68"/>
        <v>35000</v>
      </c>
      <c r="K901" s="61">
        <f t="shared" si="69"/>
        <v>1</v>
      </c>
    </row>
    <row r="902" ht="27.75" customHeight="1">
      <c r="A902" s="56" t="s">
        <v>4079</v>
      </c>
      <c r="B902" s="57" t="s">
        <v>31</v>
      </c>
      <c r="C902" s="58" t="s">
        <v>4080</v>
      </c>
      <c r="D902" s="57" t="s">
        <v>33</v>
      </c>
      <c r="E902" s="59" t="s">
        <v>2423</v>
      </c>
      <c r="F902" s="57" t="str">
        <f t="shared" si="67"/>
        <v>Menipis</v>
      </c>
      <c r="G902" s="64">
        <v>2.0</v>
      </c>
      <c r="H902" s="60">
        <v>55000.0</v>
      </c>
      <c r="I902" s="60">
        <v>100000.0</v>
      </c>
      <c r="J902" s="60">
        <f t="shared" si="68"/>
        <v>45000</v>
      </c>
      <c r="K902" s="61">
        <f t="shared" si="69"/>
        <v>0.8181818182</v>
      </c>
    </row>
    <row r="903" ht="27.75" customHeight="1">
      <c r="A903" s="56" t="s">
        <v>4081</v>
      </c>
      <c r="B903" s="57" t="s">
        <v>31</v>
      </c>
      <c r="C903" s="58" t="s">
        <v>4082</v>
      </c>
      <c r="D903" s="57" t="s">
        <v>33</v>
      </c>
      <c r="E903" s="59" t="s">
        <v>2423</v>
      </c>
      <c r="F903" s="57" t="str">
        <f t="shared" si="67"/>
        <v>Menipis</v>
      </c>
      <c r="G903" s="64">
        <v>1.0</v>
      </c>
      <c r="H903" s="60">
        <v>25000.0</v>
      </c>
      <c r="I903" s="60">
        <v>50000.0</v>
      </c>
      <c r="J903" s="60">
        <f t="shared" si="68"/>
        <v>25000</v>
      </c>
      <c r="K903" s="61">
        <f t="shared" si="69"/>
        <v>1</v>
      </c>
    </row>
    <row r="904" ht="27.75" customHeight="1">
      <c r="A904" s="56" t="s">
        <v>4083</v>
      </c>
      <c r="B904" s="57" t="s">
        <v>31</v>
      </c>
      <c r="C904" s="58" t="s">
        <v>4084</v>
      </c>
      <c r="D904" s="57" t="s">
        <v>33</v>
      </c>
      <c r="E904" s="59" t="s">
        <v>2423</v>
      </c>
      <c r="F904" s="57" t="str">
        <f t="shared" si="67"/>
        <v>Menipis</v>
      </c>
      <c r="G904" s="64">
        <v>1.0</v>
      </c>
      <c r="H904" s="60">
        <v>25000.0</v>
      </c>
      <c r="I904" s="60">
        <v>50000.0</v>
      </c>
      <c r="J904" s="60">
        <f t="shared" si="68"/>
        <v>25000</v>
      </c>
      <c r="K904" s="61">
        <f t="shared" si="69"/>
        <v>1</v>
      </c>
    </row>
    <row r="905" ht="27.75" customHeight="1">
      <c r="A905" s="56" t="s">
        <v>4085</v>
      </c>
      <c r="B905" s="57" t="s">
        <v>31</v>
      </c>
      <c r="C905" s="58" t="s">
        <v>4086</v>
      </c>
      <c r="D905" s="57" t="s">
        <v>33</v>
      </c>
      <c r="E905" s="59" t="s">
        <v>2423</v>
      </c>
      <c r="F905" s="57" t="str">
        <f t="shared" si="67"/>
        <v>Menipis</v>
      </c>
      <c r="G905" s="64">
        <v>1.0</v>
      </c>
      <c r="H905" s="60">
        <v>48000.0</v>
      </c>
      <c r="I905" s="60">
        <v>100000.0</v>
      </c>
      <c r="J905" s="60">
        <f t="shared" si="68"/>
        <v>52000</v>
      </c>
      <c r="K905" s="61">
        <f t="shared" si="69"/>
        <v>1.083333333</v>
      </c>
    </row>
    <row r="906" ht="27.75" customHeight="1">
      <c r="A906" s="56" t="s">
        <v>4087</v>
      </c>
      <c r="B906" s="57" t="s">
        <v>31</v>
      </c>
      <c r="C906" s="58" t="s">
        <v>4088</v>
      </c>
      <c r="D906" s="57" t="s">
        <v>33</v>
      </c>
      <c r="E906" s="59" t="s">
        <v>2423</v>
      </c>
      <c r="F906" s="57" t="str">
        <f t="shared" si="67"/>
        <v>Menipis</v>
      </c>
      <c r="G906" s="64">
        <v>1.0</v>
      </c>
      <c r="H906" s="60">
        <v>71000.0</v>
      </c>
      <c r="I906" s="60">
        <v>120000.0</v>
      </c>
      <c r="J906" s="60">
        <f t="shared" si="68"/>
        <v>49000</v>
      </c>
      <c r="K906" s="61">
        <f t="shared" si="69"/>
        <v>0.6901408451</v>
      </c>
    </row>
    <row r="907" ht="27.75" customHeight="1">
      <c r="A907" s="56" t="s">
        <v>4089</v>
      </c>
      <c r="B907" s="57" t="s">
        <v>31</v>
      </c>
      <c r="C907" s="58" t="s">
        <v>4090</v>
      </c>
      <c r="D907" s="57" t="s">
        <v>33</v>
      </c>
      <c r="E907" s="59" t="s">
        <v>2423</v>
      </c>
      <c r="F907" s="57" t="str">
        <f t="shared" si="67"/>
        <v>Menipis</v>
      </c>
      <c r="G907" s="64">
        <v>1.0</v>
      </c>
      <c r="H907" s="60">
        <v>80000.0</v>
      </c>
      <c r="I907" s="60">
        <v>130000.0</v>
      </c>
      <c r="J907" s="60">
        <f t="shared" si="68"/>
        <v>50000</v>
      </c>
      <c r="K907" s="61">
        <f t="shared" si="69"/>
        <v>0.625</v>
      </c>
    </row>
    <row r="908" ht="27.75" customHeight="1">
      <c r="A908" s="56" t="s">
        <v>4091</v>
      </c>
      <c r="B908" s="57" t="s">
        <v>31</v>
      </c>
      <c r="C908" s="58" t="s">
        <v>4092</v>
      </c>
      <c r="D908" s="57" t="s">
        <v>33</v>
      </c>
      <c r="E908" s="59" t="s">
        <v>2423</v>
      </c>
      <c r="F908" s="57" t="str">
        <f t="shared" si="67"/>
        <v>Menipis</v>
      </c>
      <c r="G908" s="64">
        <v>3.0</v>
      </c>
      <c r="H908" s="60">
        <v>60000.0</v>
      </c>
      <c r="I908" s="60">
        <v>110000.0</v>
      </c>
      <c r="J908" s="60">
        <f t="shared" si="68"/>
        <v>50000</v>
      </c>
      <c r="K908" s="61">
        <f t="shared" si="69"/>
        <v>0.8333333333</v>
      </c>
    </row>
    <row r="909" ht="27.75" customHeight="1">
      <c r="A909" s="56" t="s">
        <v>4093</v>
      </c>
      <c r="B909" s="57" t="s">
        <v>31</v>
      </c>
      <c r="C909" s="58" t="s">
        <v>4094</v>
      </c>
      <c r="D909" s="57" t="s">
        <v>33</v>
      </c>
      <c r="E909" s="59" t="s">
        <v>2458</v>
      </c>
      <c r="F909" s="57" t="str">
        <f t="shared" si="67"/>
        <v>Menipis</v>
      </c>
      <c r="G909" s="64">
        <v>1.0</v>
      </c>
      <c r="H909" s="60">
        <v>150350.0</v>
      </c>
      <c r="I909" s="60">
        <v>275000.0</v>
      </c>
      <c r="J909" s="60">
        <f t="shared" si="68"/>
        <v>124650</v>
      </c>
      <c r="K909" s="61">
        <f t="shared" si="69"/>
        <v>0.8290655138</v>
      </c>
    </row>
    <row r="910" ht="27.75" customHeight="1">
      <c r="A910" s="56" t="s">
        <v>4095</v>
      </c>
      <c r="B910" s="57" t="s">
        <v>31</v>
      </c>
      <c r="C910" s="58" t="s">
        <v>4096</v>
      </c>
      <c r="D910" s="57" t="s">
        <v>33</v>
      </c>
      <c r="E910" s="59" t="s">
        <v>1205</v>
      </c>
      <c r="F910" s="57" t="str">
        <f t="shared" si="67"/>
        <v>Menipis</v>
      </c>
      <c r="G910" s="64">
        <v>1.0</v>
      </c>
      <c r="H910" s="60">
        <v>70000.0</v>
      </c>
      <c r="I910" s="60">
        <v>100000.0</v>
      </c>
      <c r="J910" s="60">
        <f t="shared" si="68"/>
        <v>30000</v>
      </c>
      <c r="K910" s="61">
        <f t="shared" si="69"/>
        <v>0.4285714286</v>
      </c>
    </row>
    <row r="911" ht="27.75" customHeight="1">
      <c r="A911" s="56" t="s">
        <v>4097</v>
      </c>
      <c r="B911" s="57" t="s">
        <v>31</v>
      </c>
      <c r="C911" s="58" t="s">
        <v>4098</v>
      </c>
      <c r="D911" s="57" t="s">
        <v>33</v>
      </c>
      <c r="E911" s="59" t="s">
        <v>1205</v>
      </c>
      <c r="F911" s="57" t="str">
        <f t="shared" si="67"/>
        <v>Menipis</v>
      </c>
      <c r="G911" s="64">
        <v>1.0</v>
      </c>
      <c r="H911" s="60">
        <v>70000.0</v>
      </c>
      <c r="I911" s="60">
        <v>100000.0</v>
      </c>
      <c r="J911" s="60">
        <f t="shared" si="68"/>
        <v>30000</v>
      </c>
      <c r="K911" s="61">
        <f t="shared" si="69"/>
        <v>0.4285714286</v>
      </c>
    </row>
    <row r="912" ht="27.75" customHeight="1">
      <c r="A912" s="56" t="s">
        <v>4099</v>
      </c>
      <c r="B912" s="57" t="s">
        <v>31</v>
      </c>
      <c r="C912" s="58" t="s">
        <v>4100</v>
      </c>
      <c r="D912" s="57" t="s">
        <v>33</v>
      </c>
      <c r="E912" s="59" t="s">
        <v>1205</v>
      </c>
      <c r="F912" s="57" t="str">
        <f t="shared" si="67"/>
        <v>Menipis</v>
      </c>
      <c r="G912" s="64">
        <v>1.0</v>
      </c>
      <c r="H912" s="60">
        <v>85000.0</v>
      </c>
      <c r="I912" s="60">
        <v>120000.0</v>
      </c>
      <c r="J912" s="60">
        <f t="shared" si="68"/>
        <v>35000</v>
      </c>
      <c r="K912" s="61">
        <f t="shared" si="69"/>
        <v>0.4117647059</v>
      </c>
    </row>
    <row r="913" ht="27.75" customHeight="1">
      <c r="A913" s="56" t="s">
        <v>4101</v>
      </c>
      <c r="B913" s="57" t="s">
        <v>31</v>
      </c>
      <c r="C913" s="58" t="s">
        <v>4102</v>
      </c>
      <c r="D913" s="57" t="s">
        <v>33</v>
      </c>
      <c r="E913" s="59" t="s">
        <v>1900</v>
      </c>
      <c r="F913" s="57" t="str">
        <f t="shared" si="67"/>
        <v>Menipis</v>
      </c>
      <c r="G913" s="64">
        <v>2.0</v>
      </c>
      <c r="H913" s="60">
        <v>50000.0</v>
      </c>
      <c r="I913" s="60">
        <v>80000.0</v>
      </c>
      <c r="J913" s="60">
        <f t="shared" si="68"/>
        <v>30000</v>
      </c>
      <c r="K913" s="61">
        <f t="shared" si="69"/>
        <v>0.6</v>
      </c>
    </row>
    <row r="914" ht="27.75" customHeight="1">
      <c r="A914" s="56" t="s">
        <v>4103</v>
      </c>
      <c r="B914" s="57" t="s">
        <v>31</v>
      </c>
      <c r="C914" s="58" t="s">
        <v>4104</v>
      </c>
      <c r="D914" s="57" t="s">
        <v>33</v>
      </c>
      <c r="E914" s="59" t="s">
        <v>1900</v>
      </c>
      <c r="F914" s="57" t="str">
        <f t="shared" si="67"/>
        <v>Menipis</v>
      </c>
      <c r="G914" s="64">
        <v>1.0</v>
      </c>
      <c r="H914" s="60">
        <v>50000.0</v>
      </c>
      <c r="I914" s="60">
        <v>90000.0</v>
      </c>
      <c r="J914" s="60">
        <f t="shared" si="68"/>
        <v>40000</v>
      </c>
      <c r="K914" s="61">
        <f t="shared" si="69"/>
        <v>0.8</v>
      </c>
    </row>
    <row r="915" ht="27.75" customHeight="1">
      <c r="A915" s="56" t="s">
        <v>4105</v>
      </c>
      <c r="B915" s="57" t="s">
        <v>31</v>
      </c>
      <c r="C915" s="58" t="s">
        <v>4106</v>
      </c>
      <c r="D915" s="57" t="s">
        <v>33</v>
      </c>
      <c r="E915" s="59" t="s">
        <v>1900</v>
      </c>
      <c r="F915" s="57" t="str">
        <f t="shared" si="67"/>
        <v>Menipis</v>
      </c>
      <c r="G915" s="64">
        <v>1.0</v>
      </c>
      <c r="H915" s="60">
        <v>46157.0</v>
      </c>
      <c r="I915" s="60">
        <v>95000.0</v>
      </c>
      <c r="J915" s="60">
        <f t="shared" si="68"/>
        <v>48843</v>
      </c>
      <c r="K915" s="61">
        <f t="shared" si="69"/>
        <v>1.05819269</v>
      </c>
    </row>
    <row r="916" ht="27.75" customHeight="1">
      <c r="A916" s="56" t="s">
        <v>4107</v>
      </c>
      <c r="B916" s="57" t="s">
        <v>31</v>
      </c>
      <c r="C916" s="58" t="s">
        <v>4108</v>
      </c>
      <c r="D916" s="57" t="s">
        <v>33</v>
      </c>
      <c r="E916" s="59" t="s">
        <v>1900</v>
      </c>
      <c r="F916" s="57" t="str">
        <f t="shared" si="67"/>
        <v>Menipis</v>
      </c>
      <c r="G916" s="64">
        <v>1.0</v>
      </c>
      <c r="H916" s="60">
        <v>50000.0</v>
      </c>
      <c r="I916" s="60">
        <v>95000.0</v>
      </c>
      <c r="J916" s="60">
        <f t="shared" si="68"/>
        <v>45000</v>
      </c>
      <c r="K916" s="61">
        <f t="shared" si="69"/>
        <v>0.9</v>
      </c>
    </row>
    <row r="917" ht="27.75" customHeight="1">
      <c r="A917" s="56" t="s">
        <v>4109</v>
      </c>
      <c r="B917" s="57" t="s">
        <v>31</v>
      </c>
      <c r="C917" s="58" t="s">
        <v>4110</v>
      </c>
      <c r="D917" s="57" t="s">
        <v>33</v>
      </c>
      <c r="E917" s="59" t="s">
        <v>1900</v>
      </c>
      <c r="F917" s="57" t="str">
        <f t="shared" si="67"/>
        <v>Menipis</v>
      </c>
      <c r="G917" s="64">
        <v>1.0</v>
      </c>
      <c r="H917" s="60">
        <v>40000.0</v>
      </c>
      <c r="I917" s="60">
        <v>80000.0</v>
      </c>
      <c r="J917" s="60">
        <f t="shared" si="68"/>
        <v>40000</v>
      </c>
      <c r="K917" s="61">
        <f t="shared" si="69"/>
        <v>1</v>
      </c>
    </row>
    <row r="918" ht="27.75" customHeight="1">
      <c r="A918" s="56" t="s">
        <v>4111</v>
      </c>
      <c r="B918" s="57" t="s">
        <v>31</v>
      </c>
      <c r="C918" s="58" t="s">
        <v>4112</v>
      </c>
      <c r="D918" s="57" t="s">
        <v>33</v>
      </c>
      <c r="E918" s="59" t="s">
        <v>1900</v>
      </c>
      <c r="F918" s="57" t="str">
        <f t="shared" si="67"/>
        <v>Menipis</v>
      </c>
      <c r="G918" s="64">
        <v>1.0</v>
      </c>
      <c r="H918" s="60">
        <v>39608.0</v>
      </c>
      <c r="I918" s="60">
        <v>75000.0</v>
      </c>
      <c r="J918" s="60">
        <f t="shared" si="68"/>
        <v>35392</v>
      </c>
      <c r="K918" s="61">
        <f t="shared" si="69"/>
        <v>0.8935568572</v>
      </c>
    </row>
    <row r="919" ht="27.75" customHeight="1">
      <c r="A919" s="56" t="s">
        <v>4113</v>
      </c>
      <c r="B919" s="57" t="s">
        <v>31</v>
      </c>
      <c r="C919" s="58" t="s">
        <v>4114</v>
      </c>
      <c r="D919" s="57" t="s">
        <v>33</v>
      </c>
      <c r="E919" s="59" t="s">
        <v>1900</v>
      </c>
      <c r="F919" s="57" t="str">
        <f t="shared" si="67"/>
        <v>Menipis</v>
      </c>
      <c r="G919" s="64">
        <v>1.0</v>
      </c>
      <c r="H919" s="60">
        <v>15000.0</v>
      </c>
      <c r="I919" s="60">
        <v>30000.0</v>
      </c>
      <c r="J919" s="60">
        <f t="shared" si="68"/>
        <v>15000</v>
      </c>
      <c r="K919" s="61">
        <f t="shared" si="69"/>
        <v>1</v>
      </c>
    </row>
    <row r="920" ht="27.75" customHeight="1">
      <c r="A920" s="56" t="s">
        <v>4115</v>
      </c>
      <c r="B920" s="57" t="s">
        <v>31</v>
      </c>
      <c r="C920" s="58" t="s">
        <v>4116</v>
      </c>
      <c r="D920" s="57" t="s">
        <v>33</v>
      </c>
      <c r="E920" s="59" t="s">
        <v>1900</v>
      </c>
      <c r="F920" s="57" t="str">
        <f t="shared" si="67"/>
        <v>Tersedia</v>
      </c>
      <c r="G920" s="64">
        <v>13.0</v>
      </c>
      <c r="H920" s="60">
        <v>16000.0</v>
      </c>
      <c r="I920" s="60">
        <v>35000.0</v>
      </c>
      <c r="J920" s="60">
        <f t="shared" si="68"/>
        <v>19000</v>
      </c>
      <c r="K920" s="61">
        <f t="shared" si="69"/>
        <v>1.1875</v>
      </c>
    </row>
    <row r="921" ht="27.75" customHeight="1">
      <c r="A921" s="56" t="s">
        <v>4117</v>
      </c>
      <c r="B921" s="57" t="s">
        <v>31</v>
      </c>
      <c r="C921" s="58" t="s">
        <v>4118</v>
      </c>
      <c r="D921" s="57" t="s">
        <v>33</v>
      </c>
      <c r="E921" s="59" t="s">
        <v>1900</v>
      </c>
      <c r="F921" s="57" t="str">
        <f t="shared" si="67"/>
        <v>Tersedia</v>
      </c>
      <c r="G921" s="64">
        <v>4.0</v>
      </c>
      <c r="H921" s="60">
        <v>15000.0</v>
      </c>
      <c r="I921" s="60">
        <v>30000.0</v>
      </c>
      <c r="J921" s="60">
        <f t="shared" si="68"/>
        <v>15000</v>
      </c>
      <c r="K921" s="61">
        <f t="shared" si="69"/>
        <v>1</v>
      </c>
    </row>
    <row r="922" ht="27.75" customHeight="1">
      <c r="A922" s="56" t="s">
        <v>4119</v>
      </c>
      <c r="B922" s="57" t="s">
        <v>31</v>
      </c>
      <c r="C922" s="58" t="s">
        <v>4120</v>
      </c>
      <c r="D922" s="57" t="s">
        <v>33</v>
      </c>
      <c r="E922" s="59" t="s">
        <v>1900</v>
      </c>
      <c r="F922" s="57" t="str">
        <f t="shared" si="67"/>
        <v>Tersedia</v>
      </c>
      <c r="G922" s="64">
        <v>5.0</v>
      </c>
      <c r="H922" s="60">
        <v>12500.0</v>
      </c>
      <c r="I922" s="60">
        <v>20000.0</v>
      </c>
      <c r="J922" s="60">
        <f t="shared" si="68"/>
        <v>7500</v>
      </c>
      <c r="K922" s="61">
        <f t="shared" si="69"/>
        <v>0.6</v>
      </c>
    </row>
    <row r="923" ht="27.75" customHeight="1">
      <c r="A923" s="56" t="s">
        <v>4121</v>
      </c>
      <c r="B923" s="57" t="s">
        <v>31</v>
      </c>
      <c r="C923" s="58" t="s">
        <v>4122</v>
      </c>
      <c r="D923" s="57" t="s">
        <v>33</v>
      </c>
      <c r="E923" s="59" t="s">
        <v>1900</v>
      </c>
      <c r="F923" s="57" t="str">
        <f t="shared" si="67"/>
        <v>Habis</v>
      </c>
      <c r="G923" s="64">
        <v>0.0</v>
      </c>
      <c r="H923" s="60">
        <v>31936.0</v>
      </c>
      <c r="I923" s="60">
        <v>60000.0</v>
      </c>
      <c r="J923" s="60">
        <f t="shared" si="68"/>
        <v>28064</v>
      </c>
      <c r="K923" s="61">
        <f t="shared" si="69"/>
        <v>0.878757515</v>
      </c>
    </row>
    <row r="924" ht="27.75" customHeight="1">
      <c r="A924" s="56" t="s">
        <v>4123</v>
      </c>
      <c r="B924" s="57" t="s">
        <v>31</v>
      </c>
      <c r="C924" s="58" t="s">
        <v>4124</v>
      </c>
      <c r="D924" s="57" t="s">
        <v>33</v>
      </c>
      <c r="E924" s="59" t="s">
        <v>1900</v>
      </c>
      <c r="F924" s="57" t="str">
        <f t="shared" si="67"/>
        <v>Habis</v>
      </c>
      <c r="G924" s="64">
        <v>0.0</v>
      </c>
      <c r="H924" s="60">
        <v>31910.0</v>
      </c>
      <c r="I924" s="60">
        <v>60000.0</v>
      </c>
      <c r="J924" s="60">
        <f t="shared" si="68"/>
        <v>28090</v>
      </c>
      <c r="K924" s="61">
        <f t="shared" si="69"/>
        <v>0.8802883109</v>
      </c>
    </row>
    <row r="925" ht="27.75" customHeight="1">
      <c r="A925" s="56" t="s">
        <v>4125</v>
      </c>
      <c r="B925" s="57" t="s">
        <v>31</v>
      </c>
      <c r="C925" s="58" t="s">
        <v>4126</v>
      </c>
      <c r="D925" s="57" t="s">
        <v>33</v>
      </c>
      <c r="E925" s="59" t="s">
        <v>1900</v>
      </c>
      <c r="F925" s="57" t="str">
        <f t="shared" si="67"/>
        <v>Habis</v>
      </c>
      <c r="G925" s="64">
        <v>0.0</v>
      </c>
      <c r="H925" s="60">
        <v>30000.0</v>
      </c>
      <c r="I925" s="60">
        <v>50000.0</v>
      </c>
      <c r="J925" s="60">
        <f t="shared" si="68"/>
        <v>20000</v>
      </c>
      <c r="K925" s="61">
        <f t="shared" si="69"/>
        <v>0.6666666667</v>
      </c>
    </row>
    <row r="926" ht="27.75" customHeight="1">
      <c r="A926" s="56" t="s">
        <v>4127</v>
      </c>
      <c r="B926" s="57" t="s">
        <v>31</v>
      </c>
      <c r="C926" s="58" t="s">
        <v>4128</v>
      </c>
      <c r="D926" s="57" t="s">
        <v>33</v>
      </c>
      <c r="E926" s="59" t="s">
        <v>1900</v>
      </c>
      <c r="F926" s="57" t="str">
        <f t="shared" si="67"/>
        <v>Habis</v>
      </c>
      <c r="G926" s="64">
        <v>0.0</v>
      </c>
      <c r="H926" s="60">
        <v>28065.0</v>
      </c>
      <c r="I926" s="60">
        <v>55000.0</v>
      </c>
      <c r="J926" s="60">
        <f t="shared" si="68"/>
        <v>26935</v>
      </c>
      <c r="K926" s="61">
        <f t="shared" si="69"/>
        <v>0.9597363264</v>
      </c>
    </row>
    <row r="927" ht="27.75" customHeight="1">
      <c r="A927" s="56" t="s">
        <v>4129</v>
      </c>
      <c r="B927" s="57" t="s">
        <v>31</v>
      </c>
      <c r="C927" s="58" t="s">
        <v>4130</v>
      </c>
      <c r="D927" s="57" t="s">
        <v>33</v>
      </c>
      <c r="E927" s="59" t="s">
        <v>1900</v>
      </c>
      <c r="F927" s="57" t="str">
        <f t="shared" si="67"/>
        <v>Habis</v>
      </c>
      <c r="G927" s="64">
        <v>0.0</v>
      </c>
      <c r="H927" s="60">
        <v>45000.0</v>
      </c>
      <c r="I927" s="60">
        <v>80000.0</v>
      </c>
      <c r="J927" s="60">
        <f t="shared" si="68"/>
        <v>35000</v>
      </c>
      <c r="K927" s="61">
        <f t="shared" si="69"/>
        <v>0.7777777778</v>
      </c>
    </row>
    <row r="928" ht="27.75" customHeight="1">
      <c r="A928" s="56" t="s">
        <v>4131</v>
      </c>
      <c r="B928" s="57" t="s">
        <v>31</v>
      </c>
      <c r="C928" s="58" t="s">
        <v>4132</v>
      </c>
      <c r="D928" s="57" t="s">
        <v>33</v>
      </c>
      <c r="E928" s="59" t="s">
        <v>1900</v>
      </c>
      <c r="F928" s="57" t="str">
        <f t="shared" si="67"/>
        <v>Menipis</v>
      </c>
      <c r="G928" s="64">
        <v>1.0</v>
      </c>
      <c r="H928" s="60">
        <v>34000.0</v>
      </c>
      <c r="I928" s="60">
        <v>65000.0</v>
      </c>
      <c r="J928" s="60">
        <f t="shared" si="68"/>
        <v>31000</v>
      </c>
      <c r="K928" s="61">
        <f t="shared" si="69"/>
        <v>0.9117647059</v>
      </c>
    </row>
    <row r="929" ht="27.75" customHeight="1">
      <c r="A929" s="56" t="s">
        <v>4133</v>
      </c>
      <c r="B929" s="57" t="s">
        <v>31</v>
      </c>
      <c r="C929" s="58" t="s">
        <v>4134</v>
      </c>
      <c r="D929" s="57" t="s">
        <v>33</v>
      </c>
      <c r="E929" s="59" t="s">
        <v>1900</v>
      </c>
      <c r="F929" s="57" t="str">
        <f t="shared" si="67"/>
        <v>Menipis</v>
      </c>
      <c r="G929" s="64">
        <v>1.0</v>
      </c>
      <c r="H929" s="60">
        <v>32846.0</v>
      </c>
      <c r="I929" s="60">
        <v>60000.0</v>
      </c>
      <c r="J929" s="60">
        <f t="shared" si="68"/>
        <v>27154</v>
      </c>
      <c r="K929" s="61">
        <f t="shared" si="69"/>
        <v>0.8267064483</v>
      </c>
    </row>
    <row r="930" ht="27.75" customHeight="1">
      <c r="A930" s="56" t="s">
        <v>4135</v>
      </c>
      <c r="B930" s="57" t="s">
        <v>31</v>
      </c>
      <c r="C930" s="58" t="s">
        <v>4136</v>
      </c>
      <c r="D930" s="57" t="s">
        <v>33</v>
      </c>
      <c r="E930" s="59" t="s">
        <v>1900</v>
      </c>
      <c r="F930" s="57" t="str">
        <f t="shared" si="67"/>
        <v>Tersedia</v>
      </c>
      <c r="G930" s="64">
        <v>11.0</v>
      </c>
      <c r="H930" s="60">
        <v>13800.0</v>
      </c>
      <c r="I930" s="60">
        <v>25000.0</v>
      </c>
      <c r="J930" s="60">
        <f t="shared" si="68"/>
        <v>11200</v>
      </c>
      <c r="K930" s="61">
        <f t="shared" si="69"/>
        <v>0.8115942029</v>
      </c>
    </row>
    <row r="931" ht="27.75" customHeight="1">
      <c r="A931" s="56" t="s">
        <v>4137</v>
      </c>
      <c r="B931" s="57" t="s">
        <v>31</v>
      </c>
      <c r="C931" s="58" t="s">
        <v>4138</v>
      </c>
      <c r="D931" s="57" t="s">
        <v>33</v>
      </c>
      <c r="E931" s="59" t="s">
        <v>1900</v>
      </c>
      <c r="F931" s="57" t="str">
        <f t="shared" si="67"/>
        <v>Menipis</v>
      </c>
      <c r="G931" s="64">
        <v>2.0</v>
      </c>
      <c r="H931" s="60">
        <v>19000.0</v>
      </c>
      <c r="I931" s="60">
        <v>35000.0</v>
      </c>
      <c r="J931" s="60">
        <f t="shared" si="68"/>
        <v>16000</v>
      </c>
      <c r="K931" s="61">
        <f t="shared" si="69"/>
        <v>0.8421052632</v>
      </c>
    </row>
    <row r="932" ht="27.75" customHeight="1">
      <c r="A932" s="56" t="s">
        <v>4139</v>
      </c>
      <c r="B932" s="57" t="s">
        <v>31</v>
      </c>
      <c r="C932" s="58" t="s">
        <v>4140</v>
      </c>
      <c r="D932" s="57" t="s">
        <v>33</v>
      </c>
      <c r="E932" s="59" t="s">
        <v>1900</v>
      </c>
      <c r="F932" s="57" t="str">
        <f t="shared" si="67"/>
        <v>Menipis</v>
      </c>
      <c r="G932" s="64">
        <v>1.0</v>
      </c>
      <c r="H932" s="60">
        <v>17000.0</v>
      </c>
      <c r="I932" s="60">
        <v>30000.0</v>
      </c>
      <c r="J932" s="60">
        <f t="shared" si="68"/>
        <v>13000</v>
      </c>
      <c r="K932" s="61">
        <f t="shared" si="69"/>
        <v>0.7647058824</v>
      </c>
    </row>
    <row r="933" ht="27.75" customHeight="1">
      <c r="A933" s="56" t="s">
        <v>4141</v>
      </c>
      <c r="B933" s="57" t="s">
        <v>31</v>
      </c>
      <c r="C933" s="58" t="s">
        <v>4142</v>
      </c>
      <c r="D933" s="57" t="s">
        <v>33</v>
      </c>
      <c r="E933" s="59" t="s">
        <v>1900</v>
      </c>
      <c r="F933" s="57" t="str">
        <f t="shared" si="67"/>
        <v>Menipis</v>
      </c>
      <c r="G933" s="64">
        <v>1.0</v>
      </c>
      <c r="H933" s="60">
        <v>14250.0</v>
      </c>
      <c r="I933" s="60">
        <v>25650.0</v>
      </c>
      <c r="J933" s="60">
        <f t="shared" si="68"/>
        <v>11400</v>
      </c>
      <c r="K933" s="61">
        <f t="shared" si="69"/>
        <v>0.8</v>
      </c>
    </row>
    <row r="934" ht="27.75" customHeight="1">
      <c r="A934" s="56" t="s">
        <v>4143</v>
      </c>
      <c r="B934" s="57" t="s">
        <v>31</v>
      </c>
      <c r="C934" s="58" t="s">
        <v>4144</v>
      </c>
      <c r="D934" s="57" t="s">
        <v>33</v>
      </c>
      <c r="E934" s="59" t="s">
        <v>1900</v>
      </c>
      <c r="F934" s="57" t="str">
        <f t="shared" si="67"/>
        <v>Tersedia</v>
      </c>
      <c r="G934" s="64">
        <v>12.0</v>
      </c>
      <c r="H934" s="60">
        <v>21000.0</v>
      </c>
      <c r="I934" s="60">
        <v>35000.0</v>
      </c>
      <c r="J934" s="60">
        <f t="shared" si="68"/>
        <v>14000</v>
      </c>
      <c r="K934" s="61">
        <f t="shared" si="69"/>
        <v>0.6666666667</v>
      </c>
    </row>
    <row r="935" ht="27.75" customHeight="1">
      <c r="A935" s="56" t="s">
        <v>4145</v>
      </c>
      <c r="B935" s="57" t="s">
        <v>31</v>
      </c>
      <c r="C935" s="58" t="s">
        <v>4146</v>
      </c>
      <c r="D935" s="57" t="s">
        <v>33</v>
      </c>
      <c r="E935" s="59" t="s">
        <v>1900</v>
      </c>
      <c r="F935" s="57" t="str">
        <f t="shared" si="67"/>
        <v>Tersedia</v>
      </c>
      <c r="G935" s="64">
        <v>9.0</v>
      </c>
      <c r="H935" s="60">
        <v>18500.0</v>
      </c>
      <c r="I935" s="60">
        <v>35000.0</v>
      </c>
      <c r="J935" s="60">
        <f t="shared" si="68"/>
        <v>16500</v>
      </c>
      <c r="K935" s="61">
        <f t="shared" si="69"/>
        <v>0.8918918919</v>
      </c>
    </row>
    <row r="936" ht="27.75" customHeight="1">
      <c r="A936" s="56" t="s">
        <v>4147</v>
      </c>
      <c r="B936" s="57" t="s">
        <v>31</v>
      </c>
      <c r="C936" s="58" t="s">
        <v>4148</v>
      </c>
      <c r="D936" s="57" t="s">
        <v>33</v>
      </c>
      <c r="E936" s="59" t="s">
        <v>1900</v>
      </c>
      <c r="F936" s="57" t="str">
        <f t="shared" si="67"/>
        <v>Menipis</v>
      </c>
      <c r="G936" s="64">
        <v>1.0</v>
      </c>
      <c r="H936" s="60">
        <v>39785.0</v>
      </c>
      <c r="I936" s="60">
        <v>75000.0</v>
      </c>
      <c r="J936" s="60">
        <f t="shared" si="68"/>
        <v>35215</v>
      </c>
      <c r="K936" s="61">
        <f t="shared" si="69"/>
        <v>0.8851325877</v>
      </c>
    </row>
    <row r="937" ht="27.75" customHeight="1">
      <c r="A937" s="56" t="s">
        <v>4149</v>
      </c>
      <c r="B937" s="57" t="s">
        <v>31</v>
      </c>
      <c r="C937" s="58" t="s">
        <v>4150</v>
      </c>
      <c r="D937" s="57" t="s">
        <v>33</v>
      </c>
      <c r="E937" s="59" t="s">
        <v>1900</v>
      </c>
      <c r="F937" s="57" t="str">
        <f t="shared" si="67"/>
        <v>Menipis</v>
      </c>
      <c r="G937" s="64">
        <v>1.0</v>
      </c>
      <c r="H937" s="60">
        <v>39651.0</v>
      </c>
      <c r="I937" s="60">
        <v>75000.0</v>
      </c>
      <c r="J937" s="60">
        <f t="shared" si="68"/>
        <v>35349</v>
      </c>
      <c r="K937" s="61">
        <f t="shared" si="69"/>
        <v>0.8915033669</v>
      </c>
    </row>
    <row r="938" ht="27.75" customHeight="1">
      <c r="A938" s="56" t="s">
        <v>4151</v>
      </c>
      <c r="B938" s="57" t="s">
        <v>31</v>
      </c>
      <c r="C938" s="58" t="s">
        <v>4152</v>
      </c>
      <c r="D938" s="57" t="s">
        <v>33</v>
      </c>
      <c r="E938" s="59" t="s">
        <v>1900</v>
      </c>
      <c r="F938" s="57" t="str">
        <f t="shared" si="67"/>
        <v>Menipis</v>
      </c>
      <c r="G938" s="64">
        <v>1.0</v>
      </c>
      <c r="H938" s="60">
        <v>50000.0</v>
      </c>
      <c r="I938" s="60">
        <v>85000.0</v>
      </c>
      <c r="J938" s="60">
        <f t="shared" si="68"/>
        <v>35000</v>
      </c>
      <c r="K938" s="61">
        <f t="shared" si="69"/>
        <v>0.7</v>
      </c>
    </row>
    <row r="939" ht="27.75" customHeight="1">
      <c r="A939" s="56" t="s">
        <v>4153</v>
      </c>
      <c r="B939" s="57" t="s">
        <v>31</v>
      </c>
      <c r="C939" s="58" t="s">
        <v>4154</v>
      </c>
      <c r="D939" s="57" t="s">
        <v>33</v>
      </c>
      <c r="E939" s="59" t="s">
        <v>1900</v>
      </c>
      <c r="F939" s="57" t="str">
        <f t="shared" si="67"/>
        <v>Menipis</v>
      </c>
      <c r="G939" s="64">
        <v>1.0</v>
      </c>
      <c r="H939" s="60">
        <v>46356.0</v>
      </c>
      <c r="I939" s="60">
        <v>85000.0</v>
      </c>
      <c r="J939" s="60">
        <f t="shared" si="68"/>
        <v>38644</v>
      </c>
      <c r="K939" s="61">
        <f t="shared" si="69"/>
        <v>0.8336353439</v>
      </c>
    </row>
    <row r="940" ht="27.75" customHeight="1">
      <c r="A940" s="56" t="s">
        <v>4155</v>
      </c>
      <c r="B940" s="57" t="s">
        <v>31</v>
      </c>
      <c r="C940" s="58" t="s">
        <v>4156</v>
      </c>
      <c r="D940" s="57" t="s">
        <v>33</v>
      </c>
      <c r="E940" s="59" t="s">
        <v>1900</v>
      </c>
      <c r="F940" s="57" t="str">
        <f t="shared" si="67"/>
        <v>Menipis</v>
      </c>
      <c r="G940" s="64">
        <v>1.0</v>
      </c>
      <c r="H940" s="60">
        <v>55300.0</v>
      </c>
      <c r="I940" s="60">
        <v>100000.0</v>
      </c>
      <c r="J940" s="60">
        <f t="shared" si="68"/>
        <v>44700</v>
      </c>
      <c r="K940" s="61">
        <f t="shared" si="69"/>
        <v>0.808318264</v>
      </c>
    </row>
    <row r="941" ht="27.75" customHeight="1">
      <c r="A941" s="56" t="s">
        <v>4157</v>
      </c>
      <c r="B941" s="57" t="s">
        <v>31</v>
      </c>
      <c r="C941" s="58" t="s">
        <v>4158</v>
      </c>
      <c r="D941" s="57" t="s">
        <v>33</v>
      </c>
      <c r="E941" s="59" t="s">
        <v>1900</v>
      </c>
      <c r="F941" s="57" t="str">
        <f t="shared" si="67"/>
        <v>Menipis</v>
      </c>
      <c r="G941" s="64">
        <v>3.0</v>
      </c>
      <c r="H941" s="60">
        <v>35000.0</v>
      </c>
      <c r="I941" s="60">
        <v>55000.0</v>
      </c>
      <c r="J941" s="60">
        <f t="shared" si="68"/>
        <v>20000</v>
      </c>
      <c r="K941" s="61">
        <f t="shared" si="69"/>
        <v>0.5714285714</v>
      </c>
    </row>
    <row r="942" ht="27.75" customHeight="1">
      <c r="A942" s="56" t="s">
        <v>4159</v>
      </c>
      <c r="B942" s="57" t="s">
        <v>31</v>
      </c>
      <c r="C942" s="58" t="s">
        <v>4160</v>
      </c>
      <c r="D942" s="57" t="s">
        <v>33</v>
      </c>
      <c r="E942" s="59" t="s">
        <v>1900</v>
      </c>
      <c r="F942" s="57" t="str">
        <f t="shared" si="67"/>
        <v>Menipis</v>
      </c>
      <c r="G942" s="64">
        <v>1.0</v>
      </c>
      <c r="H942" s="60">
        <v>32022.0</v>
      </c>
      <c r="I942" s="60">
        <v>60000.0</v>
      </c>
      <c r="J942" s="60">
        <f t="shared" si="68"/>
        <v>27978</v>
      </c>
      <c r="K942" s="61">
        <f t="shared" si="69"/>
        <v>0.8737118231</v>
      </c>
    </row>
    <row r="943" ht="27.75" customHeight="1">
      <c r="A943" s="56" t="s">
        <v>4161</v>
      </c>
      <c r="B943" s="57" t="s">
        <v>31</v>
      </c>
      <c r="C943" s="58" t="s">
        <v>4162</v>
      </c>
      <c r="D943" s="57" t="s">
        <v>33</v>
      </c>
      <c r="E943" s="59" t="s">
        <v>1900</v>
      </c>
      <c r="F943" s="57" t="str">
        <f t="shared" si="67"/>
        <v>Menipis</v>
      </c>
      <c r="G943" s="64">
        <v>1.0</v>
      </c>
      <c r="H943" s="60">
        <v>40000.0</v>
      </c>
      <c r="I943" s="60">
        <v>65000.0</v>
      </c>
      <c r="J943" s="60">
        <f t="shared" si="68"/>
        <v>25000</v>
      </c>
      <c r="K943" s="61">
        <f t="shared" si="69"/>
        <v>0.625</v>
      </c>
    </row>
    <row r="944" ht="27.75" customHeight="1">
      <c r="A944" s="56" t="s">
        <v>4163</v>
      </c>
      <c r="B944" s="57" t="s">
        <v>31</v>
      </c>
      <c r="C944" s="58" t="s">
        <v>4164</v>
      </c>
      <c r="D944" s="57" t="s">
        <v>33</v>
      </c>
      <c r="E944" s="59" t="s">
        <v>1900</v>
      </c>
      <c r="F944" s="57" t="str">
        <f t="shared" si="67"/>
        <v>Menipis</v>
      </c>
      <c r="G944" s="64">
        <v>2.0</v>
      </c>
      <c r="H944" s="60">
        <v>32000.0</v>
      </c>
      <c r="I944" s="60">
        <v>55000.0</v>
      </c>
      <c r="J944" s="60">
        <f t="shared" si="68"/>
        <v>23000</v>
      </c>
      <c r="K944" s="61">
        <f t="shared" si="69"/>
        <v>0.71875</v>
      </c>
    </row>
    <row r="945" ht="27.75" customHeight="1">
      <c r="A945" s="56" t="s">
        <v>4165</v>
      </c>
      <c r="B945" s="57" t="s">
        <v>31</v>
      </c>
      <c r="C945" s="58" t="s">
        <v>4166</v>
      </c>
      <c r="D945" s="57" t="s">
        <v>33</v>
      </c>
      <c r="E945" s="59" t="s">
        <v>1900</v>
      </c>
      <c r="F945" s="57" t="str">
        <f t="shared" si="67"/>
        <v>Menipis</v>
      </c>
      <c r="G945" s="64">
        <v>1.0</v>
      </c>
      <c r="H945" s="60">
        <v>31645.0</v>
      </c>
      <c r="I945" s="60">
        <v>60000.0</v>
      </c>
      <c r="J945" s="60">
        <f t="shared" si="68"/>
        <v>28355</v>
      </c>
      <c r="K945" s="61">
        <f t="shared" si="69"/>
        <v>0.8960341286</v>
      </c>
    </row>
    <row r="946" ht="27.75" customHeight="1">
      <c r="A946" s="56" t="s">
        <v>4167</v>
      </c>
      <c r="B946" s="57" t="s">
        <v>31</v>
      </c>
      <c r="C946" s="58" t="s">
        <v>4168</v>
      </c>
      <c r="D946" s="57" t="s">
        <v>33</v>
      </c>
      <c r="E946" s="59" t="s">
        <v>1900</v>
      </c>
      <c r="F946" s="57" t="str">
        <f t="shared" si="67"/>
        <v>Menipis</v>
      </c>
      <c r="G946" s="64">
        <v>1.0</v>
      </c>
      <c r="H946" s="60">
        <v>18220.0</v>
      </c>
      <c r="I946" s="60">
        <v>45000.0</v>
      </c>
      <c r="J946" s="60">
        <f t="shared" si="68"/>
        <v>26780</v>
      </c>
      <c r="K946" s="61">
        <f t="shared" si="69"/>
        <v>1.469813392</v>
      </c>
    </row>
    <row r="947" ht="27.75" customHeight="1">
      <c r="A947" s="56" t="s">
        <v>4169</v>
      </c>
      <c r="B947" s="57" t="s">
        <v>31</v>
      </c>
      <c r="C947" s="58" t="s">
        <v>4170</v>
      </c>
      <c r="D947" s="57" t="s">
        <v>33</v>
      </c>
      <c r="E947" s="59" t="s">
        <v>1900</v>
      </c>
      <c r="F947" s="57" t="str">
        <f t="shared" si="67"/>
        <v>Menipis</v>
      </c>
      <c r="G947" s="64">
        <v>1.0</v>
      </c>
      <c r="H947" s="60">
        <v>50037.0</v>
      </c>
      <c r="I947" s="60">
        <v>90000.0</v>
      </c>
      <c r="J947" s="60">
        <f t="shared" si="68"/>
        <v>39963</v>
      </c>
      <c r="K947" s="61">
        <f t="shared" si="69"/>
        <v>0.798668985</v>
      </c>
    </row>
    <row r="948" ht="27.75" customHeight="1">
      <c r="A948" s="56" t="s">
        <v>4171</v>
      </c>
      <c r="B948" s="57" t="s">
        <v>31</v>
      </c>
      <c r="C948" s="58" t="s">
        <v>4172</v>
      </c>
      <c r="D948" s="57" t="s">
        <v>33</v>
      </c>
      <c r="E948" s="59" t="s">
        <v>1900</v>
      </c>
      <c r="F948" s="57" t="str">
        <f t="shared" si="67"/>
        <v>Menipis</v>
      </c>
      <c r="G948" s="64">
        <v>1.0</v>
      </c>
      <c r="H948" s="60">
        <v>68989.0</v>
      </c>
      <c r="I948" s="60">
        <v>125000.0</v>
      </c>
      <c r="J948" s="60">
        <f t="shared" si="68"/>
        <v>56011</v>
      </c>
      <c r="K948" s="61">
        <f t="shared" si="69"/>
        <v>0.8118830538</v>
      </c>
    </row>
    <row r="949" ht="27.75" customHeight="1">
      <c r="A949" s="56" t="s">
        <v>4173</v>
      </c>
      <c r="B949" s="57" t="s">
        <v>31</v>
      </c>
      <c r="C949" s="58" t="s">
        <v>4174</v>
      </c>
      <c r="D949" s="57" t="s">
        <v>33</v>
      </c>
      <c r="E949" s="59" t="s">
        <v>1900</v>
      </c>
      <c r="F949" s="57" t="str">
        <f t="shared" si="67"/>
        <v>Menipis</v>
      </c>
      <c r="G949" s="64">
        <v>2.0</v>
      </c>
      <c r="H949" s="60">
        <v>94889.0</v>
      </c>
      <c r="I949" s="60">
        <v>125000.0</v>
      </c>
      <c r="J949" s="60">
        <f t="shared" si="68"/>
        <v>30111</v>
      </c>
      <c r="K949" s="61">
        <f t="shared" si="69"/>
        <v>0.3173286682</v>
      </c>
    </row>
    <row r="950" ht="27.75" customHeight="1">
      <c r="A950" s="56" t="s">
        <v>4175</v>
      </c>
      <c r="B950" s="57" t="s">
        <v>31</v>
      </c>
      <c r="C950" s="58" t="s">
        <v>4176</v>
      </c>
      <c r="D950" s="57" t="s">
        <v>33</v>
      </c>
      <c r="E950" s="59" t="s">
        <v>1900</v>
      </c>
      <c r="F950" s="57" t="str">
        <f t="shared" si="67"/>
        <v>Menipis</v>
      </c>
      <c r="G950" s="64">
        <v>2.0</v>
      </c>
      <c r="H950" s="60">
        <v>85000.0</v>
      </c>
      <c r="I950" s="60">
        <v>150000.0</v>
      </c>
      <c r="J950" s="60">
        <f t="shared" si="68"/>
        <v>65000</v>
      </c>
      <c r="K950" s="61">
        <f t="shared" si="69"/>
        <v>0.7647058824</v>
      </c>
    </row>
    <row r="951" ht="27.75" customHeight="1">
      <c r="A951" s="56" t="s">
        <v>4177</v>
      </c>
      <c r="B951" s="57" t="s">
        <v>31</v>
      </c>
      <c r="C951" s="58" t="s">
        <v>4178</v>
      </c>
      <c r="D951" s="57" t="s">
        <v>33</v>
      </c>
      <c r="E951" s="59" t="s">
        <v>1900</v>
      </c>
      <c r="F951" s="57" t="str">
        <f t="shared" si="67"/>
        <v>Menipis</v>
      </c>
      <c r="G951" s="64">
        <v>1.0</v>
      </c>
      <c r="H951" s="60">
        <v>50500.0</v>
      </c>
      <c r="I951" s="60">
        <v>100000.0</v>
      </c>
      <c r="J951" s="60">
        <f t="shared" si="68"/>
        <v>49500</v>
      </c>
      <c r="K951" s="61">
        <f t="shared" si="69"/>
        <v>0.9801980198</v>
      </c>
    </row>
    <row r="952" ht="27.75" customHeight="1">
      <c r="A952" s="56" t="s">
        <v>4179</v>
      </c>
      <c r="B952" s="57" t="s">
        <v>31</v>
      </c>
      <c r="C952" s="58" t="s">
        <v>4180</v>
      </c>
      <c r="D952" s="57" t="s">
        <v>33</v>
      </c>
      <c r="E952" s="59" t="s">
        <v>1900</v>
      </c>
      <c r="F952" s="57" t="str">
        <f t="shared" si="67"/>
        <v>Menipis</v>
      </c>
      <c r="G952" s="64">
        <v>1.0</v>
      </c>
      <c r="H952" s="60">
        <v>55116.0</v>
      </c>
      <c r="I952" s="60">
        <v>10000.0</v>
      </c>
      <c r="J952" s="60">
        <f t="shared" si="68"/>
        <v>-45116</v>
      </c>
      <c r="K952" s="61">
        <f t="shared" si="69"/>
        <v>-0.8185644822</v>
      </c>
    </row>
    <row r="953" ht="27.75" customHeight="1">
      <c r="A953" s="56" t="s">
        <v>4181</v>
      </c>
      <c r="B953" s="57" t="s">
        <v>31</v>
      </c>
      <c r="C953" s="58" t="s">
        <v>4182</v>
      </c>
      <c r="D953" s="57" t="s">
        <v>33</v>
      </c>
      <c r="E953" s="59" t="s">
        <v>1900</v>
      </c>
      <c r="F953" s="57" t="str">
        <f t="shared" si="67"/>
        <v>Menipis</v>
      </c>
      <c r="G953" s="64">
        <v>1.0</v>
      </c>
      <c r="H953" s="60">
        <v>45454.0</v>
      </c>
      <c r="I953" s="60">
        <v>90000.0</v>
      </c>
      <c r="J953" s="60">
        <f t="shared" si="68"/>
        <v>44546</v>
      </c>
      <c r="K953" s="61">
        <f t="shared" si="69"/>
        <v>0.9800237603</v>
      </c>
    </row>
    <row r="954" ht="27.75" customHeight="1">
      <c r="A954" s="56" t="s">
        <v>4183</v>
      </c>
      <c r="B954" s="57" t="s">
        <v>31</v>
      </c>
      <c r="C954" s="58" t="s">
        <v>4184</v>
      </c>
      <c r="D954" s="57" t="s">
        <v>33</v>
      </c>
      <c r="E954" s="59" t="s">
        <v>1900</v>
      </c>
      <c r="F954" s="57" t="str">
        <f t="shared" si="67"/>
        <v>Menipis</v>
      </c>
      <c r="G954" s="64">
        <v>1.0</v>
      </c>
      <c r="H954" s="60">
        <v>52000.0</v>
      </c>
      <c r="I954" s="60">
        <v>80000.0</v>
      </c>
      <c r="J954" s="60">
        <f t="shared" si="68"/>
        <v>28000</v>
      </c>
      <c r="K954" s="61">
        <f t="shared" si="69"/>
        <v>0.5384615385</v>
      </c>
    </row>
    <row r="955" ht="27.75" customHeight="1">
      <c r="A955" s="56" t="s">
        <v>4185</v>
      </c>
      <c r="B955" s="57" t="s">
        <v>31</v>
      </c>
      <c r="C955" s="58" t="s">
        <v>4186</v>
      </c>
      <c r="D955" s="57" t="s">
        <v>33</v>
      </c>
      <c r="E955" s="59" t="s">
        <v>1900</v>
      </c>
      <c r="F955" s="57" t="str">
        <f t="shared" si="67"/>
        <v>Menipis</v>
      </c>
      <c r="G955" s="64">
        <v>3.0</v>
      </c>
      <c r="H955" s="60">
        <v>75000.0</v>
      </c>
      <c r="I955" s="60">
        <v>110000.0</v>
      </c>
      <c r="J955" s="60">
        <f t="shared" si="68"/>
        <v>35000</v>
      </c>
      <c r="K955" s="61">
        <f t="shared" si="69"/>
        <v>0.4666666667</v>
      </c>
    </row>
    <row r="956" ht="27.75" customHeight="1">
      <c r="A956" s="56" t="s">
        <v>4187</v>
      </c>
      <c r="B956" s="57" t="s">
        <v>31</v>
      </c>
      <c r="C956" s="58" t="s">
        <v>4188</v>
      </c>
      <c r="D956" s="57" t="s">
        <v>33</v>
      </c>
      <c r="E956" s="59" t="s">
        <v>1900</v>
      </c>
      <c r="F956" s="57" t="str">
        <f t="shared" si="67"/>
        <v>Habis</v>
      </c>
      <c r="G956" s="64">
        <v>0.0</v>
      </c>
      <c r="H956" s="60">
        <v>75000.0</v>
      </c>
      <c r="I956" s="60">
        <v>135000.0</v>
      </c>
      <c r="J956" s="60">
        <f t="shared" si="68"/>
        <v>60000</v>
      </c>
      <c r="K956" s="61">
        <f t="shared" si="69"/>
        <v>0.8</v>
      </c>
    </row>
    <row r="957" ht="27.75" customHeight="1">
      <c r="A957" s="56" t="s">
        <v>4189</v>
      </c>
      <c r="B957" s="57" t="s">
        <v>31</v>
      </c>
      <c r="C957" s="58" t="s">
        <v>4190</v>
      </c>
      <c r="D957" s="57" t="s">
        <v>33</v>
      </c>
      <c r="E957" s="59" t="s">
        <v>1900</v>
      </c>
      <c r="F957" s="57" t="str">
        <f t="shared" si="67"/>
        <v>Habis</v>
      </c>
      <c r="G957" s="64">
        <v>0.0</v>
      </c>
      <c r="H957" s="60">
        <v>65009.0</v>
      </c>
      <c r="I957" s="60">
        <v>120000.0</v>
      </c>
      <c r="J957" s="60">
        <f t="shared" si="68"/>
        <v>54991</v>
      </c>
      <c r="K957" s="61">
        <f t="shared" si="69"/>
        <v>0.8458982602</v>
      </c>
    </row>
    <row r="958" ht="27.75" customHeight="1">
      <c r="A958" s="56" t="s">
        <v>4191</v>
      </c>
      <c r="B958" s="57" t="s">
        <v>31</v>
      </c>
      <c r="C958" s="58" t="s">
        <v>4192</v>
      </c>
      <c r="D958" s="57" t="s">
        <v>33</v>
      </c>
      <c r="E958" s="59" t="s">
        <v>1900</v>
      </c>
      <c r="F958" s="57" t="str">
        <f t="shared" si="67"/>
        <v>Tersedia</v>
      </c>
      <c r="G958" s="64">
        <v>4.0</v>
      </c>
      <c r="H958" s="60">
        <v>77000.0</v>
      </c>
      <c r="I958" s="60">
        <v>110000.0</v>
      </c>
      <c r="J958" s="60">
        <f t="shared" si="68"/>
        <v>33000</v>
      </c>
      <c r="K958" s="61">
        <f t="shared" si="69"/>
        <v>0.4285714286</v>
      </c>
    </row>
    <row r="959" ht="27.75" customHeight="1">
      <c r="A959" s="56" t="s">
        <v>4193</v>
      </c>
      <c r="B959" s="57" t="s">
        <v>31</v>
      </c>
      <c r="C959" s="58" t="s">
        <v>4194</v>
      </c>
      <c r="D959" s="57" t="s">
        <v>33</v>
      </c>
      <c r="E959" s="59" t="s">
        <v>1900</v>
      </c>
      <c r="F959" s="57" t="str">
        <f t="shared" si="67"/>
        <v>Habis</v>
      </c>
      <c r="G959" s="64">
        <v>0.0</v>
      </c>
      <c r="H959" s="60">
        <v>75423.0</v>
      </c>
      <c r="I959" s="60">
        <v>135761.0</v>
      </c>
      <c r="J959" s="60">
        <f t="shared" si="68"/>
        <v>60338</v>
      </c>
      <c r="K959" s="61">
        <f t="shared" si="69"/>
        <v>0.7999946966</v>
      </c>
    </row>
    <row r="960" ht="27.75" customHeight="1">
      <c r="A960" s="56" t="s">
        <v>4195</v>
      </c>
      <c r="B960" s="57" t="s">
        <v>31</v>
      </c>
      <c r="C960" s="58" t="s">
        <v>4196</v>
      </c>
      <c r="D960" s="57" t="s">
        <v>33</v>
      </c>
      <c r="E960" s="59" t="s">
        <v>1900</v>
      </c>
      <c r="F960" s="57" t="str">
        <f t="shared" si="67"/>
        <v>Habis</v>
      </c>
      <c r="G960" s="64">
        <v>0.0</v>
      </c>
      <c r="H960" s="60">
        <v>37811.0</v>
      </c>
      <c r="I960" s="60">
        <v>68060.0</v>
      </c>
      <c r="J960" s="60">
        <f t="shared" si="68"/>
        <v>30249</v>
      </c>
      <c r="K960" s="61">
        <f t="shared" si="69"/>
        <v>0.8000052895</v>
      </c>
    </row>
    <row r="961" ht="27.75" customHeight="1">
      <c r="A961" s="56" t="s">
        <v>4197</v>
      </c>
      <c r="B961" s="57" t="s">
        <v>31</v>
      </c>
      <c r="C961" s="58" t="s">
        <v>4198</v>
      </c>
      <c r="D961" s="57" t="s">
        <v>33</v>
      </c>
      <c r="E961" s="59" t="s">
        <v>1900</v>
      </c>
      <c r="F961" s="57" t="str">
        <f t="shared" si="67"/>
        <v>Habis</v>
      </c>
      <c r="G961" s="64">
        <v>0.0</v>
      </c>
      <c r="H961" s="60">
        <v>95212.0</v>
      </c>
      <c r="I961" s="60">
        <v>171382.0</v>
      </c>
      <c r="J961" s="60">
        <f t="shared" si="68"/>
        <v>76170</v>
      </c>
      <c r="K961" s="61">
        <f t="shared" si="69"/>
        <v>0.8000042012</v>
      </c>
    </row>
    <row r="962" ht="27.75" customHeight="1">
      <c r="A962" s="56" t="s">
        <v>4199</v>
      </c>
      <c r="B962" s="57" t="s">
        <v>31</v>
      </c>
      <c r="C962" s="58" t="s">
        <v>4200</v>
      </c>
      <c r="D962" s="57" t="s">
        <v>33</v>
      </c>
      <c r="E962" s="59" t="s">
        <v>1900</v>
      </c>
      <c r="F962" s="57" t="str">
        <f t="shared" si="67"/>
        <v>Habis</v>
      </c>
      <c r="G962" s="64">
        <v>0.0</v>
      </c>
      <c r="H962" s="60">
        <v>65825.0</v>
      </c>
      <c r="I962" s="60">
        <v>118485.0</v>
      </c>
      <c r="J962" s="60">
        <f t="shared" si="68"/>
        <v>52660</v>
      </c>
      <c r="K962" s="61">
        <f t="shared" si="69"/>
        <v>0.8</v>
      </c>
    </row>
    <row r="963" ht="27.75" customHeight="1">
      <c r="A963" s="56" t="s">
        <v>4201</v>
      </c>
      <c r="B963" s="57" t="s">
        <v>31</v>
      </c>
      <c r="C963" s="58" t="s">
        <v>4202</v>
      </c>
      <c r="D963" s="57" t="s">
        <v>33</v>
      </c>
      <c r="E963" s="59" t="s">
        <v>1900</v>
      </c>
      <c r="F963" s="57" t="str">
        <f t="shared" si="67"/>
        <v>Menipis</v>
      </c>
      <c r="G963" s="64">
        <v>1.0</v>
      </c>
      <c r="H963" s="60">
        <v>67000.0</v>
      </c>
      <c r="I963" s="60">
        <v>120000.0</v>
      </c>
      <c r="J963" s="60">
        <f t="shared" si="68"/>
        <v>53000</v>
      </c>
      <c r="K963" s="61">
        <f t="shared" si="69"/>
        <v>0.7910447761</v>
      </c>
    </row>
    <row r="964" ht="27.75" customHeight="1">
      <c r="A964" s="56" t="s">
        <v>4203</v>
      </c>
      <c r="B964" s="57" t="s">
        <v>31</v>
      </c>
      <c r="C964" s="58" t="s">
        <v>4204</v>
      </c>
      <c r="D964" s="57" t="s">
        <v>33</v>
      </c>
      <c r="E964" s="59" t="s">
        <v>1900</v>
      </c>
      <c r="F964" s="57" t="str">
        <f t="shared" si="67"/>
        <v>Habis</v>
      </c>
      <c r="G964" s="64">
        <v>0.0</v>
      </c>
      <c r="H964" s="60">
        <v>65827.0</v>
      </c>
      <c r="I964" s="60">
        <v>118489.0</v>
      </c>
      <c r="J964" s="60">
        <f t="shared" si="68"/>
        <v>52662</v>
      </c>
      <c r="K964" s="61">
        <f t="shared" si="69"/>
        <v>0.8000060765</v>
      </c>
    </row>
    <row r="965" ht="27.75" customHeight="1">
      <c r="A965" s="56" t="s">
        <v>4205</v>
      </c>
      <c r="B965" s="57" t="s">
        <v>31</v>
      </c>
      <c r="C965" s="58" t="s">
        <v>4206</v>
      </c>
      <c r="D965" s="57" t="s">
        <v>33</v>
      </c>
      <c r="E965" s="59" t="s">
        <v>1900</v>
      </c>
      <c r="F965" s="57" t="str">
        <f t="shared" si="67"/>
        <v>Habis</v>
      </c>
      <c r="G965" s="64">
        <v>0.0</v>
      </c>
      <c r="H965" s="60">
        <v>38012.0</v>
      </c>
      <c r="I965" s="60">
        <v>68422.0</v>
      </c>
      <c r="J965" s="60">
        <f t="shared" si="68"/>
        <v>30410</v>
      </c>
      <c r="K965" s="61">
        <f t="shared" si="69"/>
        <v>0.800010523</v>
      </c>
    </row>
    <row r="966" ht="27.75" customHeight="1">
      <c r="A966" s="56" t="s">
        <v>4207</v>
      </c>
      <c r="B966" s="57" t="s">
        <v>31</v>
      </c>
      <c r="C966" s="58" t="s">
        <v>4208</v>
      </c>
      <c r="D966" s="57" t="s">
        <v>33</v>
      </c>
      <c r="E966" s="59" t="s">
        <v>1900</v>
      </c>
      <c r="F966" s="57" t="str">
        <f t="shared" si="67"/>
        <v>Habis</v>
      </c>
      <c r="G966" s="64">
        <v>0.0</v>
      </c>
      <c r="H966" s="60">
        <v>43152.0</v>
      </c>
      <c r="I966" s="60">
        <v>77674.0</v>
      </c>
      <c r="J966" s="60">
        <f t="shared" si="68"/>
        <v>34522</v>
      </c>
      <c r="K966" s="61">
        <f t="shared" si="69"/>
        <v>0.8000092696</v>
      </c>
    </row>
    <row r="967" ht="27.75" customHeight="1">
      <c r="A967" s="56" t="s">
        <v>4209</v>
      </c>
      <c r="B967" s="57" t="s">
        <v>31</v>
      </c>
      <c r="C967" s="58" t="s">
        <v>4210</v>
      </c>
      <c r="D967" s="57" t="s">
        <v>33</v>
      </c>
      <c r="E967" s="59" t="s">
        <v>1900</v>
      </c>
      <c r="F967" s="57" t="str">
        <f t="shared" si="67"/>
        <v>Habis</v>
      </c>
      <c r="G967" s="64">
        <v>0.0</v>
      </c>
      <c r="H967" s="60">
        <v>37844.0</v>
      </c>
      <c r="I967" s="60">
        <v>68119.0</v>
      </c>
      <c r="J967" s="60">
        <f t="shared" si="68"/>
        <v>30275</v>
      </c>
      <c r="K967" s="61">
        <f t="shared" si="69"/>
        <v>0.7999947151</v>
      </c>
    </row>
    <row r="968" ht="27.75" customHeight="1">
      <c r="A968" s="56" t="s">
        <v>4211</v>
      </c>
      <c r="B968" s="57" t="s">
        <v>31</v>
      </c>
      <c r="C968" s="58" t="s">
        <v>4212</v>
      </c>
      <c r="D968" s="57" t="s">
        <v>33</v>
      </c>
      <c r="E968" s="59" t="s">
        <v>1900</v>
      </c>
      <c r="F968" s="57" t="str">
        <f t="shared" si="67"/>
        <v>Habis</v>
      </c>
      <c r="G968" s="64">
        <v>0.0</v>
      </c>
      <c r="H968" s="60">
        <v>39901.0</v>
      </c>
      <c r="I968" s="60">
        <v>71822.0</v>
      </c>
      <c r="J968" s="60">
        <f t="shared" si="68"/>
        <v>31921</v>
      </c>
      <c r="K968" s="61">
        <f t="shared" si="69"/>
        <v>0.8000050124</v>
      </c>
    </row>
    <row r="969" ht="27.75" customHeight="1">
      <c r="A969" s="56" t="s">
        <v>4213</v>
      </c>
      <c r="B969" s="57" t="s">
        <v>31</v>
      </c>
      <c r="C969" s="58" t="s">
        <v>4214</v>
      </c>
      <c r="D969" s="57" t="s">
        <v>33</v>
      </c>
      <c r="E969" s="59" t="s">
        <v>1900</v>
      </c>
      <c r="F969" s="57" t="str">
        <f t="shared" si="67"/>
        <v>Habis</v>
      </c>
      <c r="G969" s="64">
        <v>0.0</v>
      </c>
      <c r="H969" s="60">
        <v>35808.0</v>
      </c>
      <c r="I969" s="60">
        <v>64454.0</v>
      </c>
      <c r="J969" s="60">
        <f t="shared" si="68"/>
        <v>28646</v>
      </c>
      <c r="K969" s="61">
        <f t="shared" si="69"/>
        <v>0.7999888293</v>
      </c>
    </row>
    <row r="970" ht="27.75" customHeight="1">
      <c r="A970" s="56" t="s">
        <v>4215</v>
      </c>
      <c r="B970" s="57" t="s">
        <v>31</v>
      </c>
      <c r="C970" s="58" t="s">
        <v>4216</v>
      </c>
      <c r="D970" s="57" t="s">
        <v>33</v>
      </c>
      <c r="E970" s="59" t="s">
        <v>1900</v>
      </c>
      <c r="F970" s="57" t="str">
        <f t="shared" si="67"/>
        <v>Habis</v>
      </c>
      <c r="G970" s="64">
        <v>0.0</v>
      </c>
      <c r="H970" s="60">
        <v>103811.0</v>
      </c>
      <c r="I970" s="60">
        <v>186860.0</v>
      </c>
      <c r="J970" s="60">
        <f t="shared" si="68"/>
        <v>83049</v>
      </c>
      <c r="K970" s="61">
        <f t="shared" si="69"/>
        <v>0.8000019266</v>
      </c>
    </row>
    <row r="971" ht="27.75" customHeight="1">
      <c r="A971" s="56" t="s">
        <v>4217</v>
      </c>
      <c r="B971" s="57" t="s">
        <v>31</v>
      </c>
      <c r="C971" s="58" t="s">
        <v>4218</v>
      </c>
      <c r="D971" s="57" t="s">
        <v>33</v>
      </c>
      <c r="E971" s="59" t="s">
        <v>1900</v>
      </c>
      <c r="F971" s="57" t="str">
        <f t="shared" si="67"/>
        <v>Habis</v>
      </c>
      <c r="G971" s="64">
        <v>0.0</v>
      </c>
      <c r="H971" s="60">
        <v>52846.0</v>
      </c>
      <c r="I971" s="60">
        <v>95123.0</v>
      </c>
      <c r="J971" s="60">
        <f t="shared" si="68"/>
        <v>42277</v>
      </c>
      <c r="K971" s="61">
        <f t="shared" si="69"/>
        <v>0.8000037846</v>
      </c>
    </row>
    <row r="972" ht="27.75" customHeight="1">
      <c r="A972" s="56" t="s">
        <v>4219</v>
      </c>
      <c r="B972" s="57" t="s">
        <v>31</v>
      </c>
      <c r="C972" s="58" t="s">
        <v>4220</v>
      </c>
      <c r="D972" s="57" t="s">
        <v>33</v>
      </c>
      <c r="E972" s="59" t="s">
        <v>1900</v>
      </c>
      <c r="F972" s="57" t="str">
        <f t="shared" si="67"/>
        <v>Menipis</v>
      </c>
      <c r="G972" s="64">
        <v>1.0</v>
      </c>
      <c r="H972" s="60">
        <v>59000.0</v>
      </c>
      <c r="I972" s="60">
        <v>90000.0</v>
      </c>
      <c r="J972" s="60">
        <f t="shared" si="68"/>
        <v>31000</v>
      </c>
      <c r="K972" s="61">
        <f t="shared" si="69"/>
        <v>0.5254237288</v>
      </c>
    </row>
    <row r="973" ht="27.75" customHeight="1">
      <c r="A973" s="56" t="s">
        <v>4221</v>
      </c>
      <c r="B973" s="57" t="s">
        <v>31</v>
      </c>
      <c r="C973" s="58" t="s">
        <v>4222</v>
      </c>
      <c r="D973" s="57" t="s">
        <v>33</v>
      </c>
      <c r="E973" s="59" t="s">
        <v>1900</v>
      </c>
      <c r="F973" s="57" t="str">
        <f t="shared" si="67"/>
        <v>Habis</v>
      </c>
      <c r="G973" s="64">
        <v>0.0</v>
      </c>
      <c r="H973" s="60">
        <v>55000.0</v>
      </c>
      <c r="I973" s="60">
        <v>99000.0</v>
      </c>
      <c r="J973" s="60">
        <f t="shared" si="68"/>
        <v>44000</v>
      </c>
      <c r="K973" s="61">
        <f t="shared" si="69"/>
        <v>0.8</v>
      </c>
    </row>
    <row r="974" ht="27.75" customHeight="1">
      <c r="A974" s="56" t="s">
        <v>4223</v>
      </c>
      <c r="B974" s="57" t="s">
        <v>31</v>
      </c>
      <c r="C974" s="58" t="s">
        <v>4224</v>
      </c>
      <c r="D974" s="57" t="s">
        <v>33</v>
      </c>
      <c r="E974" s="59" t="s">
        <v>1900</v>
      </c>
      <c r="F974" s="57" t="str">
        <f t="shared" si="67"/>
        <v>Habis</v>
      </c>
      <c r="G974" s="64">
        <v>0.0</v>
      </c>
      <c r="H974" s="60">
        <v>59000.0</v>
      </c>
      <c r="I974" s="60">
        <v>106200.0</v>
      </c>
      <c r="J974" s="60">
        <f t="shared" si="68"/>
        <v>47200</v>
      </c>
      <c r="K974" s="61">
        <f t="shared" si="69"/>
        <v>0.8</v>
      </c>
    </row>
    <row r="975" ht="27.75" customHeight="1">
      <c r="A975" s="56" t="s">
        <v>4225</v>
      </c>
      <c r="B975" s="57" t="s">
        <v>31</v>
      </c>
      <c r="C975" s="58" t="s">
        <v>4226</v>
      </c>
      <c r="D975" s="57" t="s">
        <v>33</v>
      </c>
      <c r="E975" s="59" t="s">
        <v>1900</v>
      </c>
      <c r="F975" s="57" t="str">
        <f t="shared" si="67"/>
        <v>Menipis</v>
      </c>
      <c r="G975" s="64">
        <v>2.0</v>
      </c>
      <c r="H975" s="60">
        <v>56000.0</v>
      </c>
      <c r="I975" s="60">
        <v>85000.0</v>
      </c>
      <c r="J975" s="60">
        <f t="shared" si="68"/>
        <v>29000</v>
      </c>
      <c r="K975" s="61">
        <f t="shared" si="69"/>
        <v>0.5178571429</v>
      </c>
    </row>
    <row r="976" ht="27.75" customHeight="1">
      <c r="A976" s="56" t="s">
        <v>4227</v>
      </c>
      <c r="B976" s="57" t="s">
        <v>31</v>
      </c>
      <c r="C976" s="58" t="s">
        <v>4228</v>
      </c>
      <c r="D976" s="57" t="s">
        <v>33</v>
      </c>
      <c r="E976" s="59" t="s">
        <v>1900</v>
      </c>
      <c r="F976" s="57" t="str">
        <f t="shared" si="67"/>
        <v>Menipis</v>
      </c>
      <c r="G976" s="64">
        <v>1.0</v>
      </c>
      <c r="H976" s="60">
        <v>35000.0</v>
      </c>
      <c r="I976" s="60">
        <v>85000.0</v>
      </c>
      <c r="J976" s="60">
        <f t="shared" si="68"/>
        <v>50000</v>
      </c>
      <c r="K976" s="61">
        <f t="shared" si="69"/>
        <v>1.428571429</v>
      </c>
    </row>
    <row r="977" ht="27.75" customHeight="1">
      <c r="A977" s="56" t="s">
        <v>4229</v>
      </c>
      <c r="B977" s="57" t="s">
        <v>31</v>
      </c>
      <c r="C977" s="58" t="s">
        <v>4230</v>
      </c>
      <c r="D977" s="57" t="s">
        <v>33</v>
      </c>
      <c r="E977" s="59" t="s">
        <v>1900</v>
      </c>
      <c r="F977" s="57" t="str">
        <f t="shared" si="67"/>
        <v>Menipis</v>
      </c>
      <c r="G977" s="64">
        <v>1.0</v>
      </c>
      <c r="H977" s="60">
        <v>50000.0</v>
      </c>
      <c r="I977" s="60">
        <v>85000.0</v>
      </c>
      <c r="J977" s="60">
        <f t="shared" si="68"/>
        <v>35000</v>
      </c>
      <c r="K977" s="61">
        <f t="shared" si="69"/>
        <v>0.7</v>
      </c>
    </row>
    <row r="978" ht="27.75" customHeight="1">
      <c r="A978" s="56" t="s">
        <v>4231</v>
      </c>
      <c r="B978" s="57" t="s">
        <v>31</v>
      </c>
      <c r="C978" s="58" t="s">
        <v>4232</v>
      </c>
      <c r="D978" s="57" t="s">
        <v>33</v>
      </c>
      <c r="E978" s="59" t="s">
        <v>1900</v>
      </c>
      <c r="F978" s="57" t="str">
        <f t="shared" si="67"/>
        <v>Menipis</v>
      </c>
      <c r="G978" s="64">
        <v>1.0</v>
      </c>
      <c r="H978" s="60">
        <v>52000.0</v>
      </c>
      <c r="I978" s="60">
        <v>85000.0</v>
      </c>
      <c r="J978" s="60">
        <f t="shared" si="68"/>
        <v>33000</v>
      </c>
      <c r="K978" s="61">
        <f t="shared" si="69"/>
        <v>0.6346153846</v>
      </c>
    </row>
    <row r="979" ht="27.75" customHeight="1">
      <c r="A979" s="56" t="s">
        <v>4233</v>
      </c>
      <c r="B979" s="57" t="s">
        <v>31</v>
      </c>
      <c r="C979" s="58" t="s">
        <v>4234</v>
      </c>
      <c r="D979" s="57" t="s">
        <v>33</v>
      </c>
      <c r="E979" s="59" t="s">
        <v>1900</v>
      </c>
      <c r="F979" s="57" t="str">
        <f t="shared" si="67"/>
        <v>Menipis</v>
      </c>
      <c r="G979" s="64">
        <v>1.0</v>
      </c>
      <c r="H979" s="60">
        <v>40000.0</v>
      </c>
      <c r="I979" s="60">
        <v>85000.0</v>
      </c>
      <c r="J979" s="60">
        <f t="shared" si="68"/>
        <v>45000</v>
      </c>
      <c r="K979" s="61">
        <f t="shared" si="69"/>
        <v>1.125</v>
      </c>
    </row>
    <row r="980" ht="27.75" customHeight="1">
      <c r="A980" s="56" t="s">
        <v>4235</v>
      </c>
      <c r="B980" s="57" t="s">
        <v>31</v>
      </c>
      <c r="C980" s="58" t="s">
        <v>4236</v>
      </c>
      <c r="D980" s="57" t="s">
        <v>33</v>
      </c>
      <c r="E980" s="59" t="s">
        <v>1900</v>
      </c>
      <c r="F980" s="57" t="str">
        <f t="shared" si="67"/>
        <v>Menipis</v>
      </c>
      <c r="G980" s="64">
        <v>1.0</v>
      </c>
      <c r="H980" s="60">
        <v>32000.0</v>
      </c>
      <c r="I980" s="60">
        <v>50000.0</v>
      </c>
      <c r="J980" s="60">
        <f t="shared" si="68"/>
        <v>18000</v>
      </c>
      <c r="K980" s="61">
        <f t="shared" si="69"/>
        <v>0.5625</v>
      </c>
    </row>
    <row r="981" ht="27.75" customHeight="1">
      <c r="A981" s="56" t="s">
        <v>4237</v>
      </c>
      <c r="B981" s="57" t="s">
        <v>31</v>
      </c>
      <c r="C981" s="58" t="s">
        <v>4238</v>
      </c>
      <c r="D981" s="57" t="s">
        <v>33</v>
      </c>
      <c r="E981" s="59" t="s">
        <v>1900</v>
      </c>
      <c r="F981" s="57" t="str">
        <f t="shared" si="67"/>
        <v>Menipis</v>
      </c>
      <c r="G981" s="64">
        <v>1.0</v>
      </c>
      <c r="H981" s="60">
        <v>33000.0</v>
      </c>
      <c r="I981" s="60">
        <v>70000.0</v>
      </c>
      <c r="J981" s="60">
        <f t="shared" si="68"/>
        <v>37000</v>
      </c>
      <c r="K981" s="61">
        <f t="shared" si="69"/>
        <v>1.121212121</v>
      </c>
    </row>
    <row r="982" ht="27.75" customHeight="1">
      <c r="A982" s="56" t="s">
        <v>4239</v>
      </c>
      <c r="B982" s="57" t="s">
        <v>31</v>
      </c>
      <c r="C982" s="58" t="s">
        <v>4240</v>
      </c>
      <c r="D982" s="57" t="s">
        <v>33</v>
      </c>
      <c r="E982" s="59" t="s">
        <v>1900</v>
      </c>
      <c r="F982" s="57" t="str">
        <f t="shared" si="67"/>
        <v>Menipis</v>
      </c>
      <c r="G982" s="64">
        <v>2.0</v>
      </c>
      <c r="H982" s="60">
        <v>35000.0</v>
      </c>
      <c r="I982" s="60">
        <v>70000.0</v>
      </c>
      <c r="J982" s="60">
        <f t="shared" si="68"/>
        <v>35000</v>
      </c>
      <c r="K982" s="61">
        <f t="shared" si="69"/>
        <v>1</v>
      </c>
    </row>
    <row r="983" ht="27.75" customHeight="1">
      <c r="A983" s="56" t="s">
        <v>4241</v>
      </c>
      <c r="B983" s="57" t="s">
        <v>31</v>
      </c>
      <c r="C983" s="58" t="s">
        <v>4242</v>
      </c>
      <c r="D983" s="57" t="s">
        <v>33</v>
      </c>
      <c r="E983" s="59" t="s">
        <v>1900</v>
      </c>
      <c r="F983" s="57" t="str">
        <f t="shared" si="67"/>
        <v>Menipis</v>
      </c>
      <c r="G983" s="64">
        <v>2.0</v>
      </c>
      <c r="H983" s="60">
        <v>14507.0</v>
      </c>
      <c r="I983" s="60">
        <v>30000.0</v>
      </c>
      <c r="J983" s="60">
        <f t="shared" si="68"/>
        <v>15493</v>
      </c>
      <c r="K983" s="61">
        <f t="shared" si="69"/>
        <v>1.067967188</v>
      </c>
    </row>
    <row r="984" ht="27.75" customHeight="1">
      <c r="A984" s="56" t="s">
        <v>4243</v>
      </c>
      <c r="B984" s="57" t="s">
        <v>31</v>
      </c>
      <c r="C984" s="58" t="s">
        <v>4244</v>
      </c>
      <c r="D984" s="57" t="s">
        <v>33</v>
      </c>
      <c r="E984" s="59" t="s">
        <v>1900</v>
      </c>
      <c r="F984" s="57" t="str">
        <f t="shared" si="67"/>
        <v>Menipis</v>
      </c>
      <c r="G984" s="64">
        <v>2.0</v>
      </c>
      <c r="H984" s="60">
        <v>25000.0</v>
      </c>
      <c r="I984" s="60">
        <v>55000.0</v>
      </c>
      <c r="J984" s="60">
        <f t="shared" si="68"/>
        <v>30000</v>
      </c>
      <c r="K984" s="61">
        <f t="shared" si="69"/>
        <v>1.2</v>
      </c>
    </row>
    <row r="985" ht="27.75" customHeight="1">
      <c r="A985" s="56" t="s">
        <v>4245</v>
      </c>
      <c r="B985" s="57" t="s">
        <v>31</v>
      </c>
      <c r="C985" s="58" t="s">
        <v>4246</v>
      </c>
      <c r="D985" s="57" t="s">
        <v>33</v>
      </c>
      <c r="E985" s="59" t="s">
        <v>1900</v>
      </c>
      <c r="F985" s="57" t="str">
        <f t="shared" si="67"/>
        <v>Habis</v>
      </c>
      <c r="G985" s="64">
        <v>0.0</v>
      </c>
      <c r="H985" s="60">
        <v>10638.0</v>
      </c>
      <c r="I985" s="60">
        <v>19148.0</v>
      </c>
      <c r="J985" s="60">
        <f t="shared" si="68"/>
        <v>8510</v>
      </c>
      <c r="K985" s="61">
        <f t="shared" si="69"/>
        <v>0.7999623989</v>
      </c>
    </row>
    <row r="986" ht="27.75" customHeight="1">
      <c r="A986" s="56" t="s">
        <v>4247</v>
      </c>
      <c r="B986" s="57" t="s">
        <v>31</v>
      </c>
      <c r="C986" s="58" t="s">
        <v>4248</v>
      </c>
      <c r="D986" s="57" t="s">
        <v>33</v>
      </c>
      <c r="E986" s="59" t="s">
        <v>1900</v>
      </c>
      <c r="F986" s="57" t="str">
        <f t="shared" si="67"/>
        <v>Menipis</v>
      </c>
      <c r="G986" s="64">
        <v>1.0</v>
      </c>
      <c r="H986" s="60">
        <v>32000.0</v>
      </c>
      <c r="I986" s="60">
        <v>60000.0</v>
      </c>
      <c r="J986" s="60">
        <f t="shared" si="68"/>
        <v>28000</v>
      </c>
      <c r="K986" s="61">
        <f t="shared" si="69"/>
        <v>0.875</v>
      </c>
    </row>
    <row r="987" ht="27.75" customHeight="1">
      <c r="A987" s="56" t="s">
        <v>4249</v>
      </c>
      <c r="B987" s="57" t="s">
        <v>31</v>
      </c>
      <c r="C987" s="58" t="s">
        <v>4250</v>
      </c>
      <c r="D987" s="57" t="s">
        <v>33</v>
      </c>
      <c r="E987" s="59" t="s">
        <v>1900</v>
      </c>
      <c r="F987" s="57" t="str">
        <f t="shared" si="67"/>
        <v>Habis</v>
      </c>
      <c r="G987" s="64">
        <v>0.0</v>
      </c>
      <c r="H987" s="60">
        <v>32563.0</v>
      </c>
      <c r="I987" s="60">
        <v>58613.0</v>
      </c>
      <c r="J987" s="60">
        <f t="shared" si="68"/>
        <v>26050</v>
      </c>
      <c r="K987" s="61">
        <f t="shared" si="69"/>
        <v>0.7999877161</v>
      </c>
    </row>
    <row r="988" ht="27.75" customHeight="1">
      <c r="A988" s="56" t="s">
        <v>4251</v>
      </c>
      <c r="B988" s="57" t="s">
        <v>31</v>
      </c>
      <c r="C988" s="58" t="s">
        <v>4252</v>
      </c>
      <c r="D988" s="57" t="s">
        <v>33</v>
      </c>
      <c r="E988" s="59" t="s">
        <v>1900</v>
      </c>
      <c r="F988" s="57" t="str">
        <f t="shared" si="67"/>
        <v>Habis</v>
      </c>
      <c r="G988" s="64">
        <v>0.0</v>
      </c>
      <c r="H988" s="60">
        <v>29000.0</v>
      </c>
      <c r="I988" s="60">
        <v>52200.0</v>
      </c>
      <c r="J988" s="60">
        <f t="shared" si="68"/>
        <v>23200</v>
      </c>
      <c r="K988" s="61">
        <f t="shared" si="69"/>
        <v>0.8</v>
      </c>
    </row>
    <row r="989" ht="27.75" customHeight="1">
      <c r="A989" s="56" t="s">
        <v>4253</v>
      </c>
      <c r="B989" s="57" t="s">
        <v>31</v>
      </c>
      <c r="C989" s="58" t="s">
        <v>4254</v>
      </c>
      <c r="D989" s="57" t="s">
        <v>33</v>
      </c>
      <c r="E989" s="59" t="s">
        <v>1900</v>
      </c>
      <c r="F989" s="57" t="str">
        <f t="shared" si="67"/>
        <v>Menipis</v>
      </c>
      <c r="G989" s="64">
        <v>1.0</v>
      </c>
      <c r="H989" s="60">
        <v>30000.0</v>
      </c>
      <c r="I989" s="60">
        <v>60000.0</v>
      </c>
      <c r="J989" s="60">
        <f t="shared" si="68"/>
        <v>30000</v>
      </c>
      <c r="K989" s="61">
        <f t="shared" si="69"/>
        <v>1</v>
      </c>
    </row>
    <row r="990" ht="27.75" customHeight="1">
      <c r="A990" s="56" t="s">
        <v>4255</v>
      </c>
      <c r="B990" s="57" t="s">
        <v>31</v>
      </c>
      <c r="C990" s="58" t="s">
        <v>4256</v>
      </c>
      <c r="D990" s="57" t="s">
        <v>33</v>
      </c>
      <c r="E990" s="59" t="s">
        <v>1900</v>
      </c>
      <c r="F990" s="57" t="str">
        <f t="shared" si="67"/>
        <v>Habis</v>
      </c>
      <c r="G990" s="64">
        <v>0.0</v>
      </c>
      <c r="H990" s="60">
        <v>21200.0</v>
      </c>
      <c r="I990" s="60">
        <v>38160.0</v>
      </c>
      <c r="J990" s="60">
        <f t="shared" si="68"/>
        <v>16960</v>
      </c>
      <c r="K990" s="61">
        <f t="shared" si="69"/>
        <v>0.8</v>
      </c>
    </row>
    <row r="991" ht="27.75" customHeight="1">
      <c r="A991" s="56" t="s">
        <v>4257</v>
      </c>
      <c r="B991" s="57" t="s">
        <v>31</v>
      </c>
      <c r="C991" s="58" t="s">
        <v>4258</v>
      </c>
      <c r="D991" s="57" t="s">
        <v>33</v>
      </c>
      <c r="E991" s="59" t="s">
        <v>1900</v>
      </c>
      <c r="F991" s="57" t="str">
        <f t="shared" si="67"/>
        <v>Habis</v>
      </c>
      <c r="G991" s="64">
        <v>0.0</v>
      </c>
      <c r="H991" s="60">
        <v>24744.0</v>
      </c>
      <c r="I991" s="60">
        <v>44539.0</v>
      </c>
      <c r="J991" s="60">
        <f t="shared" si="68"/>
        <v>19795</v>
      </c>
      <c r="K991" s="61">
        <f t="shared" si="69"/>
        <v>0.7999919172</v>
      </c>
    </row>
    <row r="992" ht="27.75" customHeight="1">
      <c r="A992" s="56" t="s">
        <v>4259</v>
      </c>
      <c r="B992" s="57" t="s">
        <v>31</v>
      </c>
      <c r="C992" s="58" t="s">
        <v>4260</v>
      </c>
      <c r="D992" s="57" t="s">
        <v>33</v>
      </c>
      <c r="E992" s="59" t="s">
        <v>1900</v>
      </c>
      <c r="F992" s="57" t="str">
        <f t="shared" si="67"/>
        <v>Habis</v>
      </c>
      <c r="G992" s="64">
        <v>0.0</v>
      </c>
      <c r="H992" s="60">
        <v>34000.0</v>
      </c>
      <c r="I992" s="60">
        <v>61200.0</v>
      </c>
      <c r="J992" s="60">
        <f t="shared" si="68"/>
        <v>27200</v>
      </c>
      <c r="K992" s="61">
        <f t="shared" si="69"/>
        <v>0.8</v>
      </c>
    </row>
    <row r="993" ht="27.75" customHeight="1">
      <c r="A993" s="56" t="s">
        <v>4261</v>
      </c>
      <c r="B993" s="57" t="s">
        <v>31</v>
      </c>
      <c r="C993" s="58" t="s">
        <v>4262</v>
      </c>
      <c r="D993" s="57" t="s">
        <v>33</v>
      </c>
      <c r="E993" s="59" t="s">
        <v>1900</v>
      </c>
      <c r="F993" s="57" t="str">
        <f t="shared" si="67"/>
        <v>Habis</v>
      </c>
      <c r="G993" s="64">
        <v>0.0</v>
      </c>
      <c r="H993" s="60">
        <v>30000.0</v>
      </c>
      <c r="I993" s="60">
        <v>54000.0</v>
      </c>
      <c r="J993" s="60">
        <f t="shared" si="68"/>
        <v>24000</v>
      </c>
      <c r="K993" s="61">
        <f t="shared" si="69"/>
        <v>0.8</v>
      </c>
    </row>
    <row r="994" ht="27.75" customHeight="1">
      <c r="A994" s="56" t="s">
        <v>4263</v>
      </c>
      <c r="B994" s="57" t="s">
        <v>31</v>
      </c>
      <c r="C994" s="58" t="s">
        <v>4264</v>
      </c>
      <c r="D994" s="57" t="s">
        <v>33</v>
      </c>
      <c r="E994" s="59" t="s">
        <v>1900</v>
      </c>
      <c r="F994" s="57" t="str">
        <f t="shared" si="67"/>
        <v>Habis</v>
      </c>
      <c r="G994" s="64">
        <v>0.0</v>
      </c>
      <c r="H994" s="60">
        <v>37818.0</v>
      </c>
      <c r="I994" s="60">
        <v>68072.0</v>
      </c>
      <c r="J994" s="60">
        <f t="shared" si="68"/>
        <v>30254</v>
      </c>
      <c r="K994" s="61">
        <f t="shared" si="69"/>
        <v>0.799989423</v>
      </c>
    </row>
    <row r="995" ht="27.75" customHeight="1">
      <c r="A995" s="56" t="s">
        <v>4265</v>
      </c>
      <c r="B995" s="57" t="s">
        <v>31</v>
      </c>
      <c r="C995" s="58" t="s">
        <v>4266</v>
      </c>
      <c r="D995" s="57" t="s">
        <v>33</v>
      </c>
      <c r="E995" s="59" t="s">
        <v>1900</v>
      </c>
      <c r="F995" s="57" t="str">
        <f t="shared" si="67"/>
        <v>Habis</v>
      </c>
      <c r="G995" s="64">
        <v>0.0</v>
      </c>
      <c r="H995" s="60">
        <v>47529.0</v>
      </c>
      <c r="I995" s="60">
        <v>85552.0</v>
      </c>
      <c r="J995" s="60">
        <f t="shared" si="68"/>
        <v>38023</v>
      </c>
      <c r="K995" s="61">
        <f t="shared" si="69"/>
        <v>0.799995792</v>
      </c>
    </row>
    <row r="996" ht="27.75" customHeight="1">
      <c r="A996" s="56" t="s">
        <v>4267</v>
      </c>
      <c r="B996" s="57" t="s">
        <v>31</v>
      </c>
      <c r="C996" s="58" t="s">
        <v>4268</v>
      </c>
      <c r="D996" s="57" t="s">
        <v>33</v>
      </c>
      <c r="E996" s="59" t="s">
        <v>1900</v>
      </c>
      <c r="F996" s="57" t="str">
        <f t="shared" si="67"/>
        <v>Menipis</v>
      </c>
      <c r="G996" s="64">
        <v>1.0</v>
      </c>
      <c r="H996" s="60">
        <v>50000.0</v>
      </c>
      <c r="I996" s="60">
        <v>100000.0</v>
      </c>
      <c r="J996" s="60">
        <f t="shared" si="68"/>
        <v>50000</v>
      </c>
      <c r="K996" s="61">
        <f t="shared" si="69"/>
        <v>1</v>
      </c>
    </row>
    <row r="997" ht="27.75" customHeight="1">
      <c r="A997" s="56" t="s">
        <v>4269</v>
      </c>
      <c r="B997" s="57" t="s">
        <v>31</v>
      </c>
      <c r="C997" s="58" t="s">
        <v>4270</v>
      </c>
      <c r="D997" s="57" t="s">
        <v>33</v>
      </c>
      <c r="E997" s="59" t="s">
        <v>1900</v>
      </c>
      <c r="F997" s="57" t="str">
        <f t="shared" si="67"/>
        <v>Menipis</v>
      </c>
      <c r="G997" s="64">
        <v>1.0</v>
      </c>
      <c r="H997" s="60">
        <v>40000.0</v>
      </c>
      <c r="I997" s="60">
        <v>75000.0</v>
      </c>
      <c r="J997" s="60">
        <f t="shared" si="68"/>
        <v>35000</v>
      </c>
      <c r="K997" s="61">
        <f t="shared" si="69"/>
        <v>0.875</v>
      </c>
    </row>
    <row r="998" ht="27.75" customHeight="1">
      <c r="A998" s="56" t="s">
        <v>4271</v>
      </c>
      <c r="B998" s="57" t="s">
        <v>31</v>
      </c>
      <c r="C998" s="58" t="s">
        <v>4272</v>
      </c>
      <c r="D998" s="57" t="s">
        <v>33</v>
      </c>
      <c r="E998" s="59" t="s">
        <v>1900</v>
      </c>
      <c r="F998" s="57" t="str">
        <f t="shared" si="67"/>
        <v>Tersedia</v>
      </c>
      <c r="G998" s="64">
        <v>4.0</v>
      </c>
      <c r="H998" s="60">
        <v>40000.0</v>
      </c>
      <c r="I998" s="60">
        <v>60000.0</v>
      </c>
      <c r="J998" s="60">
        <f t="shared" si="68"/>
        <v>20000</v>
      </c>
      <c r="K998" s="61">
        <f t="shared" si="69"/>
        <v>0.5</v>
      </c>
    </row>
    <row r="999" ht="27.75" customHeight="1">
      <c r="A999" s="56" t="s">
        <v>4273</v>
      </c>
      <c r="B999" s="57" t="s">
        <v>31</v>
      </c>
      <c r="C999" s="58" t="s">
        <v>4274</v>
      </c>
      <c r="D999" s="57" t="s">
        <v>33</v>
      </c>
      <c r="E999" s="59" t="s">
        <v>1900</v>
      </c>
      <c r="F999" s="57" t="str">
        <f t="shared" si="67"/>
        <v>Habis</v>
      </c>
      <c r="G999" s="64">
        <v>0.0</v>
      </c>
      <c r="H999" s="60">
        <v>38357.0</v>
      </c>
      <c r="I999" s="60">
        <v>69043.0</v>
      </c>
      <c r="J999" s="60">
        <f t="shared" si="68"/>
        <v>30686</v>
      </c>
      <c r="K999" s="61">
        <f t="shared" si="69"/>
        <v>0.8000104283</v>
      </c>
    </row>
    <row r="1000" ht="27.75" customHeight="1">
      <c r="A1000" s="56" t="s">
        <v>4275</v>
      </c>
      <c r="B1000" s="57" t="s">
        <v>31</v>
      </c>
      <c r="C1000" s="58" t="s">
        <v>4276</v>
      </c>
      <c r="D1000" s="57" t="s">
        <v>33</v>
      </c>
      <c r="E1000" s="59" t="s">
        <v>1900</v>
      </c>
      <c r="F1000" s="57" t="str">
        <f t="shared" si="67"/>
        <v>Tersedia</v>
      </c>
      <c r="G1000" s="64">
        <v>11.0</v>
      </c>
      <c r="H1000" s="60">
        <v>35000.0</v>
      </c>
      <c r="I1000" s="60">
        <v>60000.0</v>
      </c>
      <c r="J1000" s="60">
        <f t="shared" si="68"/>
        <v>25000</v>
      </c>
      <c r="K1000" s="61">
        <f t="shared" si="69"/>
        <v>0.7142857143</v>
      </c>
    </row>
    <row r="1001" ht="27.75" customHeight="1">
      <c r="A1001" s="56" t="s">
        <v>4277</v>
      </c>
      <c r="B1001" s="57" t="s">
        <v>31</v>
      </c>
      <c r="C1001" s="58" t="s">
        <v>4278</v>
      </c>
      <c r="D1001" s="57" t="s">
        <v>33</v>
      </c>
      <c r="E1001" s="59" t="s">
        <v>1900</v>
      </c>
      <c r="F1001" s="57" t="str">
        <f t="shared" si="67"/>
        <v>Habis</v>
      </c>
      <c r="G1001" s="64">
        <v>0.0</v>
      </c>
      <c r="H1001" s="60">
        <v>72174.0</v>
      </c>
      <c r="I1001" s="60">
        <v>129913.0</v>
      </c>
      <c r="J1001" s="60">
        <f t="shared" si="68"/>
        <v>57739</v>
      </c>
      <c r="K1001" s="61">
        <f t="shared" si="69"/>
        <v>0.7999972289</v>
      </c>
    </row>
    <row r="1002" ht="27.75" customHeight="1">
      <c r="A1002" s="56" t="s">
        <v>4279</v>
      </c>
      <c r="B1002" s="57" t="s">
        <v>31</v>
      </c>
      <c r="C1002" s="58" t="s">
        <v>4280</v>
      </c>
      <c r="D1002" s="57" t="s">
        <v>33</v>
      </c>
      <c r="E1002" s="59" t="s">
        <v>91</v>
      </c>
      <c r="F1002" s="57" t="str">
        <f t="shared" si="67"/>
        <v>Menipis</v>
      </c>
      <c r="G1002" s="64">
        <v>1.0</v>
      </c>
      <c r="H1002" s="60">
        <v>108160.0</v>
      </c>
      <c r="I1002" s="60">
        <v>194688.0</v>
      </c>
      <c r="J1002" s="60">
        <f t="shared" si="68"/>
        <v>86528</v>
      </c>
      <c r="K1002" s="61">
        <f t="shared" si="69"/>
        <v>0.8</v>
      </c>
    </row>
    <row r="1003" ht="27.75" customHeight="1">
      <c r="A1003" s="56" t="s">
        <v>4281</v>
      </c>
      <c r="B1003" s="57" t="s">
        <v>31</v>
      </c>
      <c r="C1003" s="58" t="s">
        <v>4282</v>
      </c>
      <c r="D1003" s="57" t="s">
        <v>33</v>
      </c>
      <c r="E1003" s="59" t="s">
        <v>116</v>
      </c>
      <c r="F1003" s="57" t="str">
        <f t="shared" si="67"/>
        <v>Menipis</v>
      </c>
      <c r="G1003" s="64">
        <v>1.0</v>
      </c>
      <c r="H1003" s="60">
        <v>111550.0</v>
      </c>
      <c r="I1003" s="60">
        <v>200790.0</v>
      </c>
      <c r="J1003" s="60">
        <f t="shared" si="68"/>
        <v>89240</v>
      </c>
      <c r="K1003" s="61">
        <f t="shared" si="69"/>
        <v>0.8</v>
      </c>
    </row>
    <row r="1004" ht="27.75" customHeight="1">
      <c r="A1004" s="56" t="s">
        <v>4283</v>
      </c>
      <c r="B1004" s="57" t="s">
        <v>31</v>
      </c>
      <c r="C1004" s="58" t="s">
        <v>4284</v>
      </c>
      <c r="D1004" s="57" t="s">
        <v>33</v>
      </c>
      <c r="E1004" s="59" t="s">
        <v>116</v>
      </c>
      <c r="F1004" s="57" t="str">
        <f t="shared" si="67"/>
        <v>Menipis</v>
      </c>
      <c r="G1004" s="64">
        <v>1.0</v>
      </c>
      <c r="H1004" s="60">
        <v>108727.0</v>
      </c>
      <c r="I1004" s="60">
        <v>195709.0</v>
      </c>
      <c r="J1004" s="60">
        <f t="shared" si="68"/>
        <v>86982</v>
      </c>
      <c r="K1004" s="61">
        <f t="shared" si="69"/>
        <v>0.8000036789</v>
      </c>
    </row>
    <row r="1005" ht="27.75" customHeight="1">
      <c r="A1005" s="56" t="s">
        <v>4285</v>
      </c>
      <c r="B1005" s="57" t="s">
        <v>31</v>
      </c>
      <c r="C1005" s="58" t="s">
        <v>4286</v>
      </c>
      <c r="D1005" s="57" t="s">
        <v>33</v>
      </c>
      <c r="E1005" s="59" t="s">
        <v>1854</v>
      </c>
      <c r="F1005" s="57" t="str">
        <f t="shared" si="67"/>
        <v>Menipis</v>
      </c>
      <c r="G1005" s="64">
        <v>2.0</v>
      </c>
      <c r="H1005" s="60">
        <v>110000.0</v>
      </c>
      <c r="I1005" s="60">
        <v>180000.0</v>
      </c>
      <c r="J1005" s="60">
        <f t="shared" si="68"/>
        <v>70000</v>
      </c>
      <c r="K1005" s="61">
        <f t="shared" si="69"/>
        <v>0.6363636364</v>
      </c>
    </row>
    <row r="1006" ht="27.75" customHeight="1">
      <c r="A1006" s="56" t="s">
        <v>4287</v>
      </c>
      <c r="B1006" s="57" t="s">
        <v>31</v>
      </c>
      <c r="C1006" s="58" t="s">
        <v>4288</v>
      </c>
      <c r="D1006" s="57" t="s">
        <v>33</v>
      </c>
      <c r="E1006" s="59" t="s">
        <v>3024</v>
      </c>
      <c r="F1006" s="57" t="str">
        <f t="shared" si="67"/>
        <v>Menipis</v>
      </c>
      <c r="G1006" s="64">
        <v>1.0</v>
      </c>
      <c r="H1006" s="60">
        <v>136000.0</v>
      </c>
      <c r="I1006" s="60">
        <v>244800.0</v>
      </c>
      <c r="J1006" s="60">
        <f t="shared" si="68"/>
        <v>108800</v>
      </c>
      <c r="K1006" s="61">
        <f t="shared" si="69"/>
        <v>0.8</v>
      </c>
    </row>
    <row r="1007" ht="27.75" customHeight="1">
      <c r="A1007" s="56" t="s">
        <v>4289</v>
      </c>
      <c r="B1007" s="57" t="s">
        <v>31</v>
      </c>
      <c r="C1007" s="58" t="s">
        <v>4290</v>
      </c>
      <c r="D1007" s="57" t="s">
        <v>33</v>
      </c>
      <c r="E1007" s="59" t="s">
        <v>3024</v>
      </c>
      <c r="F1007" s="57" t="str">
        <f t="shared" si="67"/>
        <v>Habis</v>
      </c>
      <c r="G1007" s="64">
        <v>0.0</v>
      </c>
      <c r="H1007" s="60">
        <v>290000.0</v>
      </c>
      <c r="I1007" s="60">
        <v>420000.0</v>
      </c>
      <c r="J1007" s="60">
        <f t="shared" si="68"/>
        <v>130000</v>
      </c>
      <c r="K1007" s="61">
        <f t="shared" si="69"/>
        <v>0.4482758621</v>
      </c>
    </row>
    <row r="1008" ht="27.75" customHeight="1">
      <c r="A1008" s="56" t="s">
        <v>4291</v>
      </c>
      <c r="B1008" s="57" t="s">
        <v>31</v>
      </c>
      <c r="C1008" s="58" t="s">
        <v>4292</v>
      </c>
      <c r="D1008" s="57" t="s">
        <v>33</v>
      </c>
      <c r="E1008" s="59" t="s">
        <v>34</v>
      </c>
      <c r="F1008" s="57" t="str">
        <f t="shared" si="67"/>
        <v>Habis</v>
      </c>
      <c r="G1008" s="64">
        <v>0.0</v>
      </c>
      <c r="H1008" s="60">
        <v>12000.0</v>
      </c>
      <c r="I1008" s="60">
        <v>21600.0</v>
      </c>
      <c r="J1008" s="60">
        <f t="shared" si="68"/>
        <v>9600</v>
      </c>
      <c r="K1008" s="61">
        <f t="shared" si="69"/>
        <v>0.8</v>
      </c>
    </row>
    <row r="1009" ht="27.75" customHeight="1">
      <c r="A1009" s="56" t="s">
        <v>4293</v>
      </c>
      <c r="B1009" s="57" t="s">
        <v>31</v>
      </c>
      <c r="C1009" s="58" t="s">
        <v>4294</v>
      </c>
      <c r="D1009" s="57" t="s">
        <v>33</v>
      </c>
      <c r="E1009" s="59" t="s">
        <v>34</v>
      </c>
      <c r="F1009" s="57" t="str">
        <f t="shared" si="67"/>
        <v>Habis</v>
      </c>
      <c r="G1009" s="64">
        <v>0.0</v>
      </c>
      <c r="H1009" s="60">
        <v>13500.0</v>
      </c>
      <c r="I1009" s="60">
        <v>24300.0</v>
      </c>
      <c r="J1009" s="60">
        <f t="shared" si="68"/>
        <v>10800</v>
      </c>
      <c r="K1009" s="61">
        <f t="shared" si="69"/>
        <v>0.8</v>
      </c>
    </row>
    <row r="1010" ht="27.75" customHeight="1">
      <c r="A1010" s="56" t="s">
        <v>4295</v>
      </c>
      <c r="B1010" s="57" t="s">
        <v>31</v>
      </c>
      <c r="C1010" s="58" t="s">
        <v>4296</v>
      </c>
      <c r="D1010" s="57" t="s">
        <v>33</v>
      </c>
      <c r="E1010" s="59" t="s">
        <v>34</v>
      </c>
      <c r="F1010" s="57" t="str">
        <f t="shared" si="67"/>
        <v>Habis</v>
      </c>
      <c r="G1010" s="64">
        <v>0.0</v>
      </c>
      <c r="H1010" s="60">
        <v>20300.0</v>
      </c>
      <c r="I1010" s="60">
        <v>36540.0</v>
      </c>
      <c r="J1010" s="60">
        <f t="shared" si="68"/>
        <v>16240</v>
      </c>
      <c r="K1010" s="61">
        <f t="shared" si="69"/>
        <v>0.8</v>
      </c>
    </row>
    <row r="1011" ht="27.75" customHeight="1">
      <c r="A1011" s="56" t="s">
        <v>4297</v>
      </c>
      <c r="B1011" s="57" t="s">
        <v>31</v>
      </c>
      <c r="C1011" s="58" t="s">
        <v>4298</v>
      </c>
      <c r="D1011" s="57" t="s">
        <v>33</v>
      </c>
      <c r="E1011" s="59" t="s">
        <v>34</v>
      </c>
      <c r="F1011" s="57" t="str">
        <f t="shared" si="67"/>
        <v>Tersedia</v>
      </c>
      <c r="G1011" s="64">
        <v>7.0</v>
      </c>
      <c r="H1011" s="60">
        <v>50000.0</v>
      </c>
      <c r="I1011" s="60">
        <v>75000.0</v>
      </c>
      <c r="J1011" s="60">
        <f t="shared" si="68"/>
        <v>25000</v>
      </c>
      <c r="K1011" s="61">
        <f t="shared" si="69"/>
        <v>0.5</v>
      </c>
    </row>
    <row r="1012" ht="27.75" customHeight="1">
      <c r="A1012" s="56" t="s">
        <v>4299</v>
      </c>
      <c r="B1012" s="57" t="s">
        <v>31</v>
      </c>
      <c r="C1012" s="58" t="s">
        <v>4300</v>
      </c>
      <c r="D1012" s="57" t="s">
        <v>33</v>
      </c>
      <c r="E1012" s="59" t="s">
        <v>34</v>
      </c>
      <c r="F1012" s="57" t="str">
        <f t="shared" si="67"/>
        <v>Tersedia</v>
      </c>
      <c r="G1012" s="64">
        <v>21.0</v>
      </c>
      <c r="H1012" s="60">
        <v>14500.0</v>
      </c>
      <c r="I1012" s="60">
        <v>30000.0</v>
      </c>
      <c r="J1012" s="60">
        <f t="shared" si="68"/>
        <v>15500</v>
      </c>
      <c r="K1012" s="61">
        <f t="shared" si="69"/>
        <v>1.068965517</v>
      </c>
    </row>
    <row r="1013" ht="27.75" customHeight="1">
      <c r="A1013" s="56" t="s">
        <v>4301</v>
      </c>
      <c r="B1013" s="57" t="s">
        <v>31</v>
      </c>
      <c r="C1013" s="58" t="s">
        <v>4302</v>
      </c>
      <c r="D1013" s="57" t="s">
        <v>33</v>
      </c>
      <c r="E1013" s="59" t="s">
        <v>34</v>
      </c>
      <c r="F1013" s="57" t="str">
        <f t="shared" si="67"/>
        <v>Tersedia</v>
      </c>
      <c r="G1013" s="64">
        <v>21.0</v>
      </c>
      <c r="H1013" s="60">
        <v>12000.0</v>
      </c>
      <c r="I1013" s="60">
        <v>25000.0</v>
      </c>
      <c r="J1013" s="60">
        <f t="shared" si="68"/>
        <v>13000</v>
      </c>
      <c r="K1013" s="61">
        <f t="shared" si="69"/>
        <v>1.083333333</v>
      </c>
    </row>
    <row r="1014" ht="27.75" customHeight="1">
      <c r="A1014" s="56" t="s">
        <v>4303</v>
      </c>
      <c r="B1014" s="57" t="s">
        <v>31</v>
      </c>
      <c r="C1014" s="58" t="s">
        <v>4304</v>
      </c>
      <c r="D1014" s="57" t="s">
        <v>33</v>
      </c>
      <c r="E1014" s="59" t="s">
        <v>34</v>
      </c>
      <c r="F1014" s="57" t="str">
        <f t="shared" si="67"/>
        <v>Tersedia</v>
      </c>
      <c r="G1014" s="64">
        <v>5.0</v>
      </c>
      <c r="H1014" s="60">
        <v>17500.0</v>
      </c>
      <c r="I1014" s="60">
        <v>30000.0</v>
      </c>
      <c r="J1014" s="60">
        <f t="shared" si="68"/>
        <v>12500</v>
      </c>
      <c r="K1014" s="61">
        <f t="shared" si="69"/>
        <v>0.7142857143</v>
      </c>
    </row>
    <row r="1015" ht="27.75" customHeight="1">
      <c r="A1015" s="56" t="s">
        <v>4305</v>
      </c>
      <c r="B1015" s="57" t="s">
        <v>31</v>
      </c>
      <c r="C1015" s="58" t="s">
        <v>4306</v>
      </c>
      <c r="D1015" s="57" t="s">
        <v>33</v>
      </c>
      <c r="E1015" s="59" t="s">
        <v>2953</v>
      </c>
      <c r="F1015" s="57" t="str">
        <f t="shared" si="67"/>
        <v>Habis</v>
      </c>
      <c r="G1015" s="64">
        <v>0.0</v>
      </c>
      <c r="H1015" s="60">
        <v>51870.0</v>
      </c>
      <c r="I1015" s="60">
        <v>93366.0</v>
      </c>
      <c r="J1015" s="60">
        <f t="shared" si="68"/>
        <v>41496</v>
      </c>
      <c r="K1015" s="61">
        <f t="shared" si="69"/>
        <v>0.8</v>
      </c>
    </row>
    <row r="1016" ht="27.75" customHeight="1">
      <c r="A1016" s="56" t="s">
        <v>4307</v>
      </c>
      <c r="B1016" s="57" t="s">
        <v>31</v>
      </c>
      <c r="C1016" s="58" t="s">
        <v>4308</v>
      </c>
      <c r="D1016" s="57" t="s">
        <v>33</v>
      </c>
      <c r="E1016" s="59" t="s">
        <v>2953</v>
      </c>
      <c r="F1016" s="57" t="str">
        <f t="shared" si="67"/>
        <v>Menipis</v>
      </c>
      <c r="G1016" s="64">
        <v>1.0</v>
      </c>
      <c r="H1016" s="60">
        <v>126000.0</v>
      </c>
      <c r="I1016" s="60">
        <v>180000.0</v>
      </c>
      <c r="J1016" s="60">
        <f t="shared" si="68"/>
        <v>54000</v>
      </c>
      <c r="K1016" s="61">
        <f t="shared" si="69"/>
        <v>0.4285714286</v>
      </c>
    </row>
    <row r="1017" ht="27.75" customHeight="1">
      <c r="A1017" s="56" t="s">
        <v>4309</v>
      </c>
      <c r="B1017" s="57" t="s">
        <v>31</v>
      </c>
      <c r="C1017" s="58" t="s">
        <v>4310</v>
      </c>
      <c r="D1017" s="57" t="s">
        <v>33</v>
      </c>
      <c r="E1017" s="59" t="s">
        <v>2953</v>
      </c>
      <c r="F1017" s="57" t="str">
        <f t="shared" si="67"/>
        <v>Menipis</v>
      </c>
      <c r="G1017" s="64">
        <v>1.0</v>
      </c>
      <c r="H1017" s="60">
        <v>52000.0</v>
      </c>
      <c r="I1017" s="60">
        <v>110000.0</v>
      </c>
      <c r="J1017" s="60">
        <f t="shared" si="68"/>
        <v>58000</v>
      </c>
      <c r="K1017" s="61">
        <f t="shared" si="69"/>
        <v>1.115384615</v>
      </c>
    </row>
    <row r="1018" ht="27.75" customHeight="1">
      <c r="A1018" s="56" t="s">
        <v>4311</v>
      </c>
      <c r="B1018" s="57" t="s">
        <v>31</v>
      </c>
      <c r="C1018" s="58" t="s">
        <v>4312</v>
      </c>
      <c r="D1018" s="57" t="s">
        <v>33</v>
      </c>
      <c r="E1018" s="59" t="s">
        <v>2953</v>
      </c>
      <c r="F1018" s="57" t="str">
        <f t="shared" si="67"/>
        <v>Habis</v>
      </c>
      <c r="G1018" s="64">
        <v>0.0</v>
      </c>
      <c r="H1018" s="60">
        <v>50594.0</v>
      </c>
      <c r="I1018" s="60">
        <v>91069.0</v>
      </c>
      <c r="J1018" s="60">
        <f t="shared" si="68"/>
        <v>40475</v>
      </c>
      <c r="K1018" s="61">
        <f t="shared" si="69"/>
        <v>0.799996047</v>
      </c>
    </row>
    <row r="1019" ht="27.75" customHeight="1">
      <c r="A1019" s="56" t="s">
        <v>4313</v>
      </c>
      <c r="B1019" s="57" t="s">
        <v>31</v>
      </c>
      <c r="C1019" s="58" t="s">
        <v>4314</v>
      </c>
      <c r="D1019" s="57" t="s">
        <v>33</v>
      </c>
      <c r="E1019" s="59" t="s">
        <v>2953</v>
      </c>
      <c r="F1019" s="57" t="str">
        <f t="shared" si="67"/>
        <v>Habis</v>
      </c>
      <c r="G1019" s="64">
        <v>0.0</v>
      </c>
      <c r="H1019" s="60">
        <v>51882.0</v>
      </c>
      <c r="I1019" s="60">
        <v>93388.0</v>
      </c>
      <c r="J1019" s="60">
        <f t="shared" si="68"/>
        <v>41506</v>
      </c>
      <c r="K1019" s="61">
        <f t="shared" si="69"/>
        <v>0.8000077098</v>
      </c>
    </row>
    <row r="1020" ht="27.75" customHeight="1">
      <c r="A1020" s="56" t="s">
        <v>4315</v>
      </c>
      <c r="B1020" s="57" t="s">
        <v>31</v>
      </c>
      <c r="C1020" s="58" t="s">
        <v>4316</v>
      </c>
      <c r="D1020" s="57" t="s">
        <v>33</v>
      </c>
      <c r="E1020" s="59" t="s">
        <v>2953</v>
      </c>
      <c r="F1020" s="57" t="str">
        <f t="shared" si="67"/>
        <v>Habis</v>
      </c>
      <c r="G1020" s="64">
        <v>0.0</v>
      </c>
      <c r="H1020" s="60">
        <v>64390.0</v>
      </c>
      <c r="I1020" s="60">
        <v>115902.0</v>
      </c>
      <c r="J1020" s="60">
        <f t="shared" si="68"/>
        <v>51512</v>
      </c>
      <c r="K1020" s="61">
        <f t="shared" si="69"/>
        <v>0.8</v>
      </c>
    </row>
    <row r="1021" ht="27.75" customHeight="1">
      <c r="A1021" s="56" t="s">
        <v>4317</v>
      </c>
      <c r="B1021" s="57" t="s">
        <v>31</v>
      </c>
      <c r="C1021" s="58" t="s">
        <v>4318</v>
      </c>
      <c r="D1021" s="57" t="s">
        <v>33</v>
      </c>
      <c r="E1021" s="59" t="s">
        <v>2953</v>
      </c>
      <c r="F1021" s="57" t="str">
        <f t="shared" si="67"/>
        <v>Menipis</v>
      </c>
      <c r="G1021" s="64">
        <v>1.0</v>
      </c>
      <c r="H1021" s="60">
        <v>95000.0</v>
      </c>
      <c r="I1021" s="60">
        <v>140000.0</v>
      </c>
      <c r="J1021" s="60">
        <f t="shared" si="68"/>
        <v>45000</v>
      </c>
      <c r="K1021" s="61">
        <f t="shared" si="69"/>
        <v>0.4736842105</v>
      </c>
    </row>
    <row r="1022" ht="27.75" customHeight="1">
      <c r="A1022" s="56" t="s">
        <v>4319</v>
      </c>
      <c r="B1022" s="57" t="s">
        <v>31</v>
      </c>
      <c r="C1022" s="58" t="s">
        <v>4320</v>
      </c>
      <c r="D1022" s="57" t="s">
        <v>33</v>
      </c>
      <c r="E1022" s="59" t="s">
        <v>2953</v>
      </c>
      <c r="F1022" s="57" t="str">
        <f t="shared" si="67"/>
        <v>Menipis</v>
      </c>
      <c r="G1022" s="64">
        <v>1.0</v>
      </c>
      <c r="H1022" s="60">
        <v>95000.0</v>
      </c>
      <c r="I1022" s="60">
        <v>140000.0</v>
      </c>
      <c r="J1022" s="60">
        <f t="shared" si="68"/>
        <v>45000</v>
      </c>
      <c r="K1022" s="61">
        <f t="shared" si="69"/>
        <v>0.4736842105</v>
      </c>
    </row>
    <row r="1023" ht="27.75" customHeight="1">
      <c r="A1023" s="56" t="s">
        <v>4321</v>
      </c>
      <c r="B1023" s="57" t="s">
        <v>31</v>
      </c>
      <c r="C1023" s="58" t="s">
        <v>4322</v>
      </c>
      <c r="D1023" s="57" t="s">
        <v>33</v>
      </c>
      <c r="E1023" s="59" t="s">
        <v>2953</v>
      </c>
      <c r="F1023" s="57" t="str">
        <f t="shared" si="67"/>
        <v>Menipis</v>
      </c>
      <c r="G1023" s="64">
        <v>1.0</v>
      </c>
      <c r="H1023" s="60">
        <v>39000.0</v>
      </c>
      <c r="I1023" s="60">
        <v>80000.0</v>
      </c>
      <c r="J1023" s="60">
        <f t="shared" si="68"/>
        <v>41000</v>
      </c>
      <c r="K1023" s="61">
        <f t="shared" si="69"/>
        <v>1.051282051</v>
      </c>
    </row>
    <row r="1024" ht="27.75" customHeight="1">
      <c r="A1024" s="56" t="s">
        <v>4323</v>
      </c>
      <c r="B1024" s="57" t="s">
        <v>31</v>
      </c>
      <c r="C1024" s="58" t="s">
        <v>4324</v>
      </c>
      <c r="D1024" s="57" t="s">
        <v>33</v>
      </c>
      <c r="E1024" s="59" t="s">
        <v>2953</v>
      </c>
      <c r="F1024" s="57" t="str">
        <f t="shared" si="67"/>
        <v>Menipis</v>
      </c>
      <c r="G1024" s="64">
        <v>1.0</v>
      </c>
      <c r="H1024" s="60">
        <v>65000.0</v>
      </c>
      <c r="I1024" s="60">
        <v>130000.0</v>
      </c>
      <c r="J1024" s="60">
        <f t="shared" si="68"/>
        <v>65000</v>
      </c>
      <c r="K1024" s="61">
        <f t="shared" si="69"/>
        <v>1</v>
      </c>
    </row>
    <row r="1025" ht="27.75" customHeight="1">
      <c r="A1025" s="56" t="s">
        <v>4325</v>
      </c>
      <c r="B1025" s="57" t="s">
        <v>31</v>
      </c>
      <c r="C1025" s="58" t="s">
        <v>4326</v>
      </c>
      <c r="D1025" s="57" t="s">
        <v>33</v>
      </c>
      <c r="E1025" s="59" t="s">
        <v>2953</v>
      </c>
      <c r="F1025" s="57" t="str">
        <f t="shared" si="67"/>
        <v>Menipis</v>
      </c>
      <c r="G1025" s="64">
        <v>1.0</v>
      </c>
      <c r="H1025" s="60">
        <v>65000.0</v>
      </c>
      <c r="I1025" s="60">
        <v>130000.0</v>
      </c>
      <c r="J1025" s="60">
        <f t="shared" si="68"/>
        <v>65000</v>
      </c>
      <c r="K1025" s="61">
        <f t="shared" si="69"/>
        <v>1</v>
      </c>
    </row>
    <row r="1026" ht="27.75" customHeight="1">
      <c r="A1026" s="56" t="s">
        <v>4327</v>
      </c>
      <c r="B1026" s="57" t="s">
        <v>31</v>
      </c>
      <c r="C1026" s="58" t="s">
        <v>4328</v>
      </c>
      <c r="D1026" s="57" t="s">
        <v>33</v>
      </c>
      <c r="E1026" s="59" t="s">
        <v>2953</v>
      </c>
      <c r="F1026" s="57" t="str">
        <f t="shared" si="67"/>
        <v>Menipis</v>
      </c>
      <c r="G1026" s="64">
        <v>1.0</v>
      </c>
      <c r="H1026" s="60">
        <v>85000.0</v>
      </c>
      <c r="I1026" s="60">
        <v>165000.0</v>
      </c>
      <c r="J1026" s="60">
        <f t="shared" si="68"/>
        <v>80000</v>
      </c>
      <c r="K1026" s="61">
        <f t="shared" si="69"/>
        <v>0.9411764706</v>
      </c>
    </row>
    <row r="1027" ht="27.75" customHeight="1">
      <c r="A1027" s="56" t="s">
        <v>4329</v>
      </c>
      <c r="B1027" s="57" t="s">
        <v>31</v>
      </c>
      <c r="C1027" s="58" t="s">
        <v>4330</v>
      </c>
      <c r="D1027" s="57" t="s">
        <v>33</v>
      </c>
      <c r="E1027" s="59" t="s">
        <v>2953</v>
      </c>
      <c r="F1027" s="57" t="str">
        <f t="shared" si="67"/>
        <v>Menipis</v>
      </c>
      <c r="G1027" s="64">
        <v>1.0</v>
      </c>
      <c r="H1027" s="60">
        <v>175000.0</v>
      </c>
      <c r="I1027" s="60">
        <v>250000.0</v>
      </c>
      <c r="J1027" s="60">
        <f t="shared" si="68"/>
        <v>75000</v>
      </c>
      <c r="K1027" s="61">
        <f t="shared" si="69"/>
        <v>0.4285714286</v>
      </c>
    </row>
    <row r="1028" ht="27.75" customHeight="1">
      <c r="A1028" s="56" t="s">
        <v>4331</v>
      </c>
      <c r="B1028" s="57" t="s">
        <v>31</v>
      </c>
      <c r="C1028" s="58" t="s">
        <v>4332</v>
      </c>
      <c r="D1028" s="57" t="s">
        <v>33</v>
      </c>
      <c r="E1028" s="59" t="s">
        <v>2953</v>
      </c>
      <c r="F1028" s="57" t="str">
        <f t="shared" si="67"/>
        <v>Menipis</v>
      </c>
      <c r="G1028" s="64">
        <v>1.0</v>
      </c>
      <c r="H1028" s="60">
        <v>90000.0</v>
      </c>
      <c r="I1028" s="60">
        <v>140000.0</v>
      </c>
      <c r="J1028" s="60">
        <f t="shared" si="68"/>
        <v>50000</v>
      </c>
      <c r="K1028" s="61">
        <f t="shared" si="69"/>
        <v>0.5555555556</v>
      </c>
    </row>
    <row r="1029" ht="27.75" customHeight="1">
      <c r="A1029" s="56" t="s">
        <v>4333</v>
      </c>
      <c r="B1029" s="57" t="s">
        <v>31</v>
      </c>
      <c r="C1029" s="58" t="s">
        <v>4334</v>
      </c>
      <c r="D1029" s="57" t="s">
        <v>33</v>
      </c>
      <c r="E1029" s="59" t="s">
        <v>2953</v>
      </c>
      <c r="F1029" s="57" t="str">
        <f t="shared" si="67"/>
        <v>Menipis</v>
      </c>
      <c r="G1029" s="64">
        <v>1.0</v>
      </c>
      <c r="H1029" s="60">
        <v>162000.0</v>
      </c>
      <c r="I1029" s="60">
        <v>225000.0</v>
      </c>
      <c r="J1029" s="60">
        <f t="shared" si="68"/>
        <v>63000</v>
      </c>
      <c r="K1029" s="61">
        <f t="shared" si="69"/>
        <v>0.3888888889</v>
      </c>
    </row>
    <row r="1030" ht="27.75" customHeight="1">
      <c r="A1030" s="56" t="s">
        <v>4335</v>
      </c>
      <c r="B1030" s="57" t="s">
        <v>31</v>
      </c>
      <c r="C1030" s="58" t="s">
        <v>4336</v>
      </c>
      <c r="D1030" s="57" t="s">
        <v>33</v>
      </c>
      <c r="E1030" s="59" t="s">
        <v>2953</v>
      </c>
      <c r="F1030" s="57" t="str">
        <f t="shared" si="67"/>
        <v>Menipis</v>
      </c>
      <c r="G1030" s="64">
        <v>1.0</v>
      </c>
      <c r="H1030" s="60">
        <v>95000.0</v>
      </c>
      <c r="I1030" s="60">
        <v>160000.0</v>
      </c>
      <c r="J1030" s="60">
        <f t="shared" si="68"/>
        <v>65000</v>
      </c>
      <c r="K1030" s="61">
        <f t="shared" si="69"/>
        <v>0.6842105263</v>
      </c>
    </row>
    <row r="1031" ht="27.75" customHeight="1">
      <c r="A1031" s="56" t="s">
        <v>4337</v>
      </c>
      <c r="B1031" s="57" t="s">
        <v>31</v>
      </c>
      <c r="C1031" s="58" t="s">
        <v>4338</v>
      </c>
      <c r="D1031" s="57" t="s">
        <v>33</v>
      </c>
      <c r="E1031" s="59" t="s">
        <v>2953</v>
      </c>
      <c r="F1031" s="57" t="str">
        <f t="shared" si="67"/>
        <v>Menipis</v>
      </c>
      <c r="G1031" s="64">
        <v>1.0</v>
      </c>
      <c r="H1031" s="60">
        <v>70000.0</v>
      </c>
      <c r="I1031" s="60">
        <v>95000.0</v>
      </c>
      <c r="J1031" s="60">
        <f t="shared" si="68"/>
        <v>25000</v>
      </c>
      <c r="K1031" s="61">
        <f t="shared" si="69"/>
        <v>0.3571428571</v>
      </c>
    </row>
    <row r="1032" ht="27.75" customHeight="1">
      <c r="A1032" s="56" t="s">
        <v>4339</v>
      </c>
      <c r="B1032" s="57" t="s">
        <v>31</v>
      </c>
      <c r="C1032" s="58" t="s">
        <v>4340</v>
      </c>
      <c r="D1032" s="57" t="s">
        <v>33</v>
      </c>
      <c r="E1032" s="59" t="s">
        <v>2953</v>
      </c>
      <c r="F1032" s="57" t="str">
        <f t="shared" si="67"/>
        <v>Habis</v>
      </c>
      <c r="G1032" s="64">
        <v>0.0</v>
      </c>
      <c r="H1032" s="60">
        <v>98009.0</v>
      </c>
      <c r="I1032" s="60">
        <v>176416.0</v>
      </c>
      <c r="J1032" s="60">
        <f t="shared" si="68"/>
        <v>78407</v>
      </c>
      <c r="K1032" s="61">
        <f t="shared" si="69"/>
        <v>0.7999979594</v>
      </c>
    </row>
    <row r="1033" ht="27.75" customHeight="1">
      <c r="A1033" s="56" t="s">
        <v>4341</v>
      </c>
      <c r="B1033" s="57" t="s">
        <v>31</v>
      </c>
      <c r="C1033" s="58" t="s">
        <v>4342</v>
      </c>
      <c r="D1033" s="57" t="s">
        <v>33</v>
      </c>
      <c r="E1033" s="59" t="s">
        <v>2953</v>
      </c>
      <c r="F1033" s="57" t="str">
        <f t="shared" si="67"/>
        <v>Menipis</v>
      </c>
      <c r="G1033" s="64">
        <v>2.0</v>
      </c>
      <c r="H1033" s="60">
        <v>80000.0</v>
      </c>
      <c r="I1033" s="60">
        <v>125000.0</v>
      </c>
      <c r="J1033" s="60">
        <f t="shared" si="68"/>
        <v>45000</v>
      </c>
      <c r="K1033" s="61">
        <f t="shared" si="69"/>
        <v>0.5625</v>
      </c>
    </row>
    <row r="1034" ht="27.75" customHeight="1">
      <c r="A1034" s="56" t="s">
        <v>4343</v>
      </c>
      <c r="B1034" s="57" t="s">
        <v>31</v>
      </c>
      <c r="C1034" s="58" t="s">
        <v>4344</v>
      </c>
      <c r="D1034" s="57" t="s">
        <v>33</v>
      </c>
      <c r="E1034" s="59" t="s">
        <v>2953</v>
      </c>
      <c r="F1034" s="57" t="str">
        <f t="shared" si="67"/>
        <v>Menipis</v>
      </c>
      <c r="G1034" s="64">
        <v>1.0</v>
      </c>
      <c r="H1034" s="60">
        <v>40000.0</v>
      </c>
      <c r="I1034" s="60">
        <v>85000.0</v>
      </c>
      <c r="J1034" s="60">
        <f t="shared" si="68"/>
        <v>45000</v>
      </c>
      <c r="K1034" s="61">
        <f t="shared" si="69"/>
        <v>1.125</v>
      </c>
    </row>
    <row r="1035" ht="27.75" customHeight="1">
      <c r="A1035" s="56" t="s">
        <v>4345</v>
      </c>
      <c r="B1035" s="57" t="s">
        <v>31</v>
      </c>
      <c r="C1035" s="58" t="s">
        <v>4346</v>
      </c>
      <c r="D1035" s="57" t="s">
        <v>33</v>
      </c>
      <c r="E1035" s="59" t="s">
        <v>2953</v>
      </c>
      <c r="F1035" s="57" t="str">
        <f t="shared" si="67"/>
        <v>Habis</v>
      </c>
      <c r="G1035" s="64">
        <v>0.0</v>
      </c>
      <c r="H1035" s="60">
        <v>40000.0</v>
      </c>
      <c r="I1035" s="60">
        <v>72000.0</v>
      </c>
      <c r="J1035" s="60">
        <f t="shared" si="68"/>
        <v>32000</v>
      </c>
      <c r="K1035" s="61">
        <f t="shared" si="69"/>
        <v>0.8</v>
      </c>
    </row>
    <row r="1036" ht="27.75" customHeight="1">
      <c r="A1036" s="56" t="s">
        <v>4347</v>
      </c>
      <c r="B1036" s="57" t="s">
        <v>31</v>
      </c>
      <c r="C1036" s="58" t="s">
        <v>4348</v>
      </c>
      <c r="D1036" s="57" t="s">
        <v>33</v>
      </c>
      <c r="E1036" s="59" t="s">
        <v>2953</v>
      </c>
      <c r="F1036" s="57" t="str">
        <f t="shared" si="67"/>
        <v>Menipis</v>
      </c>
      <c r="G1036" s="64">
        <v>1.0</v>
      </c>
      <c r="H1036" s="60">
        <v>54000.0</v>
      </c>
      <c r="I1036" s="60">
        <v>90000.0</v>
      </c>
      <c r="J1036" s="60">
        <f t="shared" si="68"/>
        <v>36000</v>
      </c>
      <c r="K1036" s="61">
        <f t="shared" si="69"/>
        <v>0.6666666667</v>
      </c>
    </row>
    <row r="1037" ht="27.75" customHeight="1">
      <c r="A1037" s="56" t="s">
        <v>4349</v>
      </c>
      <c r="B1037" s="57" t="s">
        <v>31</v>
      </c>
      <c r="C1037" s="58" t="s">
        <v>4350</v>
      </c>
      <c r="D1037" s="57" t="s">
        <v>33</v>
      </c>
      <c r="E1037" s="59" t="s">
        <v>2953</v>
      </c>
      <c r="F1037" s="57" t="str">
        <f t="shared" si="67"/>
        <v>Menipis</v>
      </c>
      <c r="G1037" s="64">
        <v>1.0</v>
      </c>
      <c r="H1037" s="60">
        <v>54000.0</v>
      </c>
      <c r="I1037" s="60">
        <v>90000.0</v>
      </c>
      <c r="J1037" s="60">
        <f t="shared" si="68"/>
        <v>36000</v>
      </c>
      <c r="K1037" s="61">
        <f t="shared" si="69"/>
        <v>0.6666666667</v>
      </c>
    </row>
    <row r="1038" ht="27.75" customHeight="1">
      <c r="A1038" s="56" t="s">
        <v>4351</v>
      </c>
      <c r="B1038" s="57" t="s">
        <v>31</v>
      </c>
      <c r="C1038" s="58" t="s">
        <v>4352</v>
      </c>
      <c r="D1038" s="57" t="s">
        <v>33</v>
      </c>
      <c r="E1038" s="59" t="s">
        <v>2953</v>
      </c>
      <c r="F1038" s="57" t="str">
        <f t="shared" si="67"/>
        <v>Menipis</v>
      </c>
      <c r="G1038" s="64">
        <v>3.0</v>
      </c>
      <c r="H1038" s="60">
        <v>65000.0</v>
      </c>
      <c r="I1038" s="60">
        <v>130000.0</v>
      </c>
      <c r="J1038" s="60">
        <f t="shared" si="68"/>
        <v>65000</v>
      </c>
      <c r="K1038" s="61">
        <f t="shared" si="69"/>
        <v>1</v>
      </c>
    </row>
    <row r="1039" ht="27.75" customHeight="1">
      <c r="A1039" s="56" t="s">
        <v>4353</v>
      </c>
      <c r="B1039" s="57" t="s">
        <v>31</v>
      </c>
      <c r="C1039" s="58" t="s">
        <v>4354</v>
      </c>
      <c r="D1039" s="57" t="s">
        <v>33</v>
      </c>
      <c r="E1039" s="59" t="s">
        <v>2953</v>
      </c>
      <c r="F1039" s="57" t="str">
        <f t="shared" si="67"/>
        <v>Menipis</v>
      </c>
      <c r="G1039" s="64">
        <v>1.0</v>
      </c>
      <c r="H1039" s="60">
        <v>80000.0</v>
      </c>
      <c r="I1039" s="60">
        <v>130000.0</v>
      </c>
      <c r="J1039" s="60">
        <f t="shared" si="68"/>
        <v>50000</v>
      </c>
      <c r="K1039" s="61">
        <f t="shared" si="69"/>
        <v>0.625</v>
      </c>
    </row>
    <row r="1040" ht="27.75" customHeight="1">
      <c r="A1040" s="56" t="s">
        <v>4355</v>
      </c>
      <c r="B1040" s="57" t="s">
        <v>31</v>
      </c>
      <c r="C1040" s="58" t="s">
        <v>4356</v>
      </c>
      <c r="D1040" s="57" t="s">
        <v>33</v>
      </c>
      <c r="E1040" s="59" t="s">
        <v>2953</v>
      </c>
      <c r="F1040" s="57" t="str">
        <f t="shared" si="67"/>
        <v>Menipis</v>
      </c>
      <c r="G1040" s="64">
        <v>1.0</v>
      </c>
      <c r="H1040" s="60">
        <v>78000.0</v>
      </c>
      <c r="I1040" s="60">
        <v>125000.0</v>
      </c>
      <c r="J1040" s="60">
        <f t="shared" si="68"/>
        <v>47000</v>
      </c>
      <c r="K1040" s="61">
        <f t="shared" si="69"/>
        <v>0.6025641026</v>
      </c>
    </row>
    <row r="1041" ht="27.75" customHeight="1">
      <c r="A1041" s="56" t="s">
        <v>4357</v>
      </c>
      <c r="B1041" s="57" t="s">
        <v>31</v>
      </c>
      <c r="C1041" s="58" t="s">
        <v>4358</v>
      </c>
      <c r="D1041" s="57" t="s">
        <v>33</v>
      </c>
      <c r="E1041" s="59" t="s">
        <v>2953</v>
      </c>
      <c r="F1041" s="57" t="str">
        <f t="shared" si="67"/>
        <v>Menipis</v>
      </c>
      <c r="G1041" s="64">
        <v>1.0</v>
      </c>
      <c r="H1041" s="60">
        <v>78000.0</v>
      </c>
      <c r="I1041" s="60">
        <v>125000.0</v>
      </c>
      <c r="J1041" s="60">
        <f t="shared" si="68"/>
        <v>47000</v>
      </c>
      <c r="K1041" s="61">
        <f t="shared" si="69"/>
        <v>0.6025641026</v>
      </c>
    </row>
    <row r="1042" ht="27.75" customHeight="1">
      <c r="A1042" s="56" t="s">
        <v>4359</v>
      </c>
      <c r="B1042" s="57" t="s">
        <v>31</v>
      </c>
      <c r="C1042" s="58" t="s">
        <v>4360</v>
      </c>
      <c r="D1042" s="57" t="s">
        <v>33</v>
      </c>
      <c r="E1042" s="59" t="s">
        <v>2953</v>
      </c>
      <c r="F1042" s="57" t="str">
        <f t="shared" si="67"/>
        <v>Menipis</v>
      </c>
      <c r="G1042" s="64">
        <v>1.0</v>
      </c>
      <c r="H1042" s="60">
        <v>67000.0</v>
      </c>
      <c r="I1042" s="60">
        <v>125000.0</v>
      </c>
      <c r="J1042" s="60">
        <f t="shared" si="68"/>
        <v>58000</v>
      </c>
      <c r="K1042" s="61">
        <f t="shared" si="69"/>
        <v>0.8656716418</v>
      </c>
    </row>
    <row r="1043" ht="27.75" customHeight="1">
      <c r="A1043" s="56" t="s">
        <v>4361</v>
      </c>
      <c r="B1043" s="57" t="s">
        <v>31</v>
      </c>
      <c r="C1043" s="58" t="s">
        <v>4362</v>
      </c>
      <c r="D1043" s="57" t="s">
        <v>33</v>
      </c>
      <c r="E1043" s="59" t="s">
        <v>2953</v>
      </c>
      <c r="F1043" s="57" t="str">
        <f t="shared" si="67"/>
        <v>Menipis</v>
      </c>
      <c r="G1043" s="64">
        <v>1.0</v>
      </c>
      <c r="H1043" s="60">
        <v>70000.0</v>
      </c>
      <c r="I1043" s="60">
        <v>130000.0</v>
      </c>
      <c r="J1043" s="60">
        <f t="shared" si="68"/>
        <v>60000</v>
      </c>
      <c r="K1043" s="61">
        <f t="shared" si="69"/>
        <v>0.8571428571</v>
      </c>
    </row>
    <row r="1044" ht="27.75" customHeight="1">
      <c r="A1044" s="56" t="s">
        <v>4363</v>
      </c>
      <c r="B1044" s="57" t="s">
        <v>31</v>
      </c>
      <c r="C1044" s="58" t="s">
        <v>4364</v>
      </c>
      <c r="D1044" s="57" t="s">
        <v>33</v>
      </c>
      <c r="E1044" s="59" t="s">
        <v>177</v>
      </c>
      <c r="F1044" s="57" t="str">
        <f t="shared" si="67"/>
        <v>Tersedia</v>
      </c>
      <c r="G1044" s="64">
        <v>4.0</v>
      </c>
      <c r="H1044" s="60">
        <v>120000.0</v>
      </c>
      <c r="I1044" s="60">
        <v>185000.0</v>
      </c>
      <c r="J1044" s="60">
        <f t="shared" si="68"/>
        <v>65000</v>
      </c>
      <c r="K1044" s="61">
        <f t="shared" si="69"/>
        <v>0.5416666667</v>
      </c>
    </row>
    <row r="1045" ht="27.75" customHeight="1">
      <c r="A1045" s="56" t="s">
        <v>4365</v>
      </c>
      <c r="B1045" s="57" t="s">
        <v>31</v>
      </c>
      <c r="C1045" s="58" t="s">
        <v>4366</v>
      </c>
      <c r="D1045" s="57" t="s">
        <v>33</v>
      </c>
      <c r="E1045" s="59" t="s">
        <v>177</v>
      </c>
      <c r="F1045" s="57" t="str">
        <f t="shared" si="67"/>
        <v>Menipis</v>
      </c>
      <c r="G1045" s="64">
        <v>1.0</v>
      </c>
      <c r="H1045" s="60">
        <v>124160.0</v>
      </c>
      <c r="I1045" s="60">
        <v>200000.0</v>
      </c>
      <c r="J1045" s="60">
        <f t="shared" si="68"/>
        <v>75840</v>
      </c>
      <c r="K1045" s="61">
        <f t="shared" si="69"/>
        <v>0.6108247423</v>
      </c>
    </row>
    <row r="1046" ht="27.75" customHeight="1">
      <c r="A1046" s="56" t="s">
        <v>4367</v>
      </c>
      <c r="B1046" s="57" t="s">
        <v>31</v>
      </c>
      <c r="C1046" s="58" t="s">
        <v>4368</v>
      </c>
      <c r="D1046" s="57" t="s">
        <v>33</v>
      </c>
      <c r="E1046" s="59" t="s">
        <v>177</v>
      </c>
      <c r="F1046" s="57" t="str">
        <f t="shared" si="67"/>
        <v>Menipis</v>
      </c>
      <c r="G1046" s="64">
        <v>1.0</v>
      </c>
      <c r="H1046" s="60">
        <v>138000.0</v>
      </c>
      <c r="I1046" s="60">
        <v>200000.0</v>
      </c>
      <c r="J1046" s="60">
        <f t="shared" si="68"/>
        <v>62000</v>
      </c>
      <c r="K1046" s="61">
        <f t="shared" si="69"/>
        <v>0.4492753623</v>
      </c>
    </row>
    <row r="1047" ht="27.75" customHeight="1">
      <c r="A1047" s="56" t="s">
        <v>4369</v>
      </c>
      <c r="B1047" s="57" t="s">
        <v>31</v>
      </c>
      <c r="C1047" s="58" t="s">
        <v>4370</v>
      </c>
      <c r="D1047" s="57" t="s">
        <v>33</v>
      </c>
      <c r="E1047" s="59" t="s">
        <v>177</v>
      </c>
      <c r="F1047" s="57" t="str">
        <f t="shared" si="67"/>
        <v>Menipis</v>
      </c>
      <c r="G1047" s="64">
        <v>1.0</v>
      </c>
      <c r="H1047" s="60">
        <v>159123.0</v>
      </c>
      <c r="I1047" s="60">
        <v>222772.0</v>
      </c>
      <c r="J1047" s="60">
        <f t="shared" si="68"/>
        <v>63649</v>
      </c>
      <c r="K1047" s="61">
        <f t="shared" si="69"/>
        <v>0.3999987431</v>
      </c>
    </row>
    <row r="1048" ht="27.75" customHeight="1">
      <c r="A1048" s="56" t="s">
        <v>4371</v>
      </c>
      <c r="B1048" s="57" t="s">
        <v>31</v>
      </c>
      <c r="C1048" s="58" t="s">
        <v>4372</v>
      </c>
      <c r="D1048" s="57" t="s">
        <v>33</v>
      </c>
      <c r="E1048" s="59" t="s">
        <v>177</v>
      </c>
      <c r="F1048" s="57" t="str">
        <f t="shared" si="67"/>
        <v>Menipis</v>
      </c>
      <c r="G1048" s="64">
        <v>1.0</v>
      </c>
      <c r="H1048" s="60">
        <v>119833.0</v>
      </c>
      <c r="I1048" s="60">
        <v>167766.0</v>
      </c>
      <c r="J1048" s="60">
        <f t="shared" si="68"/>
        <v>47933</v>
      </c>
      <c r="K1048" s="61">
        <f t="shared" si="69"/>
        <v>0.399998331</v>
      </c>
    </row>
    <row r="1049" ht="27.75" customHeight="1">
      <c r="A1049" s="56" t="s">
        <v>4373</v>
      </c>
      <c r="B1049" s="57" t="s">
        <v>31</v>
      </c>
      <c r="C1049" s="58" t="s">
        <v>4374</v>
      </c>
      <c r="D1049" s="57" t="s">
        <v>33</v>
      </c>
      <c r="E1049" s="59" t="s">
        <v>177</v>
      </c>
      <c r="F1049" s="57" t="str">
        <f t="shared" si="67"/>
        <v>Menipis</v>
      </c>
      <c r="G1049" s="64">
        <v>1.0</v>
      </c>
      <c r="H1049" s="60">
        <v>119833.0</v>
      </c>
      <c r="I1049" s="60">
        <v>167766.0</v>
      </c>
      <c r="J1049" s="60">
        <f t="shared" si="68"/>
        <v>47933</v>
      </c>
      <c r="K1049" s="61">
        <f t="shared" si="69"/>
        <v>0.399998331</v>
      </c>
    </row>
    <row r="1050" ht="27.75" customHeight="1">
      <c r="A1050" s="56" t="s">
        <v>4375</v>
      </c>
      <c r="B1050" s="57" t="s">
        <v>31</v>
      </c>
      <c r="C1050" s="58" t="s">
        <v>4376</v>
      </c>
      <c r="D1050" s="57" t="s">
        <v>33</v>
      </c>
      <c r="E1050" s="59" t="s">
        <v>177</v>
      </c>
      <c r="F1050" s="57" t="str">
        <f t="shared" si="67"/>
        <v>Menipis</v>
      </c>
      <c r="G1050" s="64">
        <v>3.0</v>
      </c>
      <c r="H1050" s="60">
        <v>120000.0</v>
      </c>
      <c r="I1050" s="60">
        <v>185000.0</v>
      </c>
      <c r="J1050" s="60">
        <f t="shared" si="68"/>
        <v>65000</v>
      </c>
      <c r="K1050" s="61">
        <f t="shared" si="69"/>
        <v>0.5416666667</v>
      </c>
    </row>
    <row r="1051" ht="27.75" customHeight="1">
      <c r="A1051" s="56" t="s">
        <v>4377</v>
      </c>
      <c r="B1051" s="57" t="s">
        <v>31</v>
      </c>
      <c r="C1051" s="58" t="s">
        <v>4378</v>
      </c>
      <c r="D1051" s="57" t="s">
        <v>33</v>
      </c>
      <c r="E1051" s="59" t="s">
        <v>177</v>
      </c>
      <c r="F1051" s="57" t="str">
        <f t="shared" si="67"/>
        <v>Menipis</v>
      </c>
      <c r="G1051" s="64">
        <v>1.0</v>
      </c>
      <c r="H1051" s="60">
        <v>200450.0</v>
      </c>
      <c r="I1051" s="60">
        <v>280630.0</v>
      </c>
      <c r="J1051" s="60">
        <f t="shared" si="68"/>
        <v>80180</v>
      </c>
      <c r="K1051" s="61">
        <f t="shared" si="69"/>
        <v>0.4</v>
      </c>
    </row>
    <row r="1052" ht="27.75" customHeight="1">
      <c r="A1052" s="56" t="s">
        <v>4379</v>
      </c>
      <c r="B1052" s="57" t="s">
        <v>31</v>
      </c>
      <c r="C1052" s="58" t="s">
        <v>4380</v>
      </c>
      <c r="D1052" s="57" t="s">
        <v>33</v>
      </c>
      <c r="E1052" s="59" t="s">
        <v>177</v>
      </c>
      <c r="F1052" s="57" t="str">
        <f t="shared" si="67"/>
        <v>Menipis</v>
      </c>
      <c r="G1052" s="64">
        <v>1.0</v>
      </c>
      <c r="H1052" s="60">
        <v>125500.0</v>
      </c>
      <c r="I1052" s="60">
        <v>175700.0</v>
      </c>
      <c r="J1052" s="60">
        <f t="shared" si="68"/>
        <v>50200</v>
      </c>
      <c r="K1052" s="61">
        <f t="shared" si="69"/>
        <v>0.4</v>
      </c>
    </row>
    <row r="1053" ht="27.75" customHeight="1">
      <c r="A1053" s="56" t="s">
        <v>4381</v>
      </c>
      <c r="B1053" s="57" t="s">
        <v>31</v>
      </c>
      <c r="C1053" s="58" t="s">
        <v>4382</v>
      </c>
      <c r="D1053" s="57" t="s">
        <v>33</v>
      </c>
      <c r="E1053" s="59" t="s">
        <v>177</v>
      </c>
      <c r="F1053" s="57" t="str">
        <f t="shared" si="67"/>
        <v>Menipis</v>
      </c>
      <c r="G1053" s="64">
        <v>1.0</v>
      </c>
      <c r="H1053" s="60">
        <v>96344.0</v>
      </c>
      <c r="I1053" s="60">
        <v>134882.0</v>
      </c>
      <c r="J1053" s="60">
        <f t="shared" si="68"/>
        <v>38538</v>
      </c>
      <c r="K1053" s="61">
        <f t="shared" si="69"/>
        <v>0.4000041518</v>
      </c>
    </row>
    <row r="1054" ht="27.75" customHeight="1">
      <c r="A1054" s="56" t="s">
        <v>4383</v>
      </c>
      <c r="B1054" s="57" t="s">
        <v>31</v>
      </c>
      <c r="C1054" s="58" t="s">
        <v>4384</v>
      </c>
      <c r="D1054" s="57" t="s">
        <v>33</v>
      </c>
      <c r="E1054" s="59" t="s">
        <v>177</v>
      </c>
      <c r="F1054" s="57" t="str">
        <f t="shared" si="67"/>
        <v>Menipis</v>
      </c>
      <c r="G1054" s="64">
        <v>1.0</v>
      </c>
      <c r="H1054" s="60">
        <v>96344.0</v>
      </c>
      <c r="I1054" s="60">
        <v>134882.0</v>
      </c>
      <c r="J1054" s="60">
        <f t="shared" si="68"/>
        <v>38538</v>
      </c>
      <c r="K1054" s="61">
        <f t="shared" si="69"/>
        <v>0.4000041518</v>
      </c>
    </row>
    <row r="1055" ht="27.75" customHeight="1">
      <c r="A1055" s="56" t="s">
        <v>4385</v>
      </c>
      <c r="B1055" s="57" t="s">
        <v>31</v>
      </c>
      <c r="C1055" s="58" t="s">
        <v>4386</v>
      </c>
      <c r="D1055" s="57" t="s">
        <v>33</v>
      </c>
      <c r="E1055" s="59" t="s">
        <v>177</v>
      </c>
      <c r="F1055" s="57" t="str">
        <f t="shared" si="67"/>
        <v>Menipis</v>
      </c>
      <c r="G1055" s="64">
        <v>1.0</v>
      </c>
      <c r="H1055" s="60">
        <v>196669.0</v>
      </c>
      <c r="I1055" s="60">
        <v>275337.0</v>
      </c>
      <c r="J1055" s="60">
        <f t="shared" si="68"/>
        <v>78668</v>
      </c>
      <c r="K1055" s="61">
        <f t="shared" si="69"/>
        <v>0.4000020339</v>
      </c>
    </row>
    <row r="1056" ht="27.75" customHeight="1">
      <c r="A1056" s="56" t="s">
        <v>4387</v>
      </c>
      <c r="B1056" s="57" t="s">
        <v>31</v>
      </c>
      <c r="C1056" s="58" t="s">
        <v>4388</v>
      </c>
      <c r="D1056" s="57" t="s">
        <v>33</v>
      </c>
      <c r="E1056" s="59" t="s">
        <v>177</v>
      </c>
      <c r="F1056" s="57" t="str">
        <f t="shared" si="67"/>
        <v>Menipis</v>
      </c>
      <c r="G1056" s="64">
        <v>1.0</v>
      </c>
      <c r="H1056" s="60">
        <v>152334.0</v>
      </c>
      <c r="I1056" s="60">
        <v>213268.0</v>
      </c>
      <c r="J1056" s="60">
        <f t="shared" si="68"/>
        <v>60934</v>
      </c>
      <c r="K1056" s="61">
        <f t="shared" si="69"/>
        <v>0.4000026258</v>
      </c>
    </row>
    <row r="1057" ht="27.75" customHeight="1">
      <c r="A1057" s="56" t="s">
        <v>4389</v>
      </c>
      <c r="B1057" s="57" t="s">
        <v>31</v>
      </c>
      <c r="C1057" s="58" t="s">
        <v>4390</v>
      </c>
      <c r="D1057" s="57" t="s">
        <v>33</v>
      </c>
      <c r="E1057" s="59" t="s">
        <v>177</v>
      </c>
      <c r="F1057" s="57" t="str">
        <f t="shared" si="67"/>
        <v>Menipis</v>
      </c>
      <c r="G1057" s="64">
        <v>1.0</v>
      </c>
      <c r="H1057" s="60">
        <v>152607.0</v>
      </c>
      <c r="I1057" s="60">
        <v>213650.0</v>
      </c>
      <c r="J1057" s="60">
        <f t="shared" si="68"/>
        <v>61043</v>
      </c>
      <c r="K1057" s="61">
        <f t="shared" si="69"/>
        <v>0.4000013106</v>
      </c>
    </row>
    <row r="1058" ht="27.75" customHeight="1">
      <c r="A1058" s="56" t="s">
        <v>4391</v>
      </c>
      <c r="B1058" s="57" t="s">
        <v>31</v>
      </c>
      <c r="C1058" s="58" t="s">
        <v>4392</v>
      </c>
      <c r="D1058" s="57" t="s">
        <v>33</v>
      </c>
      <c r="E1058" s="59" t="s">
        <v>177</v>
      </c>
      <c r="F1058" s="57" t="str">
        <f t="shared" si="67"/>
        <v>Menipis</v>
      </c>
      <c r="G1058" s="64">
        <v>1.0</v>
      </c>
      <c r="H1058" s="60">
        <v>140356.0</v>
      </c>
      <c r="I1058" s="60">
        <v>196498.0</v>
      </c>
      <c r="J1058" s="60">
        <f t="shared" si="68"/>
        <v>56142</v>
      </c>
      <c r="K1058" s="61">
        <f t="shared" si="69"/>
        <v>0.3999971501</v>
      </c>
    </row>
    <row r="1059" ht="27.75" customHeight="1">
      <c r="A1059" s="56" t="s">
        <v>4393</v>
      </c>
      <c r="B1059" s="57" t="s">
        <v>31</v>
      </c>
      <c r="C1059" s="58" t="s">
        <v>4394</v>
      </c>
      <c r="D1059" s="57" t="s">
        <v>33</v>
      </c>
      <c r="E1059" s="59" t="s">
        <v>177</v>
      </c>
      <c r="F1059" s="57" t="str">
        <f t="shared" si="67"/>
        <v>Menipis</v>
      </c>
      <c r="G1059" s="64">
        <v>1.0</v>
      </c>
      <c r="H1059" s="60">
        <v>146900.0</v>
      </c>
      <c r="I1059" s="60">
        <v>205660.0</v>
      </c>
      <c r="J1059" s="60">
        <f t="shared" si="68"/>
        <v>58760</v>
      </c>
      <c r="K1059" s="61">
        <f t="shared" si="69"/>
        <v>0.4</v>
      </c>
    </row>
    <row r="1060" ht="27.75" customHeight="1">
      <c r="A1060" s="56" t="s">
        <v>4395</v>
      </c>
      <c r="B1060" s="57" t="s">
        <v>31</v>
      </c>
      <c r="C1060" s="58" t="s">
        <v>4396</v>
      </c>
      <c r="D1060" s="57" t="s">
        <v>33</v>
      </c>
      <c r="E1060" s="59" t="s">
        <v>177</v>
      </c>
      <c r="F1060" s="57" t="str">
        <f t="shared" si="67"/>
        <v>Menipis</v>
      </c>
      <c r="G1060" s="64">
        <v>1.0</v>
      </c>
      <c r="H1060" s="60">
        <v>103614.0</v>
      </c>
      <c r="I1060" s="60">
        <v>145060.0</v>
      </c>
      <c r="J1060" s="60">
        <f t="shared" si="68"/>
        <v>41446</v>
      </c>
      <c r="K1060" s="61">
        <f t="shared" si="69"/>
        <v>0.4000038605</v>
      </c>
    </row>
    <row r="1061" ht="27.75" customHeight="1">
      <c r="A1061" s="56" t="s">
        <v>4397</v>
      </c>
      <c r="B1061" s="57" t="s">
        <v>31</v>
      </c>
      <c r="C1061" s="58" t="s">
        <v>4398</v>
      </c>
      <c r="D1061" s="57" t="s">
        <v>33</v>
      </c>
      <c r="E1061" s="59" t="s">
        <v>177</v>
      </c>
      <c r="F1061" s="57" t="str">
        <f t="shared" si="67"/>
        <v>Menipis</v>
      </c>
      <c r="G1061" s="64">
        <v>1.0</v>
      </c>
      <c r="H1061" s="60">
        <v>114000.0</v>
      </c>
      <c r="I1061" s="60">
        <v>159600.0</v>
      </c>
      <c r="J1061" s="60">
        <f t="shared" si="68"/>
        <v>45600</v>
      </c>
      <c r="K1061" s="61">
        <f t="shared" si="69"/>
        <v>0.4</v>
      </c>
    </row>
    <row r="1062" ht="27.75" customHeight="1">
      <c r="A1062" s="56" t="s">
        <v>4399</v>
      </c>
      <c r="B1062" s="57" t="s">
        <v>31</v>
      </c>
      <c r="C1062" s="58" t="s">
        <v>4400</v>
      </c>
      <c r="D1062" s="57" t="s">
        <v>33</v>
      </c>
      <c r="E1062" s="59" t="s">
        <v>177</v>
      </c>
      <c r="F1062" s="57" t="str">
        <f t="shared" si="67"/>
        <v>Menipis</v>
      </c>
      <c r="G1062" s="64">
        <v>1.0</v>
      </c>
      <c r="H1062" s="60">
        <v>103616.0</v>
      </c>
      <c r="I1062" s="60">
        <v>145062.0</v>
      </c>
      <c r="J1062" s="60">
        <f t="shared" si="68"/>
        <v>41446</v>
      </c>
      <c r="K1062" s="61">
        <f t="shared" si="69"/>
        <v>0.3999961396</v>
      </c>
    </row>
    <row r="1063" ht="27.75" customHeight="1">
      <c r="A1063" s="56" t="s">
        <v>4401</v>
      </c>
      <c r="B1063" s="57" t="s">
        <v>31</v>
      </c>
      <c r="C1063" s="58" t="s">
        <v>4402</v>
      </c>
      <c r="D1063" s="57" t="s">
        <v>33</v>
      </c>
      <c r="E1063" s="59" t="s">
        <v>177</v>
      </c>
      <c r="F1063" s="57" t="str">
        <f t="shared" si="67"/>
        <v>Menipis</v>
      </c>
      <c r="G1063" s="64">
        <v>1.0</v>
      </c>
      <c r="H1063" s="60">
        <v>103616.0</v>
      </c>
      <c r="I1063" s="60">
        <v>145062.0</v>
      </c>
      <c r="J1063" s="60">
        <f t="shared" si="68"/>
        <v>41446</v>
      </c>
      <c r="K1063" s="61">
        <f t="shared" si="69"/>
        <v>0.3999961396</v>
      </c>
    </row>
    <row r="1064" ht="27.75" customHeight="1">
      <c r="A1064" s="56" t="s">
        <v>4403</v>
      </c>
      <c r="B1064" s="57" t="s">
        <v>31</v>
      </c>
      <c r="C1064" s="58" t="s">
        <v>4404</v>
      </c>
      <c r="D1064" s="57" t="s">
        <v>33</v>
      </c>
      <c r="E1064" s="59" t="s">
        <v>177</v>
      </c>
      <c r="F1064" s="57" t="str">
        <f t="shared" si="67"/>
        <v>Menipis</v>
      </c>
      <c r="G1064" s="64">
        <v>1.0</v>
      </c>
      <c r="H1064" s="60">
        <v>197916.0</v>
      </c>
      <c r="I1064" s="60">
        <v>277082.0</v>
      </c>
      <c r="J1064" s="60">
        <f t="shared" si="68"/>
        <v>79166</v>
      </c>
      <c r="K1064" s="61">
        <f t="shared" si="69"/>
        <v>0.3999979789</v>
      </c>
    </row>
    <row r="1065" ht="27.75" customHeight="1">
      <c r="A1065" s="56" t="s">
        <v>4405</v>
      </c>
      <c r="B1065" s="57" t="s">
        <v>31</v>
      </c>
      <c r="C1065" s="58" t="s">
        <v>4406</v>
      </c>
      <c r="D1065" s="57" t="s">
        <v>33</v>
      </c>
      <c r="E1065" s="159" t="s">
        <v>1900</v>
      </c>
      <c r="F1065" s="57" t="s">
        <v>1180</v>
      </c>
      <c r="G1065" s="64">
        <v>1.0</v>
      </c>
      <c r="H1065" s="60">
        <v>55000.0</v>
      </c>
      <c r="I1065" s="60">
        <v>100000.0</v>
      </c>
      <c r="J1065" s="60">
        <v>45000.0</v>
      </c>
      <c r="K1065" s="61">
        <v>0.82</v>
      </c>
    </row>
    <row r="1066" ht="27.75" customHeight="1">
      <c r="A1066" s="56"/>
      <c r="B1066" s="57"/>
      <c r="C1066" s="58"/>
      <c r="D1066" s="57"/>
      <c r="E1066" s="246"/>
      <c r="F1066" s="57"/>
      <c r="G1066" s="56"/>
      <c r="H1066" s="60">
        <v>0.0</v>
      </c>
      <c r="I1066" s="60">
        <v>0.0</v>
      </c>
      <c r="J1066" s="60"/>
      <c r="K1066" s="61"/>
    </row>
    <row r="1067" ht="27.75" customHeight="1">
      <c r="A1067" s="56"/>
      <c r="B1067" s="57"/>
      <c r="C1067" s="58"/>
      <c r="D1067" s="57"/>
      <c r="E1067" s="246"/>
      <c r="F1067" s="57"/>
      <c r="G1067" s="56"/>
      <c r="H1067" s="60">
        <v>0.0</v>
      </c>
      <c r="I1067" s="60">
        <v>0.0</v>
      </c>
      <c r="J1067" s="60"/>
      <c r="K1067" s="61"/>
    </row>
    <row r="1068" ht="27.75" customHeight="1">
      <c r="A1068" s="56"/>
      <c r="B1068" s="57"/>
      <c r="C1068" s="58"/>
      <c r="D1068" s="57"/>
      <c r="E1068" s="246"/>
      <c r="F1068" s="57"/>
      <c r="G1068" s="56"/>
      <c r="H1068" s="60">
        <v>0.0</v>
      </c>
      <c r="I1068" s="60">
        <v>0.0</v>
      </c>
      <c r="J1068" s="60"/>
      <c r="K1068" s="61"/>
    </row>
    <row r="1069" ht="27.75" customHeight="1">
      <c r="A1069" s="56"/>
      <c r="B1069" s="57"/>
      <c r="C1069" s="58"/>
      <c r="D1069" s="57"/>
      <c r="E1069" s="246"/>
      <c r="F1069" s="57"/>
      <c r="G1069" s="56"/>
      <c r="H1069" s="60">
        <v>0.0</v>
      </c>
      <c r="I1069" s="60">
        <v>0.0</v>
      </c>
      <c r="J1069" s="60"/>
      <c r="K1069" s="61"/>
    </row>
    <row r="1070" ht="27.75" customHeight="1">
      <c r="A1070" s="56"/>
      <c r="B1070" s="57"/>
      <c r="C1070" s="58"/>
      <c r="D1070" s="57"/>
      <c r="E1070" s="246"/>
      <c r="F1070" s="57"/>
      <c r="G1070" s="56"/>
      <c r="H1070" s="60">
        <v>0.0</v>
      </c>
      <c r="I1070" s="60">
        <v>0.0</v>
      </c>
      <c r="J1070" s="60"/>
      <c r="K1070" s="61"/>
    </row>
    <row r="1071" ht="27.75" customHeight="1">
      <c r="A1071" s="56"/>
      <c r="B1071" s="57"/>
      <c r="C1071" s="58"/>
      <c r="D1071" s="57"/>
      <c r="E1071" s="246"/>
      <c r="F1071" s="57"/>
      <c r="G1071" s="56"/>
      <c r="H1071" s="60">
        <v>0.0</v>
      </c>
      <c r="I1071" s="60">
        <v>0.0</v>
      </c>
      <c r="J1071" s="60"/>
      <c r="K1071" s="61"/>
    </row>
    <row r="1072" ht="27.75" customHeight="1">
      <c r="A1072" s="56"/>
      <c r="B1072" s="57"/>
      <c r="C1072" s="58"/>
      <c r="D1072" s="57"/>
      <c r="E1072" s="246"/>
      <c r="F1072" s="57"/>
      <c r="G1072" s="56"/>
      <c r="H1072" s="60">
        <v>0.0</v>
      </c>
      <c r="I1072" s="60">
        <v>0.0</v>
      </c>
      <c r="J1072" s="60"/>
      <c r="K1072" s="61"/>
    </row>
    <row r="1073" ht="27.75" customHeight="1">
      <c r="A1073" s="56"/>
      <c r="B1073" s="57"/>
      <c r="C1073" s="58"/>
      <c r="D1073" s="57"/>
      <c r="E1073" s="246"/>
      <c r="F1073" s="57"/>
      <c r="G1073" s="56"/>
      <c r="H1073" s="60">
        <v>0.0</v>
      </c>
      <c r="I1073" s="60">
        <v>0.0</v>
      </c>
      <c r="J1073" s="60"/>
      <c r="K1073" s="61"/>
    </row>
    <row r="1074" ht="27.75" customHeight="1">
      <c r="A1074" s="56"/>
      <c r="B1074" s="57"/>
      <c r="C1074" s="58"/>
      <c r="D1074" s="57"/>
      <c r="E1074" s="246"/>
      <c r="F1074" s="57"/>
      <c r="G1074" s="56"/>
      <c r="H1074" s="60">
        <v>0.0</v>
      </c>
      <c r="I1074" s="60">
        <v>0.0</v>
      </c>
      <c r="J1074" s="60"/>
      <c r="K1074" s="61"/>
    </row>
    <row r="1075" ht="27.75" customHeight="1">
      <c r="A1075" s="56"/>
      <c r="B1075" s="57"/>
      <c r="C1075" s="58"/>
      <c r="D1075" s="57"/>
      <c r="E1075" s="246"/>
      <c r="F1075" s="57"/>
      <c r="G1075" s="56"/>
      <c r="H1075" s="60">
        <v>0.0</v>
      </c>
      <c r="I1075" s="60">
        <v>0.0</v>
      </c>
      <c r="J1075" s="60"/>
      <c r="K1075" s="61"/>
    </row>
    <row r="1076" ht="27.75" customHeight="1">
      <c r="A1076" s="56"/>
      <c r="B1076" s="57"/>
      <c r="C1076" s="58"/>
      <c r="D1076" s="57"/>
      <c r="E1076" s="246"/>
      <c r="F1076" s="57"/>
      <c r="G1076" s="56"/>
      <c r="H1076" s="60">
        <v>0.0</v>
      </c>
      <c r="I1076" s="60">
        <v>0.0</v>
      </c>
      <c r="J1076" s="60"/>
      <c r="K1076" s="61"/>
    </row>
    <row r="1077" ht="27.75" customHeight="1">
      <c r="A1077" s="56"/>
      <c r="B1077" s="57"/>
      <c r="C1077" s="58"/>
      <c r="D1077" s="57"/>
      <c r="E1077" s="246"/>
      <c r="F1077" s="57"/>
      <c r="G1077" s="56"/>
      <c r="H1077" s="60">
        <v>0.0</v>
      </c>
      <c r="I1077" s="60">
        <v>0.0</v>
      </c>
      <c r="J1077" s="60"/>
      <c r="K1077" s="56"/>
    </row>
    <row r="1078" ht="27.75" customHeight="1">
      <c r="A1078" s="247"/>
      <c r="B1078" s="248"/>
      <c r="C1078" s="249"/>
      <c r="D1078" s="248"/>
      <c r="E1078" s="250"/>
      <c r="F1078" s="248"/>
      <c r="G1078" s="56"/>
      <c r="H1078" s="251">
        <v>0.0</v>
      </c>
      <c r="I1078" s="251">
        <v>0.0</v>
      </c>
      <c r="J1078" s="251"/>
      <c r="K1078" s="252"/>
    </row>
    <row r="1079" ht="27.75" customHeight="1">
      <c r="A1079" s="247"/>
      <c r="B1079" s="248"/>
      <c r="C1079" s="249"/>
      <c r="D1079" s="248"/>
      <c r="E1079" s="250"/>
      <c r="F1079" s="248"/>
      <c r="G1079" s="56"/>
      <c r="H1079" s="251">
        <v>0.0</v>
      </c>
      <c r="I1079" s="251">
        <v>0.0</v>
      </c>
      <c r="J1079" s="251"/>
      <c r="K1079" s="252"/>
    </row>
    <row r="1080" ht="27.75" customHeight="1">
      <c r="A1080" s="247"/>
      <c r="B1080" s="248"/>
      <c r="C1080" s="249"/>
      <c r="D1080" s="248"/>
      <c r="E1080" s="250"/>
      <c r="F1080" s="248"/>
      <c r="G1080" s="56"/>
      <c r="H1080" s="251">
        <v>0.0</v>
      </c>
      <c r="I1080" s="251">
        <v>0.0</v>
      </c>
      <c r="J1080" s="251"/>
      <c r="K1080" s="252"/>
    </row>
    <row r="1081" ht="27.75" customHeight="1">
      <c r="A1081" s="247"/>
      <c r="B1081" s="248"/>
      <c r="C1081" s="249"/>
      <c r="D1081" s="248"/>
      <c r="E1081" s="250"/>
      <c r="F1081" s="248"/>
      <c r="G1081" s="56"/>
      <c r="H1081" s="251">
        <v>0.0</v>
      </c>
      <c r="I1081" s="251">
        <v>0.0</v>
      </c>
      <c r="J1081" s="251"/>
      <c r="K1081" s="252"/>
    </row>
    <row r="1082" ht="27.75" customHeight="1">
      <c r="A1082" s="247"/>
      <c r="B1082" s="248"/>
      <c r="C1082" s="249"/>
      <c r="D1082" s="248"/>
      <c r="E1082" s="250"/>
      <c r="F1082" s="248"/>
      <c r="G1082" s="56"/>
      <c r="H1082" s="251">
        <v>0.0</v>
      </c>
      <c r="I1082" s="251">
        <v>0.0</v>
      </c>
      <c r="J1082" s="251"/>
      <c r="K1082" s="252"/>
    </row>
    <row r="1083" ht="27.75" customHeight="1">
      <c r="A1083" s="247"/>
      <c r="B1083" s="248"/>
      <c r="C1083" s="249"/>
      <c r="D1083" s="248"/>
      <c r="E1083" s="250"/>
      <c r="F1083" s="248"/>
      <c r="G1083" s="56"/>
      <c r="H1083" s="251">
        <v>0.0</v>
      </c>
      <c r="I1083" s="251">
        <v>0.0</v>
      </c>
      <c r="J1083" s="251"/>
      <c r="K1083" s="252"/>
    </row>
    <row r="1084" ht="27.75" customHeight="1">
      <c r="A1084" s="247"/>
      <c r="B1084" s="248"/>
      <c r="C1084" s="249"/>
      <c r="D1084" s="248"/>
      <c r="E1084" s="250"/>
      <c r="F1084" s="248"/>
      <c r="G1084" s="56"/>
      <c r="H1084" s="251">
        <v>0.0</v>
      </c>
      <c r="I1084" s="251">
        <v>0.0</v>
      </c>
      <c r="J1084" s="251"/>
      <c r="K1084" s="252"/>
    </row>
    <row r="1085" ht="27.75" customHeight="1">
      <c r="A1085" s="247"/>
      <c r="B1085" s="248"/>
      <c r="C1085" s="249"/>
      <c r="D1085" s="248"/>
      <c r="E1085" s="250"/>
      <c r="F1085" s="248"/>
      <c r="G1085" s="56"/>
      <c r="H1085" s="251">
        <v>0.0</v>
      </c>
      <c r="I1085" s="251">
        <v>0.0</v>
      </c>
      <c r="J1085" s="251"/>
      <c r="K1085" s="252"/>
    </row>
    <row r="1086" ht="27.75" customHeight="1">
      <c r="A1086" s="247"/>
      <c r="B1086" s="248"/>
      <c r="C1086" s="249"/>
      <c r="D1086" s="248"/>
      <c r="E1086" s="250"/>
      <c r="F1086" s="248"/>
      <c r="G1086" s="56"/>
      <c r="H1086" s="251">
        <v>0.0</v>
      </c>
      <c r="I1086" s="251">
        <v>0.0</v>
      </c>
      <c r="J1086" s="251"/>
      <c r="K1086" s="252"/>
    </row>
    <row r="1087" ht="27.75" customHeight="1">
      <c r="A1087" s="247"/>
      <c r="B1087" s="248"/>
      <c r="C1087" s="249"/>
      <c r="D1087" s="248"/>
      <c r="E1087" s="250"/>
      <c r="F1087" s="248"/>
      <c r="G1087" s="56"/>
      <c r="H1087" s="251">
        <v>0.0</v>
      </c>
      <c r="I1087" s="251">
        <v>0.0</v>
      </c>
      <c r="J1087" s="251"/>
      <c r="K1087" s="252"/>
    </row>
    <row r="1088" ht="27.75" customHeight="1">
      <c r="A1088" s="247"/>
      <c r="B1088" s="248"/>
      <c r="C1088" s="249"/>
      <c r="D1088" s="248"/>
      <c r="E1088" s="250"/>
      <c r="F1088" s="248"/>
      <c r="G1088" s="56"/>
      <c r="H1088" s="251">
        <v>0.0</v>
      </c>
      <c r="I1088" s="251">
        <v>0.0</v>
      </c>
      <c r="J1088" s="251"/>
      <c r="K1088" s="252"/>
    </row>
    <row r="1089" ht="27.75" customHeight="1">
      <c r="A1089" s="247"/>
      <c r="B1089" s="248"/>
      <c r="C1089" s="249"/>
      <c r="D1089" s="248"/>
      <c r="E1089" s="250"/>
      <c r="F1089" s="248"/>
      <c r="G1089" s="56"/>
      <c r="H1089" s="251">
        <v>0.0</v>
      </c>
      <c r="I1089" s="251">
        <v>0.0</v>
      </c>
      <c r="J1089" s="251"/>
      <c r="K1089" s="252"/>
    </row>
    <row r="1090" ht="27.75" customHeight="1">
      <c r="A1090" s="247"/>
      <c r="B1090" s="248"/>
      <c r="C1090" s="249"/>
      <c r="D1090" s="248"/>
      <c r="E1090" s="250"/>
      <c r="F1090" s="248"/>
      <c r="G1090" s="56"/>
      <c r="H1090" s="251">
        <v>0.0</v>
      </c>
      <c r="I1090" s="251">
        <v>0.0</v>
      </c>
      <c r="J1090" s="251"/>
      <c r="K1090" s="252"/>
    </row>
    <row r="1091" ht="27.75" customHeight="1">
      <c r="A1091" s="247"/>
      <c r="B1091" s="248"/>
      <c r="C1091" s="249"/>
      <c r="D1091" s="248"/>
      <c r="E1091" s="250"/>
      <c r="F1091" s="248"/>
      <c r="G1091" s="56"/>
      <c r="H1091" s="251">
        <v>0.0</v>
      </c>
      <c r="I1091" s="251">
        <v>0.0</v>
      </c>
      <c r="J1091" s="251"/>
      <c r="K1091" s="252"/>
    </row>
    <row r="1092" ht="27.75" customHeight="1">
      <c r="A1092" s="247"/>
      <c r="B1092" s="248"/>
      <c r="C1092" s="249"/>
      <c r="D1092" s="248"/>
      <c r="E1092" s="250"/>
      <c r="F1092" s="248"/>
      <c r="G1092" s="56"/>
      <c r="H1092" s="251">
        <v>0.0</v>
      </c>
      <c r="I1092" s="251">
        <v>0.0</v>
      </c>
      <c r="J1092" s="251"/>
      <c r="K1092" s="252"/>
    </row>
    <row r="1093" ht="27.75" customHeight="1">
      <c r="A1093" s="247"/>
      <c r="B1093" s="248"/>
      <c r="C1093" s="249"/>
      <c r="D1093" s="248"/>
      <c r="E1093" s="250"/>
      <c r="F1093" s="248"/>
      <c r="G1093" s="56"/>
      <c r="H1093" s="251">
        <v>0.0</v>
      </c>
      <c r="I1093" s="251">
        <v>0.0</v>
      </c>
      <c r="J1093" s="251"/>
      <c r="K1093" s="252"/>
    </row>
    <row r="1094" ht="27.75" customHeight="1">
      <c r="A1094" s="247"/>
      <c r="B1094" s="248"/>
      <c r="C1094" s="249"/>
      <c r="D1094" s="248"/>
      <c r="E1094" s="250"/>
      <c r="F1094" s="248"/>
      <c r="G1094" s="56"/>
      <c r="H1094" s="251">
        <v>0.0</v>
      </c>
      <c r="I1094" s="251">
        <v>0.0</v>
      </c>
      <c r="J1094" s="251"/>
      <c r="K1094" s="252"/>
    </row>
    <row r="1095" ht="27.75" customHeight="1">
      <c r="A1095" s="247"/>
      <c r="B1095" s="248"/>
      <c r="C1095" s="249"/>
      <c r="D1095" s="248"/>
      <c r="E1095" s="250"/>
      <c r="F1095" s="248"/>
      <c r="G1095" s="56"/>
      <c r="H1095" s="251">
        <v>0.0</v>
      </c>
      <c r="I1095" s="251">
        <v>0.0</v>
      </c>
      <c r="J1095" s="251"/>
      <c r="K1095" s="252"/>
    </row>
    <row r="1096" ht="27.75" customHeight="1">
      <c r="A1096" s="247"/>
      <c r="B1096" s="248"/>
      <c r="C1096" s="249"/>
      <c r="D1096" s="248"/>
      <c r="E1096" s="250"/>
      <c r="F1096" s="248"/>
      <c r="G1096" s="56"/>
      <c r="H1096" s="251">
        <v>0.0</v>
      </c>
      <c r="I1096" s="251">
        <v>0.0</v>
      </c>
      <c r="J1096" s="251"/>
      <c r="K1096" s="252"/>
    </row>
    <row r="1097" ht="27.75" customHeight="1">
      <c r="A1097" s="247"/>
      <c r="B1097" s="248"/>
      <c r="C1097" s="249"/>
      <c r="D1097" s="248"/>
      <c r="E1097" s="250"/>
      <c r="F1097" s="248"/>
      <c r="G1097" s="56"/>
      <c r="H1097" s="251">
        <v>0.0</v>
      </c>
      <c r="I1097" s="251">
        <v>0.0</v>
      </c>
      <c r="J1097" s="251"/>
      <c r="K1097" s="252"/>
    </row>
    <row r="1098" ht="27.75" customHeight="1">
      <c r="A1098" s="247"/>
      <c r="B1098" s="248"/>
      <c r="C1098" s="249"/>
      <c r="D1098" s="248"/>
      <c r="E1098" s="250"/>
      <c r="F1098" s="248"/>
      <c r="G1098" s="56"/>
      <c r="H1098" s="251">
        <v>0.0</v>
      </c>
      <c r="I1098" s="251">
        <v>0.0</v>
      </c>
      <c r="J1098" s="251"/>
      <c r="K1098" s="252"/>
    </row>
    <row r="1099" ht="27.75" customHeight="1">
      <c r="A1099" s="247"/>
      <c r="B1099" s="248"/>
      <c r="C1099" s="249"/>
      <c r="D1099" s="248"/>
      <c r="E1099" s="250"/>
      <c r="F1099" s="248"/>
      <c r="G1099" s="56"/>
      <c r="H1099" s="251">
        <v>0.0</v>
      </c>
      <c r="I1099" s="251">
        <v>0.0</v>
      </c>
      <c r="J1099" s="251"/>
      <c r="K1099" s="252"/>
    </row>
    <row r="1100" ht="27.75" customHeight="1">
      <c r="A1100" s="247"/>
      <c r="B1100" s="248"/>
      <c r="C1100" s="249"/>
      <c r="D1100" s="248"/>
      <c r="E1100" s="250"/>
      <c r="F1100" s="248"/>
      <c r="G1100" s="56"/>
      <c r="H1100" s="251">
        <v>0.0</v>
      </c>
      <c r="I1100" s="251">
        <v>0.0</v>
      </c>
      <c r="J1100" s="251"/>
      <c r="K1100" s="252"/>
    </row>
    <row r="1101" ht="27.75" customHeight="1">
      <c r="A1101" s="247"/>
      <c r="B1101" s="248"/>
      <c r="C1101" s="249"/>
      <c r="D1101" s="248"/>
      <c r="E1101" s="250"/>
      <c r="F1101" s="248"/>
      <c r="G1101" s="56"/>
      <c r="H1101" s="251">
        <v>0.0</v>
      </c>
      <c r="I1101" s="251">
        <v>0.0</v>
      </c>
      <c r="J1101" s="251"/>
      <c r="K1101" s="252"/>
    </row>
    <row r="1102" ht="27.75" customHeight="1">
      <c r="A1102" s="247"/>
      <c r="B1102" s="248"/>
      <c r="C1102" s="249"/>
      <c r="D1102" s="248"/>
      <c r="E1102" s="250"/>
      <c r="F1102" s="248"/>
      <c r="G1102" s="56"/>
      <c r="H1102" s="251">
        <v>0.0</v>
      </c>
      <c r="I1102" s="251">
        <v>0.0</v>
      </c>
      <c r="J1102" s="251"/>
      <c r="K1102" s="252"/>
    </row>
    <row r="1103" ht="27.75" customHeight="1">
      <c r="A1103" s="247"/>
      <c r="B1103" s="248"/>
      <c r="C1103" s="249"/>
      <c r="D1103" s="248"/>
      <c r="E1103" s="250"/>
      <c r="F1103" s="248"/>
      <c r="G1103" s="56"/>
      <c r="H1103" s="251">
        <v>0.0</v>
      </c>
      <c r="I1103" s="251">
        <v>0.0</v>
      </c>
      <c r="J1103" s="251"/>
      <c r="K1103" s="252"/>
    </row>
    <row r="1104" ht="27.75" customHeight="1">
      <c r="A1104" s="247"/>
      <c r="B1104" s="248"/>
      <c r="C1104" s="249"/>
      <c r="D1104" s="248"/>
      <c r="E1104" s="250"/>
      <c r="F1104" s="248"/>
      <c r="G1104" s="56"/>
      <c r="H1104" s="251">
        <v>0.0</v>
      </c>
      <c r="I1104" s="251">
        <v>0.0</v>
      </c>
      <c r="J1104" s="251"/>
      <c r="K1104" s="252"/>
    </row>
    <row r="1105" ht="27.75" customHeight="1">
      <c r="A1105" s="247"/>
      <c r="B1105" s="248"/>
      <c r="C1105" s="249"/>
      <c r="D1105" s="248"/>
      <c r="E1105" s="250"/>
      <c r="F1105" s="248"/>
      <c r="G1105" s="56"/>
      <c r="H1105" s="251">
        <v>0.0</v>
      </c>
      <c r="I1105" s="251">
        <v>0.0</v>
      </c>
      <c r="J1105" s="251"/>
      <c r="K1105" s="252"/>
    </row>
    <row r="1106" ht="27.75" customHeight="1">
      <c r="A1106" s="247"/>
      <c r="B1106" s="248"/>
      <c r="C1106" s="249"/>
      <c r="D1106" s="248"/>
      <c r="E1106" s="250"/>
      <c r="F1106" s="248"/>
      <c r="G1106" s="56"/>
      <c r="H1106" s="251">
        <v>0.0</v>
      </c>
      <c r="I1106" s="251">
        <v>0.0</v>
      </c>
      <c r="J1106" s="251"/>
      <c r="K1106" s="252"/>
    </row>
    <row r="1107" ht="27.75" customHeight="1">
      <c r="A1107" s="247"/>
      <c r="B1107" s="248"/>
      <c r="C1107" s="249"/>
      <c r="D1107" s="248"/>
      <c r="E1107" s="250"/>
      <c r="F1107" s="248"/>
      <c r="G1107" s="56"/>
      <c r="H1107" s="251">
        <v>0.0</v>
      </c>
      <c r="I1107" s="251">
        <v>0.0</v>
      </c>
      <c r="J1107" s="251"/>
      <c r="K1107" s="252"/>
    </row>
    <row r="1108" ht="27.75" customHeight="1">
      <c r="A1108" s="247"/>
      <c r="B1108" s="248"/>
      <c r="C1108" s="249"/>
      <c r="D1108" s="248"/>
      <c r="E1108" s="250"/>
      <c r="F1108" s="248"/>
      <c r="G1108" s="56"/>
      <c r="H1108" s="251">
        <v>0.0</v>
      </c>
      <c r="I1108" s="251">
        <v>0.0</v>
      </c>
      <c r="J1108" s="251"/>
      <c r="K1108" s="252"/>
    </row>
    <row r="1109" ht="27.75" customHeight="1">
      <c r="A1109" s="247"/>
      <c r="B1109" s="248"/>
      <c r="C1109" s="249"/>
      <c r="D1109" s="248"/>
      <c r="E1109" s="250"/>
      <c r="F1109" s="248"/>
      <c r="G1109" s="56"/>
      <c r="H1109" s="251">
        <v>0.0</v>
      </c>
      <c r="I1109" s="251">
        <v>0.0</v>
      </c>
      <c r="J1109" s="251"/>
      <c r="K1109" s="252"/>
    </row>
    <row r="1110" ht="27.75" customHeight="1">
      <c r="A1110" s="247"/>
      <c r="B1110" s="248"/>
      <c r="C1110" s="249"/>
      <c r="D1110" s="248"/>
      <c r="E1110" s="250"/>
      <c r="F1110" s="248"/>
      <c r="G1110" s="56"/>
      <c r="H1110" s="251">
        <v>0.0</v>
      </c>
      <c r="I1110" s="251">
        <v>0.0</v>
      </c>
      <c r="J1110" s="251"/>
      <c r="K1110" s="252"/>
    </row>
    <row r="1111" ht="27.75" customHeight="1">
      <c r="A1111" s="247"/>
      <c r="B1111" s="248"/>
      <c r="C1111" s="249"/>
      <c r="D1111" s="248"/>
      <c r="E1111" s="250"/>
      <c r="F1111" s="248"/>
      <c r="G1111" s="56"/>
      <c r="H1111" s="251">
        <v>0.0</v>
      </c>
      <c r="I1111" s="251">
        <v>0.0</v>
      </c>
      <c r="J1111" s="251"/>
      <c r="K1111" s="252"/>
    </row>
    <row r="1112" ht="27.75" customHeight="1">
      <c r="A1112" s="247"/>
      <c r="B1112" s="248"/>
      <c r="C1112" s="249"/>
      <c r="D1112" s="248"/>
      <c r="E1112" s="250"/>
      <c r="F1112" s="248"/>
      <c r="G1112" s="56"/>
      <c r="H1112" s="251">
        <v>0.0</v>
      </c>
      <c r="I1112" s="251">
        <v>0.0</v>
      </c>
      <c r="J1112" s="251"/>
      <c r="K1112" s="252"/>
    </row>
    <row r="1113" ht="27.75" customHeight="1">
      <c r="A1113" s="247"/>
      <c r="B1113" s="248"/>
      <c r="C1113" s="249"/>
      <c r="D1113" s="248"/>
      <c r="E1113" s="250"/>
      <c r="F1113" s="248"/>
      <c r="G1113" s="56"/>
      <c r="H1113" s="251">
        <v>0.0</v>
      </c>
      <c r="I1113" s="251">
        <v>0.0</v>
      </c>
      <c r="J1113" s="251"/>
      <c r="K1113" s="252"/>
    </row>
    <row r="1114" ht="27.75" customHeight="1">
      <c r="A1114" s="247"/>
      <c r="B1114" s="248"/>
      <c r="C1114" s="249"/>
      <c r="D1114" s="248"/>
      <c r="E1114" s="250"/>
      <c r="F1114" s="248"/>
      <c r="G1114" s="56"/>
      <c r="H1114" s="251">
        <v>0.0</v>
      </c>
      <c r="I1114" s="251">
        <v>0.0</v>
      </c>
      <c r="J1114" s="251"/>
      <c r="K1114" s="252"/>
    </row>
    <row r="1115" ht="27.75" customHeight="1">
      <c r="A1115" s="247"/>
      <c r="B1115" s="248"/>
      <c r="C1115" s="249"/>
      <c r="D1115" s="248"/>
      <c r="E1115" s="250"/>
      <c r="F1115" s="248"/>
      <c r="G1115" s="56"/>
      <c r="H1115" s="251">
        <v>0.0</v>
      </c>
      <c r="I1115" s="251">
        <v>0.0</v>
      </c>
      <c r="J1115" s="251"/>
      <c r="K1115" s="252"/>
    </row>
    <row r="1116" ht="27.75" customHeight="1">
      <c r="A1116" s="247"/>
      <c r="B1116" s="248"/>
      <c r="C1116" s="249"/>
      <c r="D1116" s="248"/>
      <c r="E1116" s="250"/>
      <c r="F1116" s="248"/>
      <c r="G1116" s="56"/>
      <c r="H1116" s="251">
        <v>0.0</v>
      </c>
      <c r="I1116" s="251">
        <v>0.0</v>
      </c>
      <c r="J1116" s="251"/>
      <c r="K1116" s="252"/>
    </row>
    <row r="1117" ht="27.75" customHeight="1">
      <c r="A1117" s="247"/>
      <c r="B1117" s="248"/>
      <c r="C1117" s="249"/>
      <c r="D1117" s="248"/>
      <c r="E1117" s="250"/>
      <c r="F1117" s="248"/>
      <c r="G1117" s="56"/>
      <c r="H1117" s="251">
        <v>0.0</v>
      </c>
      <c r="I1117" s="251">
        <v>0.0</v>
      </c>
      <c r="J1117" s="251"/>
      <c r="K1117" s="252"/>
    </row>
    <row r="1118" ht="27.75" customHeight="1">
      <c r="A1118" s="247"/>
      <c r="B1118" s="248"/>
      <c r="C1118" s="249"/>
      <c r="D1118" s="248"/>
      <c r="E1118" s="250"/>
      <c r="F1118" s="248"/>
      <c r="G1118" s="56"/>
      <c r="H1118" s="251">
        <v>0.0</v>
      </c>
      <c r="I1118" s="251">
        <v>0.0</v>
      </c>
      <c r="J1118" s="251"/>
      <c r="K1118" s="252"/>
    </row>
    <row r="1119" ht="27.75" customHeight="1">
      <c r="A1119" s="247"/>
      <c r="B1119" s="248"/>
      <c r="C1119" s="249"/>
      <c r="D1119" s="248"/>
      <c r="E1119" s="250"/>
      <c r="F1119" s="248"/>
      <c r="G1119" s="56"/>
      <c r="H1119" s="251">
        <v>0.0</v>
      </c>
      <c r="I1119" s="251">
        <v>0.0</v>
      </c>
      <c r="J1119" s="251"/>
      <c r="K1119" s="252"/>
    </row>
    <row r="1120" ht="27.75" customHeight="1">
      <c r="A1120" s="247"/>
      <c r="B1120" s="248"/>
      <c r="C1120" s="249"/>
      <c r="D1120" s="248"/>
      <c r="E1120" s="250"/>
      <c r="F1120" s="248"/>
      <c r="G1120" s="56"/>
      <c r="H1120" s="251">
        <v>0.0</v>
      </c>
      <c r="I1120" s="251">
        <v>0.0</v>
      </c>
      <c r="J1120" s="251"/>
      <c r="K1120" s="252"/>
    </row>
    <row r="1121" ht="27.75" customHeight="1">
      <c r="A1121" s="247"/>
      <c r="B1121" s="248"/>
      <c r="C1121" s="249"/>
      <c r="D1121" s="248"/>
      <c r="E1121" s="250"/>
      <c r="F1121" s="248"/>
      <c r="G1121" s="56"/>
      <c r="H1121" s="251">
        <v>0.0</v>
      </c>
      <c r="I1121" s="251">
        <v>0.0</v>
      </c>
      <c r="J1121" s="251"/>
      <c r="K1121" s="252"/>
    </row>
    <row r="1122" ht="27.75" customHeight="1">
      <c r="A1122" s="247" t="str">
        <f t="shared" ref="A1122:A1190" si="70">"RJA-" &amp; UPPER(LEFT(D1122, 4)) &amp; "-" &amp; TEXT(ROW(), "0000")</f>
        <v>RJA-WELC-1122</v>
      </c>
      <c r="B1122" s="248" t="s">
        <v>31</v>
      </c>
      <c r="C1122" s="249" t="s">
        <v>2561</v>
      </c>
      <c r="D1122" s="248" t="s">
        <v>341</v>
      </c>
      <c r="E1122" s="250" t="s">
        <v>2423</v>
      </c>
      <c r="F1122" s="248" t="str">
        <f t="shared" ref="F1122:F1199" si="71">IF(G1122=0, "Habis", IF(G1122&lt;=2, "Menipis", "Tersedia"))</f>
        <v>Tersedia</v>
      </c>
      <c r="G1122" s="56">
        <v>5.0</v>
      </c>
      <c r="H1122" s="251">
        <v>28305.0</v>
      </c>
      <c r="I1122" s="251">
        <v>60000.0</v>
      </c>
      <c r="J1122" s="251">
        <v>31695.0</v>
      </c>
      <c r="K1122" s="252">
        <v>1.12</v>
      </c>
    </row>
    <row r="1123" ht="27.75" customHeight="1">
      <c r="A1123" s="247" t="str">
        <f t="shared" si="70"/>
        <v>RJA-WELC-1123</v>
      </c>
      <c r="B1123" s="248" t="s">
        <v>31</v>
      </c>
      <c r="C1123" s="249" t="s">
        <v>3924</v>
      </c>
      <c r="D1123" s="248" t="s">
        <v>341</v>
      </c>
      <c r="E1123" s="250" t="s">
        <v>3925</v>
      </c>
      <c r="F1123" s="248" t="str">
        <f t="shared" si="71"/>
        <v>Tersedia</v>
      </c>
      <c r="G1123" s="56">
        <v>4.0</v>
      </c>
      <c r="H1123" s="251">
        <v>63270.0</v>
      </c>
      <c r="I1123" s="251">
        <v>130000.0</v>
      </c>
      <c r="J1123" s="251">
        <v>66730.0</v>
      </c>
      <c r="K1123" s="252">
        <v>1.05</v>
      </c>
    </row>
    <row r="1124" ht="27.75" customHeight="1">
      <c r="A1124" s="247" t="str">
        <f t="shared" si="70"/>
        <v>RJA-WELC-1124</v>
      </c>
      <c r="B1124" s="248" t="s">
        <v>31</v>
      </c>
      <c r="C1124" s="249" t="s">
        <v>3927</v>
      </c>
      <c r="D1124" s="248" t="s">
        <v>341</v>
      </c>
      <c r="E1124" s="250" t="s">
        <v>2953</v>
      </c>
      <c r="F1124" s="248" t="str">
        <f t="shared" si="71"/>
        <v>Menipis</v>
      </c>
      <c r="G1124" s="56">
        <v>2.0</v>
      </c>
      <c r="H1124" s="251">
        <v>53000.0</v>
      </c>
      <c r="I1124" s="251">
        <v>100000.0</v>
      </c>
      <c r="J1124" s="251">
        <v>47000.0</v>
      </c>
      <c r="K1124" s="252">
        <v>0.89</v>
      </c>
    </row>
    <row r="1125" ht="27.75" customHeight="1">
      <c r="A1125" s="247" t="str">
        <f t="shared" si="70"/>
        <v>RJA-WELC-1125</v>
      </c>
      <c r="B1125" s="248" t="s">
        <v>31</v>
      </c>
      <c r="C1125" s="249" t="s">
        <v>3979</v>
      </c>
      <c r="D1125" s="248" t="s">
        <v>341</v>
      </c>
      <c r="E1125" s="250" t="s">
        <v>177</v>
      </c>
      <c r="F1125" s="248" t="str">
        <f t="shared" si="71"/>
        <v>Menipis</v>
      </c>
      <c r="G1125" s="56">
        <v>2.0</v>
      </c>
      <c r="H1125" s="251">
        <v>105000.0</v>
      </c>
      <c r="I1125" s="251">
        <v>180000.0</v>
      </c>
      <c r="J1125" s="251">
        <v>75000.0</v>
      </c>
      <c r="K1125" s="252">
        <v>0.71</v>
      </c>
    </row>
    <row r="1126" ht="27.75" customHeight="1">
      <c r="A1126" s="247" t="str">
        <f t="shared" si="70"/>
        <v>RJA-WELC-1126</v>
      </c>
      <c r="B1126" s="248" t="s">
        <v>31</v>
      </c>
      <c r="C1126" s="249" t="s">
        <v>3981</v>
      </c>
      <c r="D1126" s="248" t="s">
        <v>341</v>
      </c>
      <c r="E1126" s="250" t="s">
        <v>177</v>
      </c>
      <c r="F1126" s="248" t="str">
        <f t="shared" si="71"/>
        <v>Menipis</v>
      </c>
      <c r="G1126" s="56">
        <v>1.0</v>
      </c>
      <c r="H1126" s="251">
        <v>150000.0</v>
      </c>
      <c r="I1126" s="251">
        <v>220000.0</v>
      </c>
      <c r="J1126" s="251">
        <v>70000.0</v>
      </c>
      <c r="K1126" s="252">
        <v>0.47</v>
      </c>
    </row>
    <row r="1127" ht="27.75" customHeight="1">
      <c r="A1127" s="247" t="str">
        <f t="shared" si="70"/>
        <v>RJA-ACOM-1127</v>
      </c>
      <c r="B1127" s="248" t="s">
        <v>31</v>
      </c>
      <c r="C1127" s="249" t="s">
        <v>3929</v>
      </c>
      <c r="D1127" s="248" t="s">
        <v>64</v>
      </c>
      <c r="E1127" s="250" t="s">
        <v>2953</v>
      </c>
      <c r="F1127" s="248" t="str">
        <f t="shared" si="71"/>
        <v>Menipis</v>
      </c>
      <c r="G1127" s="56">
        <v>2.0</v>
      </c>
      <c r="H1127" s="251">
        <v>30000.0</v>
      </c>
      <c r="I1127" s="251">
        <v>60000.0</v>
      </c>
      <c r="J1127" s="251">
        <v>30000.0</v>
      </c>
      <c r="K1127" s="252">
        <v>1.0</v>
      </c>
    </row>
    <row r="1128" ht="27.75" customHeight="1">
      <c r="A1128" s="247" t="str">
        <f t="shared" si="70"/>
        <v>RJA-NO B-1128</v>
      </c>
      <c r="B1128" s="248" t="s">
        <v>31</v>
      </c>
      <c r="C1128" s="249" t="s">
        <v>3630</v>
      </c>
      <c r="D1128" s="248" t="s">
        <v>363</v>
      </c>
      <c r="E1128" s="250" t="s">
        <v>1232</v>
      </c>
      <c r="F1128" s="248" t="str">
        <f t="shared" si="71"/>
        <v>Menipis</v>
      </c>
      <c r="G1128" s="56">
        <v>1.0</v>
      </c>
      <c r="H1128" s="251">
        <v>26500.0</v>
      </c>
      <c r="I1128" s="251">
        <v>50000.0</v>
      </c>
      <c r="J1128" s="251">
        <v>23500.0</v>
      </c>
      <c r="K1128" s="252">
        <v>0.89</v>
      </c>
    </row>
    <row r="1129" ht="27.75" customHeight="1">
      <c r="A1129" s="247" t="str">
        <f t="shared" si="70"/>
        <v>RJA-ROBO-1129</v>
      </c>
      <c r="B1129" s="248" t="s">
        <v>31</v>
      </c>
      <c r="C1129" s="249" t="s">
        <v>2563</v>
      </c>
      <c r="D1129" s="248" t="s">
        <v>1112</v>
      </c>
      <c r="E1129" s="250" t="s">
        <v>2423</v>
      </c>
      <c r="F1129" s="248" t="str">
        <f t="shared" si="71"/>
        <v>Tersedia</v>
      </c>
      <c r="G1129" s="56">
        <v>5.0</v>
      </c>
      <c r="H1129" s="251">
        <v>24400.0</v>
      </c>
      <c r="I1129" s="251">
        <v>50000.0</v>
      </c>
      <c r="J1129" s="251">
        <v>25600.0</v>
      </c>
      <c r="K1129" s="252">
        <v>1.05</v>
      </c>
    </row>
    <row r="1130" ht="27.75" customHeight="1">
      <c r="A1130" s="247" t="str">
        <f t="shared" si="70"/>
        <v>RJA-ROBO-1130</v>
      </c>
      <c r="B1130" s="248" t="s">
        <v>31</v>
      </c>
      <c r="C1130" s="249" t="s">
        <v>2565</v>
      </c>
      <c r="D1130" s="248" t="s">
        <v>1112</v>
      </c>
      <c r="E1130" s="250" t="s">
        <v>2423</v>
      </c>
      <c r="F1130" s="248" t="str">
        <f t="shared" si="71"/>
        <v>Menipis</v>
      </c>
      <c r="G1130" s="56">
        <v>2.0</v>
      </c>
      <c r="H1130" s="251">
        <v>22400.0</v>
      </c>
      <c r="I1130" s="251">
        <v>45000.0</v>
      </c>
      <c r="J1130" s="251">
        <v>22600.0</v>
      </c>
      <c r="K1130" s="252">
        <v>1.01</v>
      </c>
    </row>
    <row r="1131" ht="27.75" customHeight="1">
      <c r="A1131" s="247" t="str">
        <f t="shared" si="70"/>
        <v>RJA-ROBO-1131</v>
      </c>
      <c r="B1131" s="248" t="s">
        <v>31</v>
      </c>
      <c r="C1131" s="249" t="s">
        <v>2567</v>
      </c>
      <c r="D1131" s="248" t="s">
        <v>1112</v>
      </c>
      <c r="E1131" s="250" t="s">
        <v>2423</v>
      </c>
      <c r="F1131" s="248" t="str">
        <f t="shared" si="71"/>
        <v>Tersedia</v>
      </c>
      <c r="G1131" s="56">
        <v>4.0</v>
      </c>
      <c r="H1131" s="251">
        <v>40600.0</v>
      </c>
      <c r="I1131" s="251">
        <v>75000.0</v>
      </c>
      <c r="J1131" s="251">
        <v>34400.0</v>
      </c>
      <c r="K1131" s="252">
        <v>0.85</v>
      </c>
    </row>
    <row r="1132" ht="27.75" customHeight="1">
      <c r="A1132" s="247" t="str">
        <f t="shared" si="70"/>
        <v>RJA-ROBO-1132</v>
      </c>
      <c r="B1132" s="248" t="s">
        <v>31</v>
      </c>
      <c r="C1132" s="249" t="s">
        <v>3614</v>
      </c>
      <c r="D1132" s="248" t="s">
        <v>1112</v>
      </c>
      <c r="E1132" s="250" t="s">
        <v>1900</v>
      </c>
      <c r="F1132" s="248" t="str">
        <f t="shared" si="71"/>
        <v>Menipis</v>
      </c>
      <c r="G1132" s="56">
        <v>1.0</v>
      </c>
      <c r="H1132" s="251">
        <v>56000.0</v>
      </c>
      <c r="I1132" s="251">
        <v>100000.0</v>
      </c>
      <c r="J1132" s="251">
        <v>44000.0</v>
      </c>
      <c r="K1132" s="252">
        <v>0.79</v>
      </c>
    </row>
    <row r="1133" ht="27.75" customHeight="1">
      <c r="A1133" s="247" t="str">
        <f t="shared" si="70"/>
        <v>RJA-VIVA-1133</v>
      </c>
      <c r="B1133" s="248" t="s">
        <v>31</v>
      </c>
      <c r="C1133" s="249" t="s">
        <v>4406</v>
      </c>
      <c r="D1133" s="248" t="s">
        <v>33</v>
      </c>
      <c r="E1133" s="250" t="s">
        <v>1900</v>
      </c>
      <c r="F1133" s="248" t="str">
        <f t="shared" si="71"/>
        <v>Menipis</v>
      </c>
      <c r="G1133" s="56">
        <v>1.0</v>
      </c>
      <c r="H1133" s="251">
        <v>55000.0</v>
      </c>
      <c r="I1133" s="251">
        <v>100000.0</v>
      </c>
      <c r="J1133" s="251">
        <v>45000.0</v>
      </c>
      <c r="K1133" s="252">
        <v>0.82</v>
      </c>
    </row>
    <row r="1134" ht="27.75" customHeight="1">
      <c r="A1134" s="247" t="str">
        <f t="shared" si="70"/>
        <v>RJA-ROBO-1134</v>
      </c>
      <c r="B1134" s="248" t="s">
        <v>31</v>
      </c>
      <c r="C1134" s="249" t="s">
        <v>3616</v>
      </c>
      <c r="D1134" s="248" t="s">
        <v>1112</v>
      </c>
      <c r="E1134" s="250" t="s">
        <v>1900</v>
      </c>
      <c r="F1134" s="248" t="str">
        <f t="shared" si="71"/>
        <v>Menipis</v>
      </c>
      <c r="G1134" s="56">
        <v>1.0</v>
      </c>
      <c r="H1134" s="251">
        <v>40000.0</v>
      </c>
      <c r="I1134" s="251">
        <v>75000.0</v>
      </c>
      <c r="J1134" s="251">
        <v>35000.0</v>
      </c>
      <c r="K1134" s="252">
        <v>0.88</v>
      </c>
    </row>
    <row r="1135" ht="27.75" customHeight="1">
      <c r="A1135" s="247" t="str">
        <f t="shared" si="70"/>
        <v>RJA-ROBO-1135</v>
      </c>
      <c r="B1135" s="248" t="s">
        <v>31</v>
      </c>
      <c r="C1135" s="249" t="s">
        <v>3618</v>
      </c>
      <c r="D1135" s="248" t="s">
        <v>1112</v>
      </c>
      <c r="E1135" s="250" t="s">
        <v>1900</v>
      </c>
      <c r="F1135" s="248" t="str">
        <f t="shared" si="71"/>
        <v>Menipis</v>
      </c>
      <c r="G1135" s="56">
        <v>1.0</v>
      </c>
      <c r="H1135" s="251">
        <v>47000.0</v>
      </c>
      <c r="I1135" s="251">
        <v>95000.0</v>
      </c>
      <c r="J1135" s="251">
        <v>48000.0</v>
      </c>
      <c r="K1135" s="252">
        <v>1.02</v>
      </c>
    </row>
    <row r="1136" ht="27.75" customHeight="1">
      <c r="A1136" s="247" t="str">
        <f t="shared" si="70"/>
        <v>RJA-IPHO-1136</v>
      </c>
      <c r="B1136" s="248" t="s">
        <v>1172</v>
      </c>
      <c r="C1136" s="249" t="s">
        <v>2933</v>
      </c>
      <c r="D1136" s="248" t="s">
        <v>2837</v>
      </c>
      <c r="E1136" s="250" t="s">
        <v>2934</v>
      </c>
      <c r="F1136" s="248" t="str">
        <f t="shared" si="71"/>
        <v>Tersedia</v>
      </c>
      <c r="G1136" s="56">
        <v>3.0</v>
      </c>
      <c r="H1136" s="251">
        <v>17500.0</v>
      </c>
      <c r="I1136" s="251">
        <v>35000.0</v>
      </c>
      <c r="J1136" s="251">
        <v>17500.0</v>
      </c>
      <c r="K1136" s="252">
        <v>1.0</v>
      </c>
    </row>
    <row r="1137" ht="27.75" customHeight="1">
      <c r="A1137" s="247" t="str">
        <f t="shared" si="70"/>
        <v>RJA-NO B-1137</v>
      </c>
      <c r="B1137" s="248" t="s">
        <v>1172</v>
      </c>
      <c r="C1137" s="249" t="s">
        <v>2727</v>
      </c>
      <c r="D1137" s="248" t="s">
        <v>1248</v>
      </c>
      <c r="E1137" s="250" t="s">
        <v>2728</v>
      </c>
      <c r="F1137" s="248" t="str">
        <f t="shared" si="71"/>
        <v>Tersedia</v>
      </c>
      <c r="G1137" s="56">
        <v>5.0</v>
      </c>
      <c r="H1137" s="251">
        <v>6000.0</v>
      </c>
      <c r="I1137" s="251">
        <v>20000.0</v>
      </c>
      <c r="J1137" s="251">
        <v>14000.0</v>
      </c>
      <c r="K1137" s="252">
        <v>2.33</v>
      </c>
    </row>
    <row r="1138" ht="27.75" customHeight="1">
      <c r="A1138" s="247" t="str">
        <f t="shared" si="70"/>
        <v>RJA-ALIE-1138</v>
      </c>
      <c r="B1138" s="248" t="s">
        <v>1172</v>
      </c>
      <c r="C1138" s="249" t="s">
        <v>2936</v>
      </c>
      <c r="D1138" s="248" t="s">
        <v>510</v>
      </c>
      <c r="E1138" s="250" t="s">
        <v>2934</v>
      </c>
      <c r="F1138" s="248" t="str">
        <f t="shared" si="71"/>
        <v>Menipis</v>
      </c>
      <c r="G1138" s="56">
        <v>2.0</v>
      </c>
      <c r="H1138" s="251">
        <v>17000.0</v>
      </c>
      <c r="I1138" s="251">
        <v>35000.0</v>
      </c>
      <c r="J1138" s="251">
        <v>18000.0</v>
      </c>
      <c r="K1138" s="252">
        <v>1.06</v>
      </c>
    </row>
    <row r="1139" ht="27.75" customHeight="1">
      <c r="A1139" s="247" t="str">
        <f t="shared" si="70"/>
        <v>RJA-LANE-1139</v>
      </c>
      <c r="B1139" s="248" t="s">
        <v>1172</v>
      </c>
      <c r="C1139" s="249" t="s">
        <v>2938</v>
      </c>
      <c r="D1139" s="248" t="s">
        <v>2410</v>
      </c>
      <c r="E1139" s="250" t="s">
        <v>2934</v>
      </c>
      <c r="F1139" s="248" t="str">
        <f t="shared" si="71"/>
        <v>Menipis</v>
      </c>
      <c r="G1139" s="56">
        <v>1.0</v>
      </c>
      <c r="H1139" s="251">
        <v>15000.0</v>
      </c>
      <c r="I1139" s="251">
        <v>30000.0</v>
      </c>
      <c r="J1139" s="251">
        <v>15000.0</v>
      </c>
      <c r="K1139" s="252">
        <v>1.0</v>
      </c>
    </row>
    <row r="1140" ht="27.75" customHeight="1">
      <c r="A1140" s="247" t="str">
        <f t="shared" si="70"/>
        <v>RJA-NO B-1140</v>
      </c>
      <c r="B1140" s="248" t="s">
        <v>1172</v>
      </c>
      <c r="C1140" s="249" t="s">
        <v>3625</v>
      </c>
      <c r="D1140" s="248" t="s">
        <v>1248</v>
      </c>
      <c r="E1140" s="250" t="s">
        <v>1232</v>
      </c>
      <c r="F1140" s="248" t="str">
        <f t="shared" si="71"/>
        <v>Menipis</v>
      </c>
      <c r="G1140" s="56">
        <v>2.0</v>
      </c>
      <c r="H1140" s="251">
        <v>10000.0</v>
      </c>
      <c r="I1140" s="251">
        <v>20000.0</v>
      </c>
      <c r="J1140" s="251">
        <v>10000.0</v>
      </c>
      <c r="K1140" s="252">
        <v>1.0</v>
      </c>
    </row>
    <row r="1141" ht="27.75" customHeight="1">
      <c r="A1141" s="247" t="str">
        <f t="shared" si="70"/>
        <v>RJA-UCOM-1141</v>
      </c>
      <c r="B1141" s="248" t="s">
        <v>1172</v>
      </c>
      <c r="C1141" s="249" t="s">
        <v>3685</v>
      </c>
      <c r="D1141" s="248" t="s">
        <v>2859</v>
      </c>
      <c r="E1141" s="250" t="s">
        <v>1232</v>
      </c>
      <c r="F1141" s="248" t="str">
        <f t="shared" si="71"/>
        <v>Menipis</v>
      </c>
      <c r="G1141" s="56">
        <v>1.0</v>
      </c>
      <c r="H1141" s="251">
        <v>24500.0</v>
      </c>
      <c r="I1141" s="251">
        <v>50000.0</v>
      </c>
      <c r="J1141" s="251">
        <v>25500.0</v>
      </c>
      <c r="K1141" s="252">
        <v>1.04</v>
      </c>
    </row>
    <row r="1142" ht="27.75" customHeight="1">
      <c r="A1142" s="247" t="str">
        <f t="shared" si="70"/>
        <v>RJA-FLEC-1142</v>
      </c>
      <c r="B1142" s="248" t="s">
        <v>1172</v>
      </c>
      <c r="C1142" s="249" t="s">
        <v>1646</v>
      </c>
      <c r="D1142" s="248" t="s">
        <v>1648</v>
      </c>
      <c r="E1142" s="250" t="s">
        <v>1649</v>
      </c>
      <c r="F1142" s="248" t="str">
        <f t="shared" si="71"/>
        <v>Menipis</v>
      </c>
      <c r="G1142" s="56">
        <v>2.0</v>
      </c>
      <c r="H1142" s="251">
        <v>14000.0</v>
      </c>
      <c r="I1142" s="251">
        <v>25000.0</v>
      </c>
      <c r="J1142" s="251">
        <v>11000.0</v>
      </c>
      <c r="K1142" s="252">
        <v>0.79</v>
      </c>
    </row>
    <row r="1143" ht="27.75" customHeight="1">
      <c r="A1143" s="247" t="str">
        <f t="shared" si="70"/>
        <v>RJA-VIBO-1143</v>
      </c>
      <c r="B1143" s="248" t="s">
        <v>1172</v>
      </c>
      <c r="C1143" s="249" t="s">
        <v>3009</v>
      </c>
      <c r="D1143" s="248" t="s">
        <v>1675</v>
      </c>
      <c r="E1143" s="250" t="s">
        <v>1854</v>
      </c>
      <c r="F1143" s="248" t="str">
        <f t="shared" si="71"/>
        <v>Menipis</v>
      </c>
      <c r="G1143" s="56">
        <v>2.0</v>
      </c>
      <c r="H1143" s="251">
        <v>11000.0</v>
      </c>
      <c r="I1143" s="251">
        <v>30000.0</v>
      </c>
      <c r="J1143" s="251">
        <v>19000.0</v>
      </c>
      <c r="K1143" s="252">
        <v>1.73</v>
      </c>
    </row>
    <row r="1144" ht="27.75" customHeight="1">
      <c r="A1144" s="247" t="str">
        <f t="shared" si="70"/>
        <v>RJA-VIBO-1144</v>
      </c>
      <c r="B1144" s="248" t="s">
        <v>1172</v>
      </c>
      <c r="C1144" s="249" t="s">
        <v>1673</v>
      </c>
      <c r="D1144" s="248" t="s">
        <v>1675</v>
      </c>
      <c r="E1144" s="250" t="s">
        <v>1649</v>
      </c>
      <c r="F1144" s="248" t="str">
        <f t="shared" si="71"/>
        <v>Tersedia</v>
      </c>
      <c r="G1144" s="56">
        <v>3.0</v>
      </c>
      <c r="H1144" s="251">
        <v>9000.0</v>
      </c>
      <c r="I1144" s="251">
        <v>20000.0</v>
      </c>
      <c r="J1144" s="251">
        <v>11000.0</v>
      </c>
      <c r="K1144" s="252">
        <v>1.22</v>
      </c>
    </row>
    <row r="1145" ht="27.75" customHeight="1">
      <c r="A1145" s="247" t="str">
        <f t="shared" si="70"/>
        <v>RJA-LOG -1145</v>
      </c>
      <c r="B1145" s="248" t="s">
        <v>1172</v>
      </c>
      <c r="C1145" s="249" t="s">
        <v>1697</v>
      </c>
      <c r="D1145" s="248" t="s">
        <v>1699</v>
      </c>
      <c r="E1145" s="250" t="s">
        <v>1649</v>
      </c>
      <c r="F1145" s="248" t="str">
        <f t="shared" si="71"/>
        <v>Menipis</v>
      </c>
      <c r="G1145" s="56">
        <v>1.0</v>
      </c>
      <c r="H1145" s="251">
        <v>18500.0</v>
      </c>
      <c r="I1145" s="251">
        <v>35000.0</v>
      </c>
      <c r="J1145" s="251">
        <v>16500.0</v>
      </c>
      <c r="K1145" s="252">
        <v>0.89</v>
      </c>
    </row>
    <row r="1146" ht="27.75" customHeight="1">
      <c r="A1146" s="247" t="str">
        <f t="shared" si="70"/>
        <v>RJA-NO B-1146</v>
      </c>
      <c r="B1146" s="248" t="s">
        <v>1172</v>
      </c>
      <c r="C1146" s="249" t="s">
        <v>2730</v>
      </c>
      <c r="D1146" s="248" t="s">
        <v>1248</v>
      </c>
      <c r="E1146" s="250" t="s">
        <v>1205</v>
      </c>
      <c r="F1146" s="248" t="str">
        <f t="shared" si="71"/>
        <v>Menipis</v>
      </c>
      <c r="G1146" s="56">
        <v>1.0</v>
      </c>
      <c r="H1146" s="251">
        <v>7500.0</v>
      </c>
      <c r="I1146" s="251">
        <v>20000.0</v>
      </c>
      <c r="J1146" s="251">
        <v>12500.0</v>
      </c>
      <c r="K1146" s="252">
        <v>1.67</v>
      </c>
    </row>
    <row r="1147" ht="27.75" customHeight="1">
      <c r="A1147" s="247" t="str">
        <f t="shared" si="70"/>
        <v>RJA-SAMS-1147</v>
      </c>
      <c r="B1147" s="248" t="s">
        <v>1172</v>
      </c>
      <c r="C1147" s="249" t="s">
        <v>2986</v>
      </c>
      <c r="D1147" s="248" t="s">
        <v>945</v>
      </c>
      <c r="E1147" s="250" t="s">
        <v>116</v>
      </c>
      <c r="F1147" s="248" t="str">
        <f t="shared" si="71"/>
        <v>Menipis</v>
      </c>
      <c r="G1147" s="56">
        <v>1.0</v>
      </c>
      <c r="H1147" s="251">
        <v>30000.0</v>
      </c>
      <c r="I1147" s="251">
        <v>60000.0</v>
      </c>
      <c r="J1147" s="251">
        <v>30000.0</v>
      </c>
      <c r="K1147" s="252">
        <v>1.0</v>
      </c>
    </row>
    <row r="1148" ht="27.75" customHeight="1">
      <c r="A1148" s="247" t="str">
        <f t="shared" si="70"/>
        <v>RJA-SAND-1148</v>
      </c>
      <c r="B1148" s="248" t="s">
        <v>1172</v>
      </c>
      <c r="C1148" s="249" t="s">
        <v>2988</v>
      </c>
      <c r="D1148" s="248" t="s">
        <v>2854</v>
      </c>
      <c r="E1148" s="250" t="s">
        <v>116</v>
      </c>
      <c r="F1148" s="248" t="str">
        <f t="shared" si="71"/>
        <v>Menipis</v>
      </c>
      <c r="G1148" s="56">
        <v>1.0</v>
      </c>
      <c r="H1148" s="251">
        <v>30000.0</v>
      </c>
      <c r="I1148" s="251">
        <v>60000.0</v>
      </c>
      <c r="J1148" s="251">
        <v>30000.0</v>
      </c>
      <c r="K1148" s="252">
        <v>1.0</v>
      </c>
    </row>
    <row r="1149" ht="27.75" customHeight="1">
      <c r="A1149" s="247" t="str">
        <f t="shared" si="70"/>
        <v>RJA-NO B-1149</v>
      </c>
      <c r="B1149" s="248" t="s">
        <v>1172</v>
      </c>
      <c r="C1149" s="249" t="s">
        <v>2732</v>
      </c>
      <c r="D1149" s="248" t="s">
        <v>1248</v>
      </c>
      <c r="E1149" s="250" t="s">
        <v>1205</v>
      </c>
      <c r="F1149" s="248" t="str">
        <f t="shared" si="71"/>
        <v>Menipis</v>
      </c>
      <c r="G1149" s="56">
        <v>1.0</v>
      </c>
      <c r="H1149" s="251">
        <v>6000.0</v>
      </c>
      <c r="I1149" s="251">
        <v>20000.0</v>
      </c>
      <c r="J1149" s="251">
        <v>14000.0</v>
      </c>
      <c r="K1149" s="252">
        <v>2.33</v>
      </c>
    </row>
    <row r="1150" ht="27.75" customHeight="1">
      <c r="A1150" s="253" t="str">
        <f t="shared" si="70"/>
        <v>RJA-NO B-1150</v>
      </c>
      <c r="B1150" s="248" t="s">
        <v>1172</v>
      </c>
      <c r="C1150" s="249" t="s">
        <v>2965</v>
      </c>
      <c r="D1150" s="248" t="s">
        <v>1248</v>
      </c>
      <c r="E1150" s="250" t="s">
        <v>1232</v>
      </c>
      <c r="F1150" s="248" t="str">
        <f t="shared" si="71"/>
        <v>Menipis</v>
      </c>
      <c r="G1150" s="56">
        <v>1.0</v>
      </c>
      <c r="H1150" s="251">
        <v>50000.0</v>
      </c>
      <c r="I1150" s="251">
        <v>85000.0</v>
      </c>
      <c r="J1150" s="251">
        <v>35000.0</v>
      </c>
      <c r="K1150" s="252">
        <v>0.7</v>
      </c>
    </row>
    <row r="1151" ht="27.75" customHeight="1">
      <c r="A1151" s="253" t="str">
        <f t="shared" si="70"/>
        <v>RJA-NO B-1151</v>
      </c>
      <c r="B1151" s="248" t="s">
        <v>1172</v>
      </c>
      <c r="C1151" s="249" t="s">
        <v>1555</v>
      </c>
      <c r="D1151" s="248" t="s">
        <v>1248</v>
      </c>
      <c r="E1151" s="250" t="s">
        <v>1272</v>
      </c>
      <c r="F1151" s="248" t="str">
        <f t="shared" si="71"/>
        <v>Menipis</v>
      </c>
      <c r="G1151" s="56">
        <v>2.0</v>
      </c>
      <c r="H1151" s="251">
        <v>15000.0</v>
      </c>
      <c r="I1151" s="251">
        <v>35000.0</v>
      </c>
      <c r="J1151" s="251">
        <v>20000.0</v>
      </c>
      <c r="K1151" s="252">
        <v>1.33</v>
      </c>
    </row>
    <row r="1152" ht="27.75" customHeight="1">
      <c r="A1152" s="253" t="str">
        <f t="shared" si="70"/>
        <v>RJA-NO B-1152</v>
      </c>
      <c r="B1152" s="248" t="s">
        <v>1172</v>
      </c>
      <c r="C1152" s="249" t="s">
        <v>3651</v>
      </c>
      <c r="D1152" s="248" t="s">
        <v>1248</v>
      </c>
      <c r="E1152" s="250" t="s">
        <v>3415</v>
      </c>
      <c r="F1152" s="248" t="str">
        <f t="shared" si="71"/>
        <v>Menipis</v>
      </c>
      <c r="G1152" s="56">
        <v>2.0</v>
      </c>
      <c r="H1152" s="251">
        <v>62500.0</v>
      </c>
      <c r="I1152" s="251">
        <v>160000.0</v>
      </c>
      <c r="J1152" s="251">
        <v>97500.0</v>
      </c>
      <c r="K1152" s="252">
        <v>1.56</v>
      </c>
    </row>
    <row r="1153" ht="27.75" customHeight="1">
      <c r="A1153" s="247" t="str">
        <f t="shared" si="70"/>
        <v>RJA-NO B-1153</v>
      </c>
      <c r="B1153" s="248" t="s">
        <v>1172</v>
      </c>
      <c r="C1153" s="249" t="s">
        <v>2569</v>
      </c>
      <c r="D1153" s="248" t="s">
        <v>1248</v>
      </c>
      <c r="E1153" s="250" t="s">
        <v>753</v>
      </c>
      <c r="F1153" s="248" t="str">
        <f t="shared" si="71"/>
        <v>Tersedia</v>
      </c>
      <c r="G1153" s="56">
        <v>4.0</v>
      </c>
      <c r="H1153" s="251">
        <v>23000.0</v>
      </c>
      <c r="I1153" s="251">
        <v>60000.0</v>
      </c>
      <c r="J1153" s="251">
        <v>37000.0</v>
      </c>
      <c r="K1153" s="252">
        <v>1.61</v>
      </c>
    </row>
    <row r="1154" ht="27.75" customHeight="1">
      <c r="A1154" s="253" t="str">
        <f t="shared" si="70"/>
        <v>RJA-WINS-1154</v>
      </c>
      <c r="B1154" s="248" t="s">
        <v>1172</v>
      </c>
      <c r="C1154" s="249" t="s">
        <v>3653</v>
      </c>
      <c r="D1154" s="248" t="s">
        <v>2865</v>
      </c>
      <c r="E1154" s="250" t="s">
        <v>3415</v>
      </c>
      <c r="F1154" s="248" t="str">
        <f t="shared" si="71"/>
        <v>Menipis</v>
      </c>
      <c r="G1154" s="56">
        <v>1.0</v>
      </c>
      <c r="H1154" s="251">
        <v>82500.0</v>
      </c>
      <c r="I1154" s="251">
        <v>175000.0</v>
      </c>
      <c r="J1154" s="251">
        <v>92500.0</v>
      </c>
      <c r="K1154" s="252">
        <v>1.12</v>
      </c>
    </row>
    <row r="1155" ht="27.75" customHeight="1">
      <c r="A1155" s="253" t="str">
        <f t="shared" si="70"/>
        <v>RJA-JASP-1155</v>
      </c>
      <c r="B1155" s="248" t="s">
        <v>1172</v>
      </c>
      <c r="C1155" s="249" t="s">
        <v>3655</v>
      </c>
      <c r="D1155" s="248" t="s">
        <v>2838</v>
      </c>
      <c r="E1155" s="250" t="s">
        <v>3415</v>
      </c>
      <c r="F1155" s="248" t="str">
        <f t="shared" si="71"/>
        <v>Menipis</v>
      </c>
      <c r="G1155" s="56">
        <v>2.0</v>
      </c>
      <c r="H1155" s="251">
        <v>32000.0</v>
      </c>
      <c r="I1155" s="251">
        <v>65000.0</v>
      </c>
      <c r="J1155" s="251">
        <v>33000.0</v>
      </c>
      <c r="K1155" s="252">
        <v>1.03</v>
      </c>
    </row>
    <row r="1156" ht="27.75" customHeight="1">
      <c r="A1156" s="253" t="str">
        <f t="shared" si="70"/>
        <v>RJA-NO B-1156</v>
      </c>
      <c r="B1156" s="248" t="s">
        <v>1172</v>
      </c>
      <c r="C1156" s="249" t="s">
        <v>3657</v>
      </c>
      <c r="D1156" s="248" t="s">
        <v>1248</v>
      </c>
      <c r="E1156" s="250" t="s">
        <v>3415</v>
      </c>
      <c r="F1156" s="248" t="str">
        <f t="shared" si="71"/>
        <v>Menipis</v>
      </c>
      <c r="G1156" s="56">
        <v>1.0</v>
      </c>
      <c r="H1156" s="251">
        <v>65000.0</v>
      </c>
      <c r="I1156" s="251">
        <v>150000.0</v>
      </c>
      <c r="J1156" s="251">
        <v>85000.0</v>
      </c>
      <c r="K1156" s="252">
        <v>1.31</v>
      </c>
    </row>
    <row r="1157" ht="27.75" customHeight="1">
      <c r="A1157" s="253" t="str">
        <f t="shared" si="70"/>
        <v>RJA-NO B-1157</v>
      </c>
      <c r="B1157" s="248" t="s">
        <v>1172</v>
      </c>
      <c r="C1157" s="249" t="s">
        <v>3659</v>
      </c>
      <c r="D1157" s="248" t="s">
        <v>1248</v>
      </c>
      <c r="E1157" s="250" t="s">
        <v>3415</v>
      </c>
      <c r="F1157" s="248" t="str">
        <f t="shared" si="71"/>
        <v>Menipis</v>
      </c>
      <c r="G1157" s="56">
        <v>2.0</v>
      </c>
      <c r="H1157" s="251">
        <v>115000.0</v>
      </c>
      <c r="I1157" s="251">
        <v>230000.0</v>
      </c>
      <c r="J1157" s="251">
        <v>115000.0</v>
      </c>
      <c r="K1157" s="252">
        <v>1.0</v>
      </c>
    </row>
    <row r="1158" ht="27.75" customHeight="1">
      <c r="A1158" s="253" t="str">
        <f t="shared" si="70"/>
        <v>RJA-AIMI-1158</v>
      </c>
      <c r="B1158" s="248" t="s">
        <v>1172</v>
      </c>
      <c r="C1158" s="249" t="s">
        <v>1229</v>
      </c>
      <c r="D1158" s="248" t="s">
        <v>1230</v>
      </c>
      <c r="E1158" s="250" t="s">
        <v>1232</v>
      </c>
      <c r="F1158" s="248" t="str">
        <f t="shared" si="71"/>
        <v>Menipis</v>
      </c>
      <c r="G1158" s="56">
        <v>2.0</v>
      </c>
      <c r="H1158" s="251">
        <v>13500.0</v>
      </c>
      <c r="I1158" s="251">
        <v>30000.0</v>
      </c>
      <c r="J1158" s="251">
        <v>16500.0</v>
      </c>
      <c r="K1158" s="252">
        <v>1.22</v>
      </c>
    </row>
    <row r="1159" ht="27.75" customHeight="1">
      <c r="A1159" s="253" t="str">
        <f t="shared" si="70"/>
        <v>RJA-WSTE-1159</v>
      </c>
      <c r="B1159" s="248" t="s">
        <v>1172</v>
      </c>
      <c r="C1159" s="249" t="s">
        <v>3661</v>
      </c>
      <c r="D1159" s="248" t="s">
        <v>2866</v>
      </c>
      <c r="E1159" s="250" t="s">
        <v>1232</v>
      </c>
      <c r="F1159" s="248" t="str">
        <f t="shared" si="71"/>
        <v>Menipis</v>
      </c>
      <c r="G1159" s="56">
        <v>1.0</v>
      </c>
      <c r="H1159" s="251">
        <v>50000.0</v>
      </c>
      <c r="I1159" s="251">
        <v>200000.0</v>
      </c>
      <c r="J1159" s="251">
        <v>150000.0</v>
      </c>
      <c r="K1159" s="252">
        <v>3.0</v>
      </c>
    </row>
    <row r="1160" ht="27.75" customHeight="1">
      <c r="A1160" s="247" t="str">
        <f t="shared" si="70"/>
        <v>RJA-NO B-1160</v>
      </c>
      <c r="B1160" s="248" t="s">
        <v>1172</v>
      </c>
      <c r="C1160" s="249" t="s">
        <v>2487</v>
      </c>
      <c r="D1160" s="248" t="s">
        <v>1248</v>
      </c>
      <c r="E1160" s="250" t="s">
        <v>1232</v>
      </c>
      <c r="F1160" s="248" t="str">
        <f t="shared" si="71"/>
        <v>Menipis</v>
      </c>
      <c r="G1160" s="56">
        <v>1.0</v>
      </c>
      <c r="H1160" s="251">
        <v>5000.0</v>
      </c>
      <c r="I1160" s="251">
        <v>10000.0</v>
      </c>
      <c r="J1160" s="251">
        <v>5000.0</v>
      </c>
      <c r="K1160" s="252">
        <v>1.0</v>
      </c>
    </row>
    <row r="1161" ht="27.75" customHeight="1">
      <c r="A1161" s="253" t="str">
        <f t="shared" si="70"/>
        <v>RJA-DAP-1161</v>
      </c>
      <c r="B1161" s="248" t="s">
        <v>1172</v>
      </c>
      <c r="C1161" s="249" t="s">
        <v>1592</v>
      </c>
      <c r="D1161" s="248" t="s">
        <v>542</v>
      </c>
      <c r="E1161" s="250" t="s">
        <v>1272</v>
      </c>
      <c r="F1161" s="248" t="str">
        <f t="shared" si="71"/>
        <v>Tersedia</v>
      </c>
      <c r="G1161" s="56">
        <v>4.0</v>
      </c>
      <c r="H1161" s="251">
        <v>15000.0</v>
      </c>
      <c r="I1161" s="251">
        <v>30000.0</v>
      </c>
      <c r="J1161" s="251">
        <v>15000.0</v>
      </c>
      <c r="K1161" s="252">
        <v>1.0</v>
      </c>
    </row>
    <row r="1162" ht="27.75" customHeight="1">
      <c r="A1162" s="247" t="str">
        <f t="shared" si="70"/>
        <v>RJA-SOON-1162</v>
      </c>
      <c r="B1162" s="248" t="s">
        <v>1172</v>
      </c>
      <c r="C1162" s="249" t="s">
        <v>3663</v>
      </c>
      <c r="D1162" s="248" t="s">
        <v>2856</v>
      </c>
      <c r="E1162" s="250" t="s">
        <v>3415</v>
      </c>
      <c r="F1162" s="248" t="str">
        <f t="shared" si="71"/>
        <v>Menipis</v>
      </c>
      <c r="G1162" s="56">
        <v>1.0</v>
      </c>
      <c r="H1162" s="251">
        <v>110000.0</v>
      </c>
      <c r="I1162" s="251">
        <v>225000.0</v>
      </c>
      <c r="J1162" s="251">
        <v>115000.0</v>
      </c>
      <c r="K1162" s="252">
        <v>1.05</v>
      </c>
    </row>
    <row r="1163" ht="27.75" customHeight="1">
      <c r="A1163" s="247" t="str">
        <f t="shared" si="70"/>
        <v>RJA-NO B-1163</v>
      </c>
      <c r="B1163" s="248" t="s">
        <v>1172</v>
      </c>
      <c r="C1163" s="249" t="s">
        <v>2673</v>
      </c>
      <c r="D1163" s="248" t="s">
        <v>1248</v>
      </c>
      <c r="E1163" s="250" t="s">
        <v>2728</v>
      </c>
      <c r="F1163" s="248" t="str">
        <f t="shared" si="71"/>
        <v>Menipis</v>
      </c>
      <c r="G1163" s="56">
        <v>1.0</v>
      </c>
      <c r="H1163" s="251">
        <v>13000.0</v>
      </c>
      <c r="I1163" s="251">
        <v>25000.0</v>
      </c>
      <c r="J1163" s="251">
        <v>12000.0</v>
      </c>
      <c r="K1163" s="252">
        <v>0.92</v>
      </c>
    </row>
    <row r="1164" ht="27.75" customHeight="1">
      <c r="A1164" s="253" t="str">
        <f t="shared" si="70"/>
        <v>RJA-NO B-1164</v>
      </c>
      <c r="B1164" s="248" t="s">
        <v>1172</v>
      </c>
      <c r="C1164" s="249" t="s">
        <v>2735</v>
      </c>
      <c r="D1164" s="248" t="s">
        <v>1248</v>
      </c>
      <c r="E1164" s="250" t="s">
        <v>2728</v>
      </c>
      <c r="F1164" s="248" t="str">
        <f t="shared" si="71"/>
        <v>Tersedia</v>
      </c>
      <c r="G1164" s="56">
        <v>3.0</v>
      </c>
      <c r="H1164" s="251">
        <v>25000.0</v>
      </c>
      <c r="I1164" s="251">
        <v>45000.0</v>
      </c>
      <c r="J1164" s="251">
        <v>20000.0</v>
      </c>
      <c r="K1164" s="252">
        <v>0.8</v>
      </c>
    </row>
    <row r="1165" ht="27.75" customHeight="1">
      <c r="A1165" s="253" t="str">
        <f t="shared" si="70"/>
        <v>RJA-NO B-1165</v>
      </c>
      <c r="B1165" s="248" t="s">
        <v>1172</v>
      </c>
      <c r="C1165" s="249" t="s">
        <v>2737</v>
      </c>
      <c r="D1165" s="248" t="s">
        <v>1248</v>
      </c>
      <c r="E1165" s="250" t="s">
        <v>2728</v>
      </c>
      <c r="F1165" s="248" t="str">
        <f t="shared" si="71"/>
        <v>Tersedia</v>
      </c>
      <c r="G1165" s="56">
        <v>3.0</v>
      </c>
      <c r="H1165" s="251">
        <v>36000.0</v>
      </c>
      <c r="I1165" s="251">
        <v>80000.0</v>
      </c>
      <c r="J1165" s="251">
        <v>44000.0</v>
      </c>
      <c r="K1165" s="252">
        <v>1.22</v>
      </c>
    </row>
    <row r="1166" ht="27.75" customHeight="1">
      <c r="A1166" s="253" t="str">
        <f t="shared" si="70"/>
        <v>RJA-NO B-1166</v>
      </c>
      <c r="B1166" s="248" t="s">
        <v>1172</v>
      </c>
      <c r="C1166" s="249" t="s">
        <v>2691</v>
      </c>
      <c r="D1166" s="248" t="s">
        <v>1248</v>
      </c>
      <c r="E1166" s="250" t="s">
        <v>2728</v>
      </c>
      <c r="F1166" s="248" t="str">
        <f t="shared" si="71"/>
        <v>Menipis</v>
      </c>
      <c r="G1166" s="56">
        <v>2.0</v>
      </c>
      <c r="H1166" s="251">
        <v>15500.0</v>
      </c>
      <c r="I1166" s="251">
        <v>35000.0</v>
      </c>
      <c r="J1166" s="251">
        <v>19500.0</v>
      </c>
      <c r="K1166" s="252">
        <v>1.26</v>
      </c>
    </row>
    <row r="1167" ht="27.75" customHeight="1">
      <c r="A1167" s="253" t="str">
        <f t="shared" si="70"/>
        <v>RJA-AIBI-1167</v>
      </c>
      <c r="B1167" s="248" t="s">
        <v>1172</v>
      </c>
      <c r="C1167" s="249" t="s">
        <v>3665</v>
      </c>
      <c r="D1167" s="248" t="s">
        <v>2833</v>
      </c>
      <c r="E1167" s="250" t="s">
        <v>3415</v>
      </c>
      <c r="F1167" s="248" t="str">
        <f t="shared" si="71"/>
        <v>Menipis</v>
      </c>
      <c r="G1167" s="56">
        <v>1.0</v>
      </c>
      <c r="H1167" s="251">
        <v>85000.0</v>
      </c>
      <c r="I1167" s="251">
        <v>170000.0</v>
      </c>
      <c r="J1167" s="251">
        <v>85000.0</v>
      </c>
      <c r="K1167" s="252">
        <v>1.0</v>
      </c>
    </row>
    <row r="1168" ht="27.75" customHeight="1">
      <c r="A1168" s="253" t="str">
        <f t="shared" si="70"/>
        <v>RJA-NO B-1168</v>
      </c>
      <c r="B1168" s="248" t="s">
        <v>1172</v>
      </c>
      <c r="C1168" s="249" t="s">
        <v>2967</v>
      </c>
      <c r="D1168" s="248" t="s">
        <v>1248</v>
      </c>
      <c r="E1168" s="250" t="s">
        <v>1232</v>
      </c>
      <c r="F1168" s="248" t="str">
        <f t="shared" si="71"/>
        <v>Menipis</v>
      </c>
      <c r="G1168" s="56">
        <v>1.0</v>
      </c>
      <c r="H1168" s="251">
        <v>17500.0</v>
      </c>
      <c r="I1168" s="251">
        <v>35000.0</v>
      </c>
      <c r="J1168" s="251">
        <v>17500.0</v>
      </c>
      <c r="K1168" s="252">
        <v>1.0</v>
      </c>
    </row>
    <row r="1169" ht="27.75" customHeight="1">
      <c r="A1169" s="253" t="str">
        <f t="shared" si="70"/>
        <v>RJA-NO B-1169</v>
      </c>
      <c r="B1169" s="248" t="s">
        <v>1172</v>
      </c>
      <c r="C1169" s="249" t="s">
        <v>2742</v>
      </c>
      <c r="D1169" s="248" t="s">
        <v>1248</v>
      </c>
      <c r="E1169" s="250" t="s">
        <v>2728</v>
      </c>
      <c r="F1169" s="248" t="str">
        <f t="shared" si="71"/>
        <v>Menipis</v>
      </c>
      <c r="G1169" s="56">
        <v>1.0</v>
      </c>
      <c r="H1169" s="251">
        <v>8000.0</v>
      </c>
      <c r="I1169" s="251">
        <v>25000.0</v>
      </c>
      <c r="J1169" s="251">
        <v>17000.0</v>
      </c>
      <c r="K1169" s="252">
        <v>2.13</v>
      </c>
    </row>
    <row r="1170" ht="27.75" customHeight="1">
      <c r="A1170" s="253" t="str">
        <f t="shared" si="70"/>
        <v>RJA-LENY-1170</v>
      </c>
      <c r="B1170" s="248" t="s">
        <v>1172</v>
      </c>
      <c r="C1170" s="249" t="s">
        <v>3667</v>
      </c>
      <c r="D1170" s="248" t="s">
        <v>1176</v>
      </c>
      <c r="E1170" s="250" t="s">
        <v>3415</v>
      </c>
      <c r="F1170" s="248" t="str">
        <f t="shared" si="71"/>
        <v>Menipis</v>
      </c>
      <c r="G1170" s="56">
        <v>1.0</v>
      </c>
      <c r="H1170" s="251">
        <v>105000.0</v>
      </c>
      <c r="I1170" s="251">
        <v>175000.0</v>
      </c>
      <c r="J1170" s="251">
        <v>70000.0</v>
      </c>
      <c r="K1170" s="252">
        <v>0.67</v>
      </c>
    </row>
    <row r="1171" ht="27.75" customHeight="1">
      <c r="A1171" s="253" t="str">
        <f t="shared" si="70"/>
        <v>RJA-NO B-1171</v>
      </c>
      <c r="B1171" s="248" t="s">
        <v>1172</v>
      </c>
      <c r="C1171" s="249" t="s">
        <v>3669</v>
      </c>
      <c r="D1171" s="248" t="s">
        <v>1248</v>
      </c>
      <c r="E1171" s="250" t="s">
        <v>3415</v>
      </c>
      <c r="F1171" s="248" t="str">
        <f t="shared" si="71"/>
        <v>Menipis</v>
      </c>
      <c r="G1171" s="56">
        <v>1.0</v>
      </c>
      <c r="H1171" s="251">
        <v>70000.0</v>
      </c>
      <c r="I1171" s="251">
        <v>135000.0</v>
      </c>
      <c r="J1171" s="251">
        <v>65000.0</v>
      </c>
      <c r="K1171" s="252">
        <v>0.93</v>
      </c>
    </row>
    <row r="1172" ht="27.75" customHeight="1">
      <c r="A1172" s="253" t="str">
        <f t="shared" si="70"/>
        <v>RJA-NO B-1172</v>
      </c>
      <c r="B1172" s="248" t="s">
        <v>1172</v>
      </c>
      <c r="C1172" s="249" t="s">
        <v>3671</v>
      </c>
      <c r="D1172" s="248" t="s">
        <v>1248</v>
      </c>
      <c r="E1172" s="250" t="s">
        <v>3415</v>
      </c>
      <c r="F1172" s="248" t="str">
        <f t="shared" si="71"/>
        <v>Menipis</v>
      </c>
      <c r="G1172" s="56">
        <v>1.0</v>
      </c>
      <c r="H1172" s="251">
        <v>30000.0</v>
      </c>
      <c r="I1172" s="251">
        <v>60000.0</v>
      </c>
      <c r="J1172" s="251">
        <v>30000.0</v>
      </c>
      <c r="K1172" s="252">
        <v>1.0</v>
      </c>
    </row>
    <row r="1173" ht="27.75" customHeight="1">
      <c r="A1173" s="253" t="str">
        <f t="shared" si="70"/>
        <v>RJA-NO B-1173</v>
      </c>
      <c r="B1173" s="248" t="s">
        <v>1172</v>
      </c>
      <c r="C1173" s="249" t="s">
        <v>2744</v>
      </c>
      <c r="D1173" s="248" t="s">
        <v>1248</v>
      </c>
      <c r="E1173" s="250" t="s">
        <v>2728</v>
      </c>
      <c r="F1173" s="248" t="str">
        <f t="shared" si="71"/>
        <v>Menipis</v>
      </c>
      <c r="G1173" s="56">
        <v>1.0</v>
      </c>
      <c r="H1173" s="251">
        <v>13500.0</v>
      </c>
      <c r="I1173" s="251">
        <v>35000.0</v>
      </c>
      <c r="J1173" s="251">
        <v>21500.0</v>
      </c>
      <c r="K1173" s="252">
        <v>1.59</v>
      </c>
    </row>
    <row r="1174" ht="27.75" customHeight="1">
      <c r="A1174" s="253" t="str">
        <f t="shared" si="70"/>
        <v>RJA-NO B-1174</v>
      </c>
      <c r="B1174" s="248" t="s">
        <v>1172</v>
      </c>
      <c r="C1174" s="249" t="s">
        <v>2746</v>
      </c>
      <c r="D1174" s="248" t="s">
        <v>1248</v>
      </c>
      <c r="E1174" s="250" t="s">
        <v>2728</v>
      </c>
      <c r="F1174" s="248" t="str">
        <f t="shared" si="71"/>
        <v>Menipis</v>
      </c>
      <c r="G1174" s="56">
        <v>1.0</v>
      </c>
      <c r="H1174" s="251">
        <v>8000.0</v>
      </c>
      <c r="I1174" s="251">
        <v>25000.0</v>
      </c>
      <c r="J1174" s="251">
        <v>17000.0</v>
      </c>
      <c r="K1174" s="252">
        <v>2.13</v>
      </c>
    </row>
    <row r="1175" ht="27.75" customHeight="1">
      <c r="A1175" s="253" t="str">
        <f t="shared" si="70"/>
        <v>RJA-NO B-1175</v>
      </c>
      <c r="B1175" s="248" t="s">
        <v>1172</v>
      </c>
      <c r="C1175" s="249" t="s">
        <v>2614</v>
      </c>
      <c r="D1175" s="248" t="s">
        <v>1248</v>
      </c>
      <c r="E1175" s="250" t="s">
        <v>1232</v>
      </c>
      <c r="F1175" s="248" t="str">
        <f t="shared" si="71"/>
        <v>Tersedia</v>
      </c>
      <c r="G1175" s="63">
        <v>5.0</v>
      </c>
      <c r="H1175" s="251">
        <v>13500.0</v>
      </c>
      <c r="I1175" s="251">
        <v>25000.0</v>
      </c>
      <c r="J1175" s="251">
        <v>11500.0</v>
      </c>
      <c r="K1175" s="252">
        <v>0.85</v>
      </c>
    </row>
    <row r="1176" ht="27.75" customHeight="1">
      <c r="A1176" s="253" t="str">
        <f t="shared" si="70"/>
        <v>RJA-NO B-1176</v>
      </c>
      <c r="B1176" s="248" t="s">
        <v>1172</v>
      </c>
      <c r="C1176" s="249" t="s">
        <v>2748</v>
      </c>
      <c r="D1176" s="248" t="s">
        <v>1248</v>
      </c>
      <c r="E1176" s="250" t="s">
        <v>1205</v>
      </c>
      <c r="F1176" s="248" t="str">
        <f t="shared" si="71"/>
        <v>Tersedia</v>
      </c>
      <c r="G1176" s="63">
        <v>4.0</v>
      </c>
      <c r="H1176" s="251">
        <v>7000.0</v>
      </c>
      <c r="I1176" s="251">
        <v>20000.0</v>
      </c>
      <c r="J1176" s="251">
        <v>13000.0</v>
      </c>
      <c r="K1176" s="252">
        <v>1.86</v>
      </c>
    </row>
    <row r="1177" ht="27.75" customHeight="1">
      <c r="A1177" s="253" t="str">
        <f t="shared" si="70"/>
        <v>RJA-NO B-1177</v>
      </c>
      <c r="B1177" s="248" t="s">
        <v>1172</v>
      </c>
      <c r="C1177" s="249" t="s">
        <v>2981</v>
      </c>
      <c r="D1177" s="248" t="s">
        <v>1248</v>
      </c>
      <c r="E1177" s="250" t="s">
        <v>1232</v>
      </c>
      <c r="F1177" s="248" t="str">
        <f t="shared" si="71"/>
        <v>Tersedia</v>
      </c>
      <c r="G1177" s="63">
        <v>5.0</v>
      </c>
      <c r="H1177" s="251">
        <v>13500.0</v>
      </c>
      <c r="I1177" s="251">
        <v>35000.0</v>
      </c>
      <c r="J1177" s="251">
        <v>21500.0</v>
      </c>
      <c r="K1177" s="252">
        <v>1.59</v>
      </c>
    </row>
    <row r="1178" ht="27.75" customHeight="1">
      <c r="A1178" s="253" t="str">
        <f t="shared" si="70"/>
        <v>RJA-NO B-1178</v>
      </c>
      <c r="B1178" s="248" t="s">
        <v>1172</v>
      </c>
      <c r="C1178" s="249" t="s">
        <v>1247</v>
      </c>
      <c r="D1178" s="248" t="s">
        <v>1248</v>
      </c>
      <c r="E1178" s="250" t="s">
        <v>1232</v>
      </c>
      <c r="F1178" s="248" t="str">
        <f t="shared" si="71"/>
        <v>Menipis</v>
      </c>
      <c r="G1178" s="56">
        <v>1.0</v>
      </c>
      <c r="H1178" s="251">
        <v>13500.0</v>
      </c>
      <c r="I1178" s="251">
        <v>20000.0</v>
      </c>
      <c r="J1178" s="251">
        <v>6500.0</v>
      </c>
      <c r="K1178" s="252">
        <v>0.48</v>
      </c>
    </row>
    <row r="1179" ht="27.75" customHeight="1">
      <c r="A1179" s="253" t="str">
        <f t="shared" si="70"/>
        <v>RJA-NO B-1179</v>
      </c>
      <c r="B1179" s="248" t="s">
        <v>1172</v>
      </c>
      <c r="C1179" s="249" t="s">
        <v>2750</v>
      </c>
      <c r="D1179" s="248" t="s">
        <v>1248</v>
      </c>
      <c r="E1179" s="250" t="s">
        <v>1205</v>
      </c>
      <c r="F1179" s="248" t="str">
        <f t="shared" si="71"/>
        <v>Menipis</v>
      </c>
      <c r="G1179" s="56">
        <v>1.0</v>
      </c>
      <c r="H1179" s="251">
        <v>15000.0</v>
      </c>
      <c r="I1179" s="251">
        <v>35000.0</v>
      </c>
      <c r="J1179" s="251">
        <v>20000.0</v>
      </c>
      <c r="K1179" s="252">
        <v>1.33</v>
      </c>
    </row>
    <row r="1180" ht="27.75" customHeight="1">
      <c r="A1180" s="253" t="str">
        <f t="shared" si="70"/>
        <v>RJA-NO B-1180</v>
      </c>
      <c r="B1180" s="248" t="s">
        <v>1172</v>
      </c>
      <c r="C1180" s="249" t="s">
        <v>2752</v>
      </c>
      <c r="D1180" s="248" t="s">
        <v>1248</v>
      </c>
      <c r="E1180" s="250" t="s">
        <v>2728</v>
      </c>
      <c r="F1180" s="248" t="str">
        <f t="shared" si="71"/>
        <v>Tersedia</v>
      </c>
      <c r="G1180" s="63">
        <v>3.0</v>
      </c>
      <c r="H1180" s="251">
        <v>35000.0</v>
      </c>
      <c r="I1180" s="251">
        <v>60000.0</v>
      </c>
      <c r="J1180" s="251">
        <v>25000.0</v>
      </c>
      <c r="K1180" s="252">
        <v>0.71</v>
      </c>
    </row>
    <row r="1181" ht="27.75" customHeight="1">
      <c r="A1181" s="253" t="str">
        <f t="shared" si="70"/>
        <v>RJA-NO B-1181</v>
      </c>
      <c r="B1181" s="248" t="s">
        <v>1172</v>
      </c>
      <c r="C1181" s="249" t="s">
        <v>2754</v>
      </c>
      <c r="D1181" s="248" t="s">
        <v>1248</v>
      </c>
      <c r="E1181" s="250" t="s">
        <v>2728</v>
      </c>
      <c r="F1181" s="248" t="str">
        <f t="shared" si="71"/>
        <v>Menipis</v>
      </c>
      <c r="G1181" s="56">
        <v>1.0</v>
      </c>
      <c r="H1181" s="251">
        <v>17500.0</v>
      </c>
      <c r="I1181" s="251">
        <v>35000.0</v>
      </c>
      <c r="J1181" s="251">
        <v>17500.0</v>
      </c>
      <c r="K1181" s="252">
        <v>1.0</v>
      </c>
    </row>
    <row r="1182" ht="27.75" customHeight="1">
      <c r="A1182" s="253" t="str">
        <f t="shared" si="70"/>
        <v>RJA-NO B-1182</v>
      </c>
      <c r="B1182" s="248" t="s">
        <v>1172</v>
      </c>
      <c r="C1182" s="249" t="s">
        <v>2756</v>
      </c>
      <c r="D1182" s="248" t="s">
        <v>1248</v>
      </c>
      <c r="E1182" s="250" t="s">
        <v>2728</v>
      </c>
      <c r="F1182" s="248" t="str">
        <f t="shared" si="71"/>
        <v>Menipis</v>
      </c>
      <c r="G1182" s="56">
        <v>1.0</v>
      </c>
      <c r="H1182" s="251">
        <v>17500.0</v>
      </c>
      <c r="I1182" s="251">
        <v>35000.0</v>
      </c>
      <c r="J1182" s="251">
        <v>17500.0</v>
      </c>
      <c r="K1182" s="252">
        <v>1.0</v>
      </c>
    </row>
    <row r="1183" ht="27.75" customHeight="1">
      <c r="A1183" s="247" t="str">
        <f t="shared" si="70"/>
        <v>RJA-LENY-1183</v>
      </c>
      <c r="B1183" s="248" t="s">
        <v>1172</v>
      </c>
      <c r="C1183" s="249" t="s">
        <v>2940</v>
      </c>
      <c r="D1183" s="248" t="s">
        <v>1176</v>
      </c>
      <c r="E1183" s="250" t="s">
        <v>387</v>
      </c>
      <c r="F1183" s="248" t="str">
        <f t="shared" si="71"/>
        <v>Menipis</v>
      </c>
      <c r="G1183" s="56">
        <v>1.0</v>
      </c>
      <c r="H1183" s="251">
        <v>42500.0</v>
      </c>
      <c r="I1183" s="251">
        <v>80000.0</v>
      </c>
      <c r="J1183" s="251">
        <v>37500.0</v>
      </c>
      <c r="K1183" s="252">
        <v>0.88</v>
      </c>
    </row>
    <row r="1184" ht="27.75" customHeight="1">
      <c r="A1184" s="247" t="str">
        <f t="shared" si="70"/>
        <v>RJA-NO B-1184</v>
      </c>
      <c r="B1184" s="248" t="s">
        <v>1172</v>
      </c>
      <c r="C1184" s="249" t="s">
        <v>3019</v>
      </c>
      <c r="D1184" s="248" t="s">
        <v>1248</v>
      </c>
      <c r="E1184" s="250" t="s">
        <v>1232</v>
      </c>
      <c r="F1184" s="248" t="str">
        <f t="shared" si="71"/>
        <v>Tersedia</v>
      </c>
      <c r="G1184" s="56">
        <v>15.0</v>
      </c>
      <c r="H1184" s="251">
        <v>1000.0</v>
      </c>
      <c r="I1184" s="251">
        <v>5000.0</v>
      </c>
      <c r="J1184" s="251">
        <v>4000.0</v>
      </c>
      <c r="K1184" s="252">
        <v>4.0</v>
      </c>
    </row>
    <row r="1185" ht="27.75" customHeight="1">
      <c r="A1185" s="247" t="str">
        <f t="shared" si="70"/>
        <v>RJA-NO B-1185</v>
      </c>
      <c r="B1185" s="248" t="s">
        <v>1172</v>
      </c>
      <c r="C1185" s="249" t="s">
        <v>3021</v>
      </c>
      <c r="D1185" s="248" t="s">
        <v>1248</v>
      </c>
      <c r="E1185" s="250" t="s">
        <v>1232</v>
      </c>
      <c r="F1185" s="248" t="str">
        <f t="shared" si="71"/>
        <v>Tersedia</v>
      </c>
      <c r="G1185" s="56">
        <v>7.0</v>
      </c>
      <c r="H1185" s="251">
        <v>1000.0</v>
      </c>
      <c r="I1185" s="251">
        <v>5000.0</v>
      </c>
      <c r="J1185" s="251">
        <v>4000.0</v>
      </c>
      <c r="K1185" s="252">
        <v>4.0</v>
      </c>
    </row>
    <row r="1186" ht="27.75" customHeight="1">
      <c r="A1186" s="253" t="str">
        <f t="shared" si="70"/>
        <v>RJA-WINS-1186</v>
      </c>
      <c r="B1186" s="248" t="s">
        <v>1172</v>
      </c>
      <c r="C1186" s="249" t="s">
        <v>3673</v>
      </c>
      <c r="D1186" s="248" t="s">
        <v>2865</v>
      </c>
      <c r="E1186" s="250" t="s">
        <v>3415</v>
      </c>
      <c r="F1186" s="248" t="str">
        <f t="shared" si="71"/>
        <v>Menipis</v>
      </c>
      <c r="G1186" s="56">
        <v>1.0</v>
      </c>
      <c r="H1186" s="251">
        <v>250000.0</v>
      </c>
      <c r="I1186" s="251">
        <v>375000.0</v>
      </c>
      <c r="J1186" s="251">
        <v>125000.0</v>
      </c>
      <c r="K1186" s="252">
        <v>0.5</v>
      </c>
    </row>
    <row r="1187" ht="27.75" customHeight="1">
      <c r="A1187" s="253" t="str">
        <f t="shared" si="70"/>
        <v>RJA-NO B-1187</v>
      </c>
      <c r="B1187" s="248" t="s">
        <v>1172</v>
      </c>
      <c r="C1187" s="249" t="s">
        <v>2758</v>
      </c>
      <c r="D1187" s="248" t="s">
        <v>1248</v>
      </c>
      <c r="E1187" s="250" t="s">
        <v>2728</v>
      </c>
      <c r="F1187" s="248" t="str">
        <f t="shared" si="71"/>
        <v>Menipis</v>
      </c>
      <c r="G1187" s="63">
        <v>2.0</v>
      </c>
      <c r="H1187" s="251">
        <v>28000.0</v>
      </c>
      <c r="I1187" s="251">
        <v>60000.0</v>
      </c>
      <c r="J1187" s="251">
        <v>32000.0</v>
      </c>
      <c r="K1187" s="252">
        <v>1.14</v>
      </c>
    </row>
    <row r="1188" ht="27.75" customHeight="1">
      <c r="A1188" s="253" t="str">
        <f t="shared" si="70"/>
        <v>RJA-NO B-1188</v>
      </c>
      <c r="B1188" s="248" t="s">
        <v>1172</v>
      </c>
      <c r="C1188" s="249" t="s">
        <v>2760</v>
      </c>
      <c r="D1188" s="248" t="s">
        <v>1248</v>
      </c>
      <c r="E1188" s="250" t="s">
        <v>2728</v>
      </c>
      <c r="F1188" s="248" t="str">
        <f t="shared" si="71"/>
        <v>Menipis</v>
      </c>
      <c r="G1188" s="56">
        <v>1.0</v>
      </c>
      <c r="H1188" s="251">
        <v>11000.0</v>
      </c>
      <c r="I1188" s="251">
        <v>22000.0</v>
      </c>
      <c r="J1188" s="251">
        <v>11000.0</v>
      </c>
      <c r="K1188" s="252">
        <v>1.0</v>
      </c>
    </row>
    <row r="1189" ht="27.75" customHeight="1">
      <c r="A1189" s="253" t="str">
        <f t="shared" si="70"/>
        <v>RJA-NO B-1189</v>
      </c>
      <c r="B1189" s="248" t="s">
        <v>1172</v>
      </c>
      <c r="C1189" s="249" t="s">
        <v>3675</v>
      </c>
      <c r="D1189" s="248" t="s">
        <v>1248</v>
      </c>
      <c r="E1189" s="250" t="s">
        <v>3415</v>
      </c>
      <c r="F1189" s="248" t="str">
        <f t="shared" si="71"/>
        <v>Menipis</v>
      </c>
      <c r="G1189" s="56">
        <v>1.0</v>
      </c>
      <c r="H1189" s="251">
        <v>55000.0</v>
      </c>
      <c r="I1189" s="251">
        <v>120000.0</v>
      </c>
      <c r="J1189" s="251">
        <v>65000.0</v>
      </c>
      <c r="K1189" s="252">
        <v>1.18</v>
      </c>
    </row>
    <row r="1190" ht="27.75" customHeight="1">
      <c r="A1190" s="253" t="str">
        <f t="shared" si="70"/>
        <v>RJA-NO B-1190</v>
      </c>
      <c r="B1190" s="248" t="s">
        <v>1172</v>
      </c>
      <c r="C1190" s="249" t="s">
        <v>3677</v>
      </c>
      <c r="D1190" s="248" t="s">
        <v>1248</v>
      </c>
      <c r="E1190" s="250" t="s">
        <v>3415</v>
      </c>
      <c r="F1190" s="248" t="str">
        <f t="shared" si="71"/>
        <v>Menipis</v>
      </c>
      <c r="G1190" s="56">
        <v>1.0</v>
      </c>
      <c r="H1190" s="251">
        <v>80000.0</v>
      </c>
      <c r="I1190" s="251">
        <v>150000.0</v>
      </c>
      <c r="J1190" s="251">
        <v>70000.0</v>
      </c>
      <c r="K1190" s="252">
        <v>0.88</v>
      </c>
    </row>
    <row r="1191" ht="27.75" customHeight="1">
      <c r="A1191" s="254" t="s">
        <v>4407</v>
      </c>
      <c r="B1191" s="248" t="s">
        <v>1172</v>
      </c>
      <c r="C1191" s="249" t="s">
        <v>3995</v>
      </c>
      <c r="D1191" s="248" t="s">
        <v>1248</v>
      </c>
      <c r="E1191" s="250" t="s">
        <v>3996</v>
      </c>
      <c r="F1191" s="248" t="str">
        <f t="shared" si="71"/>
        <v>Menipis</v>
      </c>
      <c r="G1191" s="56">
        <v>2.0</v>
      </c>
      <c r="H1191" s="251">
        <v>11000.0</v>
      </c>
      <c r="I1191" s="251">
        <v>30000.0</v>
      </c>
      <c r="J1191" s="251">
        <v>19000.0</v>
      </c>
      <c r="K1191" s="252">
        <v>1.73</v>
      </c>
    </row>
    <row r="1192" ht="27.75" customHeight="1">
      <c r="A1192" s="247" t="str">
        <f t="shared" ref="A1192:A1199" si="72">"RJA-" &amp; UPPER(LEFT(D1192, 4)) &amp; "-" &amp; TEXT(ROW(), "0000")</f>
        <v>RJA-ACOM-1192</v>
      </c>
      <c r="B1192" s="248" t="s">
        <v>1172</v>
      </c>
      <c r="C1192" s="249" t="s">
        <v>3622</v>
      </c>
      <c r="D1192" s="248" t="s">
        <v>64</v>
      </c>
      <c r="E1192" s="250" t="s">
        <v>1232</v>
      </c>
      <c r="F1192" s="248" t="str">
        <f t="shared" si="71"/>
        <v>Tersedia</v>
      </c>
      <c r="G1192" s="56">
        <v>3.0</v>
      </c>
      <c r="H1192" s="251">
        <v>12000.0</v>
      </c>
      <c r="I1192" s="251">
        <v>20000.0</v>
      </c>
      <c r="J1192" s="251">
        <v>8000.0</v>
      </c>
      <c r="K1192" s="252">
        <v>0.67</v>
      </c>
    </row>
    <row r="1193" ht="27.75" customHeight="1">
      <c r="A1193" s="247" t="str">
        <f t="shared" si="72"/>
        <v>RJA-JOYS-1193</v>
      </c>
      <c r="B1193" s="248" t="s">
        <v>1172</v>
      </c>
      <c r="C1193" s="249" t="s">
        <v>1620</v>
      </c>
      <c r="D1193" s="248" t="s">
        <v>1622</v>
      </c>
      <c r="E1193" s="250" t="s">
        <v>1272</v>
      </c>
      <c r="F1193" s="248" t="str">
        <f t="shared" si="71"/>
        <v>Menipis</v>
      </c>
      <c r="G1193" s="56">
        <v>1.0</v>
      </c>
      <c r="H1193" s="251">
        <v>70000.0</v>
      </c>
      <c r="I1193" s="251">
        <v>125000.0</v>
      </c>
      <c r="J1193" s="251">
        <v>55000.0</v>
      </c>
      <c r="K1193" s="252">
        <v>0.79</v>
      </c>
    </row>
    <row r="1194" ht="27.75" customHeight="1">
      <c r="A1194" s="247" t="str">
        <f t="shared" si="72"/>
        <v>RJA-OPPO-1194</v>
      </c>
      <c r="B1194" s="248" t="s">
        <v>1172</v>
      </c>
      <c r="C1194" s="249" t="s">
        <v>2571</v>
      </c>
      <c r="D1194" s="248" t="s">
        <v>2513</v>
      </c>
      <c r="E1194" s="250" t="s">
        <v>2423</v>
      </c>
      <c r="F1194" s="248" t="str">
        <f t="shared" si="71"/>
        <v>Menipis</v>
      </c>
      <c r="G1194" s="56">
        <v>2.0</v>
      </c>
      <c r="H1194" s="251">
        <v>20000.0</v>
      </c>
      <c r="I1194" s="251">
        <v>60000.0</v>
      </c>
      <c r="J1194" s="251">
        <v>40000.0</v>
      </c>
      <c r="K1194" s="252">
        <v>2.0</v>
      </c>
    </row>
    <row r="1195" ht="27.75" customHeight="1">
      <c r="A1195" s="247" t="str">
        <f t="shared" si="72"/>
        <v>RJA-LENY-1195</v>
      </c>
      <c r="B1195" s="248" t="s">
        <v>1172</v>
      </c>
      <c r="C1195" s="249" t="s">
        <v>1174</v>
      </c>
      <c r="D1195" s="248" t="s">
        <v>1176</v>
      </c>
      <c r="E1195" s="250" t="s">
        <v>1177</v>
      </c>
      <c r="F1195" s="248" t="str">
        <f t="shared" si="71"/>
        <v>Menipis</v>
      </c>
      <c r="G1195" s="56">
        <v>2.0</v>
      </c>
      <c r="H1195" s="251">
        <v>43500.0</v>
      </c>
      <c r="I1195" s="251">
        <v>90000.0</v>
      </c>
      <c r="J1195" s="251">
        <v>46500.0</v>
      </c>
      <c r="K1195" s="252">
        <v>1.07</v>
      </c>
    </row>
    <row r="1196" ht="27.75" customHeight="1">
      <c r="A1196" s="247" t="str">
        <f t="shared" si="72"/>
        <v>RJA-RECC-1196</v>
      </c>
      <c r="B1196" s="248" t="s">
        <v>1172</v>
      </c>
      <c r="C1196" s="249" t="s">
        <v>2573</v>
      </c>
      <c r="D1196" s="248" t="s">
        <v>2574</v>
      </c>
      <c r="E1196" s="250" t="s">
        <v>2423</v>
      </c>
      <c r="F1196" s="248" t="str">
        <f t="shared" si="71"/>
        <v>Tersedia</v>
      </c>
      <c r="G1196" s="56">
        <v>3.0</v>
      </c>
      <c r="H1196" s="251">
        <v>25000.0</v>
      </c>
      <c r="I1196" s="251">
        <v>60000.0</v>
      </c>
      <c r="J1196" s="251">
        <v>35000.0</v>
      </c>
      <c r="K1196" s="252">
        <v>1.4</v>
      </c>
    </row>
    <row r="1197" ht="27.75" customHeight="1">
      <c r="A1197" s="247" t="str">
        <f t="shared" si="72"/>
        <v>RJA-NO B-1197</v>
      </c>
      <c r="B1197" s="248" t="s">
        <v>1172</v>
      </c>
      <c r="C1197" s="249" t="s">
        <v>2993</v>
      </c>
      <c r="D1197" s="248" t="s">
        <v>1248</v>
      </c>
      <c r="E1197" s="250" t="s">
        <v>1232</v>
      </c>
      <c r="F1197" s="248" t="str">
        <f t="shared" si="71"/>
        <v>Menipis</v>
      </c>
      <c r="G1197" s="56">
        <v>1.0</v>
      </c>
      <c r="H1197" s="251">
        <v>12500.0</v>
      </c>
      <c r="I1197" s="251">
        <v>30000.0</v>
      </c>
      <c r="J1197" s="251">
        <v>17500.0</v>
      </c>
      <c r="K1197" s="252">
        <v>1.4</v>
      </c>
    </row>
    <row r="1198" ht="27.75" customHeight="1">
      <c r="A1198" s="247" t="str">
        <f t="shared" si="72"/>
        <v>RJA-NO B-1198</v>
      </c>
      <c r="B1198" s="248" t="s">
        <v>1172</v>
      </c>
      <c r="C1198" s="249" t="s">
        <v>1836</v>
      </c>
      <c r="D1198" s="248" t="s">
        <v>1248</v>
      </c>
      <c r="E1198" s="250" t="s">
        <v>1232</v>
      </c>
      <c r="F1198" s="248" t="str">
        <f t="shared" si="71"/>
        <v>Menipis</v>
      </c>
      <c r="G1198" s="56">
        <v>1.0</v>
      </c>
      <c r="H1198" s="251">
        <v>17500.0</v>
      </c>
      <c r="I1198" s="251">
        <v>35000.0</v>
      </c>
      <c r="J1198" s="251">
        <v>17500.0</v>
      </c>
      <c r="K1198" s="252">
        <v>1.0</v>
      </c>
    </row>
    <row r="1199" ht="27.75" customHeight="1">
      <c r="A1199" s="247" t="str">
        <f t="shared" si="72"/>
        <v>RJA-NO B-1199</v>
      </c>
      <c r="B1199" s="248" t="s">
        <v>1172</v>
      </c>
      <c r="C1199" s="249" t="s">
        <v>3050</v>
      </c>
      <c r="D1199" s="248" t="s">
        <v>1248</v>
      </c>
      <c r="E1199" s="250" t="s">
        <v>3051</v>
      </c>
      <c r="F1199" s="248" t="str">
        <f t="shared" si="71"/>
        <v>Menipis</v>
      </c>
      <c r="G1199" s="56">
        <v>1.0</v>
      </c>
      <c r="H1199" s="251">
        <v>110000.0</v>
      </c>
      <c r="I1199" s="251">
        <v>220000.0</v>
      </c>
      <c r="J1199" s="251">
        <v>110000.0</v>
      </c>
      <c r="K1199" s="252">
        <v>1.0</v>
      </c>
    </row>
    <row r="1200" ht="27.75" customHeight="1">
      <c r="A1200" s="247"/>
      <c r="B1200" s="248"/>
      <c r="C1200" s="249"/>
      <c r="D1200" s="248"/>
      <c r="E1200" s="250"/>
      <c r="F1200" s="248"/>
      <c r="G1200" s="56"/>
      <c r="H1200" s="251">
        <v>0.0</v>
      </c>
      <c r="I1200" s="251">
        <v>0.0</v>
      </c>
      <c r="J1200" s="251"/>
      <c r="K1200" s="252"/>
    </row>
    <row r="1201" ht="27.75" customHeight="1">
      <c r="A1201" s="247"/>
      <c r="B1201" s="248"/>
      <c r="C1201" s="249"/>
      <c r="D1201" s="248"/>
      <c r="E1201" s="250"/>
      <c r="F1201" s="248"/>
      <c r="G1201" s="56"/>
      <c r="H1201" s="251">
        <v>0.0</v>
      </c>
      <c r="I1201" s="251">
        <v>0.0</v>
      </c>
      <c r="J1201" s="251"/>
      <c r="K1201" s="252"/>
    </row>
    <row r="1202" ht="27.75" customHeight="1">
      <c r="A1202" s="247"/>
      <c r="B1202" s="248"/>
      <c r="C1202" s="249"/>
      <c r="D1202" s="248"/>
      <c r="E1202" s="250"/>
      <c r="F1202" s="248"/>
      <c r="G1202" s="56"/>
      <c r="H1202" s="251">
        <v>0.0</v>
      </c>
      <c r="I1202" s="251">
        <v>0.0</v>
      </c>
      <c r="J1202" s="251"/>
      <c r="K1202" s="252"/>
    </row>
    <row r="1203" ht="27.75" customHeight="1">
      <c r="A1203" s="247"/>
      <c r="B1203" s="248"/>
      <c r="C1203" s="249"/>
      <c r="D1203" s="248"/>
      <c r="E1203" s="250"/>
      <c r="F1203" s="248"/>
      <c r="G1203" s="56"/>
      <c r="H1203" s="251">
        <v>0.0</v>
      </c>
      <c r="I1203" s="251">
        <v>0.0</v>
      </c>
      <c r="J1203" s="251"/>
      <c r="K1203" s="252"/>
    </row>
    <row r="1204" ht="27.75" customHeight="1">
      <c r="A1204" s="247"/>
      <c r="B1204" s="248"/>
      <c r="C1204" s="249"/>
      <c r="D1204" s="248"/>
      <c r="E1204" s="250"/>
      <c r="F1204" s="248"/>
      <c r="G1204" s="56"/>
      <c r="H1204" s="251">
        <v>0.0</v>
      </c>
      <c r="I1204" s="251">
        <v>0.0</v>
      </c>
      <c r="J1204" s="251"/>
      <c r="K1204" s="252"/>
    </row>
    <row r="1205" ht="27.75" customHeight="1">
      <c r="A1205" s="247"/>
      <c r="B1205" s="248"/>
      <c r="C1205" s="249"/>
      <c r="D1205" s="248"/>
      <c r="E1205" s="250"/>
      <c r="F1205" s="248"/>
      <c r="G1205" s="56"/>
      <c r="H1205" s="251">
        <v>0.0</v>
      </c>
      <c r="I1205" s="251">
        <v>0.0</v>
      </c>
      <c r="J1205" s="251"/>
      <c r="K1205" s="252"/>
    </row>
    <row r="1206" ht="27.75" customHeight="1">
      <c r="A1206" s="247"/>
      <c r="B1206" s="248"/>
      <c r="C1206" s="249"/>
      <c r="D1206" s="248"/>
      <c r="E1206" s="250"/>
      <c r="F1206" s="248"/>
      <c r="G1206" s="56"/>
      <c r="H1206" s="251">
        <v>0.0</v>
      </c>
      <c r="I1206" s="251">
        <v>0.0</v>
      </c>
      <c r="J1206" s="251"/>
      <c r="K1206" s="252"/>
    </row>
    <row r="1207" ht="27.75" customHeight="1">
      <c r="A1207" s="247"/>
      <c r="B1207" s="248"/>
      <c r="C1207" s="249"/>
      <c r="D1207" s="248"/>
      <c r="E1207" s="250"/>
      <c r="F1207" s="248"/>
      <c r="G1207" s="56"/>
      <c r="H1207" s="251">
        <v>0.0</v>
      </c>
      <c r="I1207" s="251">
        <v>0.0</v>
      </c>
      <c r="J1207" s="251"/>
      <c r="K1207" s="252"/>
    </row>
    <row r="1208" ht="27.75" customHeight="1">
      <c r="A1208" s="247"/>
      <c r="B1208" s="248"/>
      <c r="C1208" s="249"/>
      <c r="D1208" s="248"/>
      <c r="E1208" s="250"/>
      <c r="F1208" s="248"/>
      <c r="G1208" s="56"/>
      <c r="H1208" s="251">
        <v>0.0</v>
      </c>
      <c r="I1208" s="251">
        <v>0.0</v>
      </c>
      <c r="J1208" s="251"/>
      <c r="K1208" s="252"/>
    </row>
    <row r="1209" ht="27.75" customHeight="1">
      <c r="A1209" s="247"/>
      <c r="B1209" s="248"/>
      <c r="C1209" s="249"/>
      <c r="D1209" s="248"/>
      <c r="E1209" s="250"/>
      <c r="F1209" s="248"/>
      <c r="G1209" s="56"/>
      <c r="H1209" s="251">
        <v>0.0</v>
      </c>
      <c r="I1209" s="251">
        <v>0.0</v>
      </c>
      <c r="J1209" s="251"/>
      <c r="K1209" s="252"/>
    </row>
    <row r="1210" ht="27.75" customHeight="1">
      <c r="A1210" s="247"/>
      <c r="B1210" s="248"/>
      <c r="C1210" s="249"/>
      <c r="D1210" s="248"/>
      <c r="E1210" s="250"/>
      <c r="F1210" s="248"/>
      <c r="G1210" s="56"/>
      <c r="H1210" s="251">
        <v>0.0</v>
      </c>
      <c r="I1210" s="251">
        <v>0.0</v>
      </c>
      <c r="J1210" s="251"/>
      <c r="K1210" s="252"/>
    </row>
    <row r="1211" ht="27.75" customHeight="1">
      <c r="A1211" s="247"/>
      <c r="B1211" s="248"/>
      <c r="C1211" s="249"/>
      <c r="D1211" s="248"/>
      <c r="E1211" s="250"/>
      <c r="F1211" s="248"/>
      <c r="G1211" s="56"/>
      <c r="H1211" s="251">
        <v>0.0</v>
      </c>
      <c r="I1211" s="251">
        <v>0.0</v>
      </c>
      <c r="J1211" s="251"/>
      <c r="K1211" s="252"/>
    </row>
    <row r="1212" ht="27.75" customHeight="1">
      <c r="A1212" s="247"/>
      <c r="B1212" s="248"/>
      <c r="C1212" s="249"/>
      <c r="D1212" s="248"/>
      <c r="E1212" s="250"/>
      <c r="F1212" s="248"/>
      <c r="G1212" s="56"/>
      <c r="H1212" s="251">
        <v>0.0</v>
      </c>
      <c r="I1212" s="251">
        <v>0.0</v>
      </c>
      <c r="J1212" s="251"/>
      <c r="K1212" s="252"/>
    </row>
    <row r="1213" ht="27.75" customHeight="1">
      <c r="A1213" s="247"/>
      <c r="B1213" s="248"/>
      <c r="C1213" s="249"/>
      <c r="D1213" s="248"/>
      <c r="E1213" s="250"/>
      <c r="F1213" s="248"/>
      <c r="G1213" s="56"/>
      <c r="H1213" s="251">
        <v>0.0</v>
      </c>
      <c r="I1213" s="251">
        <v>0.0</v>
      </c>
      <c r="J1213" s="251"/>
      <c r="K1213" s="252"/>
    </row>
    <row r="1214" ht="27.75" customHeight="1">
      <c r="A1214" s="247"/>
      <c r="B1214" s="248"/>
      <c r="C1214" s="249"/>
      <c r="D1214" s="248"/>
      <c r="E1214" s="250"/>
      <c r="F1214" s="248"/>
      <c r="G1214" s="56"/>
      <c r="H1214" s="251">
        <v>0.0</v>
      </c>
      <c r="I1214" s="251">
        <v>0.0</v>
      </c>
      <c r="J1214" s="251"/>
      <c r="K1214" s="252"/>
    </row>
    <row r="1215" ht="27.75" customHeight="1">
      <c r="A1215" s="247"/>
      <c r="B1215" s="248"/>
      <c r="C1215" s="249"/>
      <c r="D1215" s="248"/>
      <c r="E1215" s="250"/>
      <c r="F1215" s="248"/>
      <c r="G1215" s="56"/>
      <c r="H1215" s="251">
        <v>0.0</v>
      </c>
      <c r="I1215" s="251">
        <v>0.0</v>
      </c>
      <c r="J1215" s="251"/>
      <c r="K1215" s="252"/>
    </row>
    <row r="1216" ht="27.75" customHeight="1">
      <c r="A1216" s="247"/>
      <c r="B1216" s="248"/>
      <c r="C1216" s="249"/>
      <c r="D1216" s="248"/>
      <c r="E1216" s="250"/>
      <c r="F1216" s="248"/>
      <c r="G1216" s="56"/>
      <c r="H1216" s="251">
        <v>0.0</v>
      </c>
      <c r="I1216" s="251">
        <v>0.0</v>
      </c>
      <c r="J1216" s="251"/>
      <c r="K1216" s="252"/>
    </row>
    <row r="1217" ht="27.75" customHeight="1">
      <c r="A1217" s="247"/>
      <c r="B1217" s="248"/>
      <c r="C1217" s="249"/>
      <c r="D1217" s="248"/>
      <c r="E1217" s="250"/>
      <c r="F1217" s="248"/>
      <c r="G1217" s="56"/>
      <c r="H1217" s="251">
        <v>0.0</v>
      </c>
      <c r="I1217" s="251">
        <v>0.0</v>
      </c>
      <c r="J1217" s="251"/>
      <c r="K1217" s="252"/>
    </row>
    <row r="1218" ht="27.75" customHeight="1">
      <c r="A1218" s="247"/>
      <c r="B1218" s="248"/>
      <c r="C1218" s="249"/>
      <c r="D1218" s="248"/>
      <c r="E1218" s="250"/>
      <c r="F1218" s="248"/>
      <c r="G1218" s="56"/>
      <c r="H1218" s="251">
        <v>0.0</v>
      </c>
      <c r="I1218" s="251">
        <v>0.0</v>
      </c>
      <c r="J1218" s="251"/>
      <c r="K1218" s="252"/>
    </row>
    <row r="1219" ht="27.75" customHeight="1">
      <c r="A1219" s="247"/>
      <c r="B1219" s="248"/>
      <c r="C1219" s="249"/>
      <c r="D1219" s="248"/>
      <c r="E1219" s="250"/>
      <c r="F1219" s="248"/>
      <c r="G1219" s="56"/>
      <c r="H1219" s="251">
        <v>0.0</v>
      </c>
      <c r="I1219" s="251">
        <v>0.0</v>
      </c>
      <c r="J1219" s="251"/>
      <c r="K1219" s="252"/>
    </row>
    <row r="1220" ht="27.75" customHeight="1">
      <c r="A1220" s="247"/>
      <c r="B1220" s="248"/>
      <c r="C1220" s="249"/>
      <c r="D1220" s="248"/>
      <c r="E1220" s="250"/>
      <c r="F1220" s="248"/>
      <c r="G1220" s="56"/>
      <c r="H1220" s="251">
        <v>0.0</v>
      </c>
      <c r="I1220" s="251">
        <v>0.0</v>
      </c>
      <c r="J1220" s="251"/>
      <c r="K1220" s="252"/>
    </row>
    <row r="1221" ht="27.75" customHeight="1">
      <c r="A1221" s="247"/>
      <c r="B1221" s="248"/>
      <c r="C1221" s="249"/>
      <c r="D1221" s="248"/>
      <c r="E1221" s="250"/>
      <c r="F1221" s="248"/>
      <c r="G1221" s="56"/>
      <c r="H1221" s="251">
        <v>0.0</v>
      </c>
      <c r="I1221" s="251">
        <v>0.0</v>
      </c>
      <c r="J1221" s="251"/>
      <c r="K1221" s="252"/>
    </row>
    <row r="1222" ht="27.75" customHeight="1">
      <c r="A1222" s="247"/>
      <c r="B1222" s="248"/>
      <c r="C1222" s="249"/>
      <c r="D1222" s="248"/>
      <c r="E1222" s="250"/>
      <c r="F1222" s="248"/>
      <c r="G1222" s="56"/>
      <c r="H1222" s="251">
        <v>0.0</v>
      </c>
      <c r="I1222" s="251">
        <v>0.0</v>
      </c>
      <c r="J1222" s="251"/>
      <c r="K1222" s="252"/>
    </row>
    <row r="1223" ht="27.75" customHeight="1">
      <c r="A1223" s="247"/>
      <c r="B1223" s="248"/>
      <c r="C1223" s="249"/>
      <c r="D1223" s="248"/>
      <c r="E1223" s="250"/>
      <c r="F1223" s="248"/>
      <c r="G1223" s="56"/>
      <c r="H1223" s="251">
        <v>0.0</v>
      </c>
      <c r="I1223" s="251">
        <v>0.0</v>
      </c>
      <c r="J1223" s="251"/>
      <c r="K1223" s="252"/>
    </row>
    <row r="1224" ht="27.75" customHeight="1">
      <c r="A1224" s="247"/>
      <c r="B1224" s="248"/>
      <c r="C1224" s="249"/>
      <c r="D1224" s="248"/>
      <c r="E1224" s="250"/>
      <c r="F1224" s="248"/>
      <c r="G1224" s="56"/>
      <c r="H1224" s="251">
        <v>0.0</v>
      </c>
      <c r="I1224" s="251">
        <v>0.0</v>
      </c>
      <c r="J1224" s="251"/>
      <c r="K1224" s="252"/>
    </row>
    <row r="1225" ht="27.75" customHeight="1">
      <c r="A1225" s="247"/>
      <c r="B1225" s="248"/>
      <c r="C1225" s="249"/>
      <c r="D1225" s="248"/>
      <c r="E1225" s="250"/>
      <c r="F1225" s="248"/>
      <c r="G1225" s="56"/>
      <c r="H1225" s="251">
        <v>0.0</v>
      </c>
      <c r="I1225" s="251">
        <v>0.0</v>
      </c>
      <c r="J1225" s="251"/>
      <c r="K1225" s="252"/>
    </row>
    <row r="1226" ht="27.75" customHeight="1">
      <c r="A1226" s="247"/>
      <c r="B1226" s="248"/>
      <c r="C1226" s="249"/>
      <c r="D1226" s="248"/>
      <c r="E1226" s="250"/>
      <c r="F1226" s="248"/>
      <c r="G1226" s="56"/>
      <c r="H1226" s="251">
        <v>0.0</v>
      </c>
      <c r="I1226" s="251">
        <v>0.0</v>
      </c>
      <c r="J1226" s="251"/>
      <c r="K1226" s="252"/>
    </row>
    <row r="1227" ht="27.75" customHeight="1">
      <c r="A1227" s="247"/>
      <c r="B1227" s="248"/>
      <c r="C1227" s="249"/>
      <c r="D1227" s="248"/>
      <c r="E1227" s="250"/>
      <c r="F1227" s="248"/>
      <c r="G1227" s="56"/>
      <c r="H1227" s="251">
        <v>0.0</v>
      </c>
      <c r="I1227" s="251">
        <v>0.0</v>
      </c>
      <c r="J1227" s="251"/>
      <c r="K1227" s="252"/>
    </row>
    <row r="1228" ht="27.75" customHeight="1">
      <c r="A1228" s="247"/>
      <c r="B1228" s="248"/>
      <c r="C1228" s="249"/>
      <c r="D1228" s="248"/>
      <c r="E1228" s="250"/>
      <c r="F1228" s="248"/>
      <c r="G1228" s="56"/>
      <c r="H1228" s="251">
        <v>0.0</v>
      </c>
      <c r="I1228" s="251">
        <v>0.0</v>
      </c>
      <c r="J1228" s="251"/>
      <c r="K1228" s="252"/>
    </row>
    <row r="1229" ht="27.75" customHeight="1">
      <c r="A1229" s="247"/>
      <c r="B1229" s="248"/>
      <c r="C1229" s="249"/>
      <c r="D1229" s="248"/>
      <c r="E1229" s="250"/>
      <c r="F1229" s="248"/>
      <c r="G1229" s="56"/>
      <c r="H1229" s="251">
        <v>0.0</v>
      </c>
      <c r="I1229" s="251">
        <v>0.0</v>
      </c>
      <c r="J1229" s="251"/>
      <c r="K1229" s="252"/>
    </row>
    <row r="1230" ht="27.75" customHeight="1">
      <c r="A1230" s="247"/>
      <c r="B1230" s="248"/>
      <c r="C1230" s="249"/>
      <c r="D1230" s="248"/>
      <c r="E1230" s="250"/>
      <c r="F1230" s="248"/>
      <c r="G1230" s="56"/>
      <c r="H1230" s="251">
        <v>0.0</v>
      </c>
      <c r="I1230" s="251">
        <v>0.0</v>
      </c>
      <c r="J1230" s="251"/>
      <c r="K1230" s="252"/>
    </row>
    <row r="1231" ht="27.75" customHeight="1">
      <c r="A1231" s="247"/>
      <c r="B1231" s="248"/>
      <c r="C1231" s="249"/>
      <c r="D1231" s="248"/>
      <c r="E1231" s="250"/>
      <c r="F1231" s="248"/>
      <c r="G1231" s="56"/>
      <c r="H1231" s="251">
        <v>0.0</v>
      </c>
      <c r="I1231" s="251">
        <v>0.0</v>
      </c>
      <c r="J1231" s="251"/>
      <c r="K1231" s="252"/>
    </row>
    <row r="1232" ht="27.75" customHeight="1">
      <c r="A1232" s="247"/>
      <c r="B1232" s="248"/>
      <c r="C1232" s="249"/>
      <c r="D1232" s="248"/>
      <c r="E1232" s="250"/>
      <c r="F1232" s="248"/>
      <c r="G1232" s="56"/>
      <c r="H1232" s="251">
        <v>0.0</v>
      </c>
      <c r="I1232" s="251">
        <v>0.0</v>
      </c>
      <c r="J1232" s="251"/>
      <c r="K1232" s="252"/>
    </row>
    <row r="1233" ht="27.75" customHeight="1">
      <c r="A1233" s="247"/>
      <c r="B1233" s="248"/>
      <c r="C1233" s="249"/>
      <c r="D1233" s="248"/>
      <c r="E1233" s="250"/>
      <c r="F1233" s="248"/>
      <c r="G1233" s="56"/>
      <c r="H1233" s="251">
        <v>0.0</v>
      </c>
      <c r="I1233" s="251">
        <v>0.0</v>
      </c>
      <c r="J1233" s="251"/>
      <c r="K1233" s="252"/>
    </row>
    <row r="1234" ht="27.75" customHeight="1">
      <c r="A1234" s="247"/>
      <c r="B1234" s="248"/>
      <c r="C1234" s="249"/>
      <c r="D1234" s="248"/>
      <c r="E1234" s="250"/>
      <c r="F1234" s="248"/>
      <c r="G1234" s="56"/>
      <c r="H1234" s="251">
        <v>0.0</v>
      </c>
      <c r="I1234" s="251">
        <v>0.0</v>
      </c>
      <c r="J1234" s="251"/>
      <c r="K1234" s="252"/>
    </row>
    <row r="1235" ht="27.75" customHeight="1">
      <c r="A1235" s="247"/>
      <c r="B1235" s="248"/>
      <c r="C1235" s="249"/>
      <c r="D1235" s="248"/>
      <c r="E1235" s="250"/>
      <c r="F1235" s="248"/>
      <c r="G1235" s="56"/>
      <c r="H1235" s="251">
        <v>0.0</v>
      </c>
      <c r="I1235" s="251">
        <v>0.0</v>
      </c>
      <c r="J1235" s="251"/>
      <c r="K1235" s="252"/>
    </row>
    <row r="1236" ht="27.75" customHeight="1">
      <c r="A1236" s="247"/>
      <c r="B1236" s="248"/>
      <c r="C1236" s="249"/>
      <c r="D1236" s="248"/>
      <c r="E1236" s="250"/>
      <c r="F1236" s="248"/>
      <c r="G1236" s="56"/>
      <c r="H1236" s="251">
        <v>0.0</v>
      </c>
      <c r="I1236" s="251">
        <v>0.0</v>
      </c>
      <c r="J1236" s="251"/>
      <c r="K1236" s="252"/>
    </row>
    <row r="1237" ht="27.75" customHeight="1">
      <c r="A1237" s="247"/>
      <c r="B1237" s="248"/>
      <c r="C1237" s="249"/>
      <c r="D1237" s="248"/>
      <c r="E1237" s="250"/>
      <c r="F1237" s="248"/>
      <c r="G1237" s="56"/>
      <c r="H1237" s="251">
        <v>0.0</v>
      </c>
      <c r="I1237" s="251">
        <v>0.0</v>
      </c>
      <c r="J1237" s="251"/>
      <c r="K1237" s="252"/>
    </row>
    <row r="1238" ht="27.75" customHeight="1">
      <c r="A1238" s="247"/>
      <c r="B1238" s="248"/>
      <c r="C1238" s="249"/>
      <c r="D1238" s="248"/>
      <c r="E1238" s="250"/>
      <c r="F1238" s="248"/>
      <c r="G1238" s="56"/>
      <c r="H1238" s="251">
        <v>0.0</v>
      </c>
      <c r="I1238" s="251">
        <v>0.0</v>
      </c>
      <c r="J1238" s="251"/>
      <c r="K1238" s="252"/>
    </row>
    <row r="1239" ht="27.75" customHeight="1">
      <c r="A1239" s="247"/>
      <c r="B1239" s="248"/>
      <c r="C1239" s="249"/>
      <c r="D1239" s="248"/>
      <c r="E1239" s="250"/>
      <c r="F1239" s="248"/>
      <c r="G1239" s="56"/>
      <c r="H1239" s="251">
        <v>0.0</v>
      </c>
      <c r="I1239" s="251">
        <v>0.0</v>
      </c>
      <c r="J1239" s="251"/>
      <c r="K1239" s="252"/>
    </row>
    <row r="1240" ht="27.75" customHeight="1">
      <c r="A1240" s="247"/>
      <c r="B1240" s="248"/>
      <c r="C1240" s="249"/>
      <c r="D1240" s="248"/>
      <c r="E1240" s="250"/>
      <c r="F1240" s="248"/>
      <c r="G1240" s="56"/>
      <c r="H1240" s="251">
        <v>0.0</v>
      </c>
      <c r="I1240" s="251">
        <v>0.0</v>
      </c>
      <c r="J1240" s="251"/>
      <c r="K1240" s="252"/>
    </row>
    <row r="1241" ht="27.75" customHeight="1">
      <c r="A1241" s="247"/>
      <c r="B1241" s="248"/>
      <c r="C1241" s="249"/>
      <c r="D1241" s="248"/>
      <c r="E1241" s="250"/>
      <c r="F1241" s="248"/>
      <c r="G1241" s="56"/>
      <c r="H1241" s="251">
        <v>0.0</v>
      </c>
      <c r="I1241" s="251">
        <v>0.0</v>
      </c>
      <c r="J1241" s="251"/>
      <c r="K1241" s="252"/>
    </row>
    <row r="1242" ht="27.75" customHeight="1">
      <c r="A1242" s="247"/>
      <c r="B1242" s="248"/>
      <c r="C1242" s="249"/>
      <c r="D1242" s="248"/>
      <c r="E1242" s="250"/>
      <c r="F1242" s="248"/>
      <c r="G1242" s="56"/>
      <c r="H1242" s="251">
        <v>0.0</v>
      </c>
      <c r="I1242" s="251">
        <v>0.0</v>
      </c>
      <c r="J1242" s="251"/>
      <c r="K1242" s="252"/>
    </row>
    <row r="1243" ht="27.75" customHeight="1">
      <c r="A1243" s="247"/>
      <c r="B1243" s="248"/>
      <c r="C1243" s="249"/>
      <c r="D1243" s="248"/>
      <c r="E1243" s="250"/>
      <c r="F1243" s="248"/>
      <c r="G1243" s="56"/>
      <c r="H1243" s="251">
        <v>0.0</v>
      </c>
      <c r="I1243" s="251">
        <v>0.0</v>
      </c>
      <c r="J1243" s="251"/>
      <c r="K1243" s="252"/>
    </row>
    <row r="1244" ht="27.75" customHeight="1">
      <c r="A1244" s="247"/>
      <c r="B1244" s="248"/>
      <c r="C1244" s="249"/>
      <c r="D1244" s="248"/>
      <c r="E1244" s="250"/>
      <c r="F1244" s="248"/>
      <c r="G1244" s="56"/>
      <c r="H1244" s="251">
        <v>0.0</v>
      </c>
      <c r="I1244" s="251">
        <v>0.0</v>
      </c>
      <c r="J1244" s="251"/>
      <c r="K1244" s="252"/>
    </row>
    <row r="1245" ht="27.75" customHeight="1">
      <c r="A1245" s="247"/>
      <c r="B1245" s="248"/>
      <c r="C1245" s="249"/>
      <c r="D1245" s="248"/>
      <c r="E1245" s="250"/>
      <c r="F1245" s="248"/>
      <c r="G1245" s="56"/>
      <c r="H1245" s="251">
        <v>0.0</v>
      </c>
      <c r="I1245" s="251">
        <v>0.0</v>
      </c>
      <c r="J1245" s="251"/>
      <c r="K1245" s="252"/>
    </row>
    <row r="1246" ht="27.75" customHeight="1">
      <c r="A1246" s="247"/>
      <c r="B1246" s="248"/>
      <c r="C1246" s="249"/>
      <c r="D1246" s="248"/>
      <c r="E1246" s="250"/>
      <c r="F1246" s="248"/>
      <c r="G1246" s="56"/>
      <c r="H1246" s="251">
        <v>0.0</v>
      </c>
      <c r="I1246" s="251">
        <v>0.0</v>
      </c>
      <c r="J1246" s="251"/>
      <c r="K1246" s="252"/>
    </row>
    <row r="1247" ht="27.75" customHeight="1">
      <c r="A1247" s="247"/>
      <c r="B1247" s="248"/>
      <c r="C1247" s="249"/>
      <c r="D1247" s="248"/>
      <c r="E1247" s="250"/>
      <c r="F1247" s="248"/>
      <c r="G1247" s="56"/>
      <c r="H1247" s="251">
        <v>0.0</v>
      </c>
      <c r="I1247" s="251">
        <v>0.0</v>
      </c>
      <c r="J1247" s="251"/>
      <c r="K1247" s="252"/>
    </row>
    <row r="1248" ht="27.75" customHeight="1">
      <c r="A1248" s="247"/>
      <c r="B1248" s="248"/>
      <c r="C1248" s="249"/>
      <c r="D1248" s="248"/>
      <c r="E1248" s="250"/>
      <c r="F1248" s="248"/>
      <c r="G1248" s="56"/>
      <c r="H1248" s="251">
        <v>0.0</v>
      </c>
      <c r="I1248" s="251">
        <v>0.0</v>
      </c>
      <c r="J1248" s="251"/>
      <c r="K1248" s="252"/>
    </row>
    <row r="1249" ht="27.75" customHeight="1">
      <c r="A1249" s="247"/>
      <c r="B1249" s="248"/>
      <c r="C1249" s="249"/>
      <c r="D1249" s="248"/>
      <c r="E1249" s="250"/>
      <c r="F1249" s="248"/>
      <c r="G1249" s="56"/>
      <c r="H1249" s="251">
        <v>0.0</v>
      </c>
      <c r="I1249" s="251">
        <v>0.0</v>
      </c>
      <c r="J1249" s="251"/>
      <c r="K1249" s="252"/>
    </row>
    <row r="1250" ht="27.75" customHeight="1">
      <c r="A1250" s="247"/>
      <c r="B1250" s="248"/>
      <c r="C1250" s="249"/>
      <c r="D1250" s="248"/>
      <c r="E1250" s="250"/>
      <c r="F1250" s="248"/>
      <c r="G1250" s="56"/>
      <c r="H1250" s="251">
        <v>0.0</v>
      </c>
      <c r="I1250" s="251">
        <v>0.0</v>
      </c>
      <c r="J1250" s="251"/>
      <c r="K1250" s="252"/>
    </row>
    <row r="1251" ht="27.75" customHeight="1">
      <c r="A1251" s="247"/>
      <c r="B1251" s="248"/>
      <c r="C1251" s="249"/>
      <c r="D1251" s="248"/>
      <c r="E1251" s="250"/>
      <c r="F1251" s="248"/>
      <c r="G1251" s="56"/>
      <c r="H1251" s="251">
        <v>0.0</v>
      </c>
      <c r="I1251" s="251">
        <v>0.0</v>
      </c>
      <c r="J1251" s="251"/>
      <c r="K1251" s="252"/>
    </row>
    <row r="1252" ht="27.75" customHeight="1">
      <c r="A1252" s="247"/>
      <c r="B1252" s="248"/>
      <c r="C1252" s="249"/>
      <c r="D1252" s="248"/>
      <c r="E1252" s="250"/>
      <c r="F1252" s="248"/>
      <c r="G1252" s="56"/>
      <c r="H1252" s="251">
        <v>0.0</v>
      </c>
      <c r="I1252" s="251">
        <v>0.0</v>
      </c>
      <c r="J1252" s="251"/>
      <c r="K1252" s="252"/>
    </row>
    <row r="1253" ht="27.75" customHeight="1">
      <c r="A1253" s="247"/>
      <c r="B1253" s="248"/>
      <c r="C1253" s="249"/>
      <c r="D1253" s="248"/>
      <c r="E1253" s="250"/>
      <c r="F1253" s="248"/>
      <c r="G1253" s="56"/>
      <c r="H1253" s="251">
        <v>0.0</v>
      </c>
      <c r="I1253" s="251">
        <v>0.0</v>
      </c>
      <c r="J1253" s="251"/>
      <c r="K1253" s="252"/>
    </row>
    <row r="1254" ht="27.75" customHeight="1">
      <c r="A1254" s="247"/>
      <c r="B1254" s="248"/>
      <c r="C1254" s="249"/>
      <c r="D1254" s="248"/>
      <c r="E1254" s="250"/>
      <c r="F1254" s="248"/>
      <c r="G1254" s="56"/>
      <c r="H1254" s="251">
        <v>0.0</v>
      </c>
      <c r="I1254" s="251">
        <v>0.0</v>
      </c>
      <c r="J1254" s="251"/>
      <c r="K1254" s="252"/>
    </row>
    <row r="1255" ht="27.75" customHeight="1">
      <c r="A1255" s="247"/>
      <c r="B1255" s="248"/>
      <c r="C1255" s="249"/>
      <c r="D1255" s="248"/>
      <c r="E1255" s="250"/>
      <c r="F1255" s="248"/>
      <c r="G1255" s="56"/>
      <c r="H1255" s="251">
        <v>0.0</v>
      </c>
      <c r="I1255" s="251">
        <v>0.0</v>
      </c>
      <c r="J1255" s="251"/>
      <c r="K1255" s="252"/>
    </row>
    <row r="1256" ht="27.75" customHeight="1">
      <c r="A1256" s="247"/>
      <c r="B1256" s="248"/>
      <c r="C1256" s="249"/>
      <c r="D1256" s="248"/>
      <c r="E1256" s="250"/>
      <c r="F1256" s="248"/>
      <c r="G1256" s="56"/>
      <c r="H1256" s="251">
        <v>0.0</v>
      </c>
      <c r="I1256" s="251">
        <v>0.0</v>
      </c>
      <c r="J1256" s="251"/>
      <c r="K1256" s="252"/>
    </row>
    <row r="1257" ht="27.75" customHeight="1">
      <c r="A1257" s="247"/>
      <c r="B1257" s="248"/>
      <c r="C1257" s="249"/>
      <c r="D1257" s="248"/>
      <c r="E1257" s="250"/>
      <c r="F1257" s="248"/>
      <c r="G1257" s="56"/>
      <c r="H1257" s="251">
        <v>0.0</v>
      </c>
      <c r="I1257" s="251">
        <v>0.0</v>
      </c>
      <c r="J1257" s="251"/>
      <c r="K1257" s="252"/>
    </row>
    <row r="1258" ht="27.75" customHeight="1">
      <c r="A1258" s="247"/>
      <c r="B1258" s="248"/>
      <c r="C1258" s="249"/>
      <c r="D1258" s="248"/>
      <c r="E1258" s="250"/>
      <c r="F1258" s="248"/>
      <c r="G1258" s="56"/>
      <c r="H1258" s="251">
        <v>0.0</v>
      </c>
      <c r="I1258" s="251">
        <v>0.0</v>
      </c>
      <c r="J1258" s="251"/>
      <c r="K1258" s="252"/>
    </row>
    <row r="1259" ht="27.75" customHeight="1">
      <c r="A1259" s="247"/>
      <c r="B1259" s="248"/>
      <c r="C1259" s="249"/>
      <c r="D1259" s="248"/>
      <c r="E1259" s="250"/>
      <c r="F1259" s="248"/>
      <c r="G1259" s="56"/>
      <c r="H1259" s="251">
        <v>0.0</v>
      </c>
      <c r="I1259" s="251">
        <v>0.0</v>
      </c>
      <c r="J1259" s="251"/>
      <c r="K1259" s="252"/>
    </row>
    <row r="1260" ht="27.75" customHeight="1">
      <c r="A1260" s="247"/>
      <c r="B1260" s="248"/>
      <c r="C1260" s="249"/>
      <c r="D1260" s="248"/>
      <c r="E1260" s="250"/>
      <c r="F1260" s="248"/>
      <c r="G1260" s="56"/>
      <c r="H1260" s="251">
        <v>0.0</v>
      </c>
      <c r="I1260" s="251">
        <v>0.0</v>
      </c>
      <c r="J1260" s="251"/>
      <c r="K1260" s="252"/>
    </row>
    <row r="1261" ht="27.75" customHeight="1">
      <c r="A1261" s="247"/>
      <c r="B1261" s="248"/>
      <c r="C1261" s="249"/>
      <c r="D1261" s="248"/>
      <c r="E1261" s="250"/>
      <c r="F1261" s="248"/>
      <c r="G1261" s="56"/>
      <c r="H1261" s="251">
        <v>0.0</v>
      </c>
      <c r="I1261" s="251">
        <v>0.0</v>
      </c>
      <c r="J1261" s="251"/>
      <c r="K1261" s="252"/>
    </row>
    <row r="1262" ht="27.75" customHeight="1">
      <c r="A1262" s="247"/>
      <c r="B1262" s="248"/>
      <c r="C1262" s="249"/>
      <c r="D1262" s="248"/>
      <c r="E1262" s="250"/>
      <c r="F1262" s="248"/>
      <c r="G1262" s="56"/>
      <c r="H1262" s="251">
        <v>0.0</v>
      </c>
      <c r="I1262" s="251">
        <v>0.0</v>
      </c>
      <c r="J1262" s="251"/>
      <c r="K1262" s="252"/>
    </row>
    <row r="1263" ht="27.75" customHeight="1">
      <c r="A1263" s="247"/>
      <c r="B1263" s="248"/>
      <c r="C1263" s="249"/>
      <c r="D1263" s="248"/>
      <c r="E1263" s="250"/>
      <c r="F1263" s="248"/>
      <c r="G1263" s="56"/>
      <c r="H1263" s="251">
        <v>0.0</v>
      </c>
      <c r="I1263" s="251">
        <v>0.0</v>
      </c>
      <c r="J1263" s="251"/>
      <c r="K1263" s="252"/>
    </row>
    <row r="1264" ht="27.75" customHeight="1">
      <c r="A1264" s="247"/>
      <c r="B1264" s="248"/>
      <c r="C1264" s="249"/>
      <c r="D1264" s="248"/>
      <c r="E1264" s="250"/>
      <c r="F1264" s="248"/>
      <c r="G1264" s="56"/>
      <c r="H1264" s="251">
        <v>0.0</v>
      </c>
      <c r="I1264" s="251">
        <v>0.0</v>
      </c>
      <c r="J1264" s="251"/>
      <c r="K1264" s="252"/>
    </row>
    <row r="1265" ht="27.75" customHeight="1">
      <c r="A1265" s="247"/>
      <c r="B1265" s="248"/>
      <c r="C1265" s="249"/>
      <c r="D1265" s="248"/>
      <c r="E1265" s="250"/>
      <c r="F1265" s="248"/>
      <c r="G1265" s="56"/>
      <c r="H1265" s="251">
        <v>0.0</v>
      </c>
      <c r="I1265" s="251">
        <v>0.0</v>
      </c>
      <c r="J1265" s="251"/>
      <c r="K1265" s="252"/>
    </row>
    <row r="1266" ht="27.75" customHeight="1">
      <c r="A1266" s="247"/>
      <c r="B1266" s="248"/>
      <c r="C1266" s="249"/>
      <c r="D1266" s="248"/>
      <c r="E1266" s="250"/>
      <c r="F1266" s="248"/>
      <c r="G1266" s="56"/>
      <c r="H1266" s="251">
        <v>0.0</v>
      </c>
      <c r="I1266" s="251">
        <v>0.0</v>
      </c>
      <c r="J1266" s="251"/>
      <c r="K1266" s="252"/>
    </row>
    <row r="1267" ht="27.75" customHeight="1">
      <c r="A1267" s="247"/>
      <c r="B1267" s="248"/>
      <c r="C1267" s="249"/>
      <c r="D1267" s="248"/>
      <c r="E1267" s="250"/>
      <c r="F1267" s="248"/>
      <c r="G1267" s="56"/>
      <c r="H1267" s="251">
        <v>0.0</v>
      </c>
      <c r="I1267" s="251">
        <v>0.0</v>
      </c>
      <c r="J1267" s="251"/>
      <c r="K1267" s="252"/>
    </row>
    <row r="1268" ht="27.75" customHeight="1">
      <c r="A1268" s="247"/>
      <c r="B1268" s="248"/>
      <c r="C1268" s="249"/>
      <c r="D1268" s="248"/>
      <c r="E1268" s="250"/>
      <c r="F1268" s="248"/>
      <c r="G1268" s="56"/>
      <c r="H1268" s="251">
        <v>0.0</v>
      </c>
      <c r="I1268" s="251">
        <v>0.0</v>
      </c>
      <c r="J1268" s="251"/>
      <c r="K1268" s="252"/>
    </row>
    <row r="1269" ht="27.75" customHeight="1">
      <c r="A1269" s="247"/>
      <c r="B1269" s="248"/>
      <c r="C1269" s="249"/>
      <c r="D1269" s="248"/>
      <c r="E1269" s="250"/>
      <c r="F1269" s="248"/>
      <c r="G1269" s="56"/>
      <c r="H1269" s="251">
        <v>0.0</v>
      </c>
      <c r="I1269" s="251">
        <v>0.0</v>
      </c>
      <c r="J1269" s="251"/>
      <c r="K1269" s="252"/>
    </row>
    <row r="1270" ht="27.75" customHeight="1">
      <c r="A1270" s="247"/>
      <c r="B1270" s="248"/>
      <c r="C1270" s="249"/>
      <c r="D1270" s="248"/>
      <c r="E1270" s="250"/>
      <c r="F1270" s="248"/>
      <c r="G1270" s="56"/>
      <c r="H1270" s="251">
        <v>0.0</v>
      </c>
      <c r="I1270" s="251">
        <v>0.0</v>
      </c>
      <c r="J1270" s="251"/>
      <c r="K1270" s="252"/>
    </row>
    <row r="1271" ht="27.75" customHeight="1">
      <c r="A1271" s="247"/>
      <c r="B1271" s="248"/>
      <c r="C1271" s="249"/>
      <c r="D1271" s="248"/>
      <c r="E1271" s="250"/>
      <c r="F1271" s="248"/>
      <c r="G1271" s="56"/>
      <c r="H1271" s="251">
        <v>0.0</v>
      </c>
      <c r="I1271" s="251">
        <v>0.0</v>
      </c>
      <c r="J1271" s="251"/>
      <c r="K1271" s="252"/>
    </row>
    <row r="1272" ht="27.75" customHeight="1">
      <c r="A1272" s="247"/>
      <c r="B1272" s="248"/>
      <c r="C1272" s="249"/>
      <c r="D1272" s="248"/>
      <c r="E1272" s="250"/>
      <c r="F1272" s="248"/>
      <c r="G1272" s="56"/>
      <c r="H1272" s="251">
        <v>0.0</v>
      </c>
      <c r="I1272" s="251">
        <v>0.0</v>
      </c>
      <c r="J1272" s="251"/>
      <c r="K1272" s="252"/>
    </row>
    <row r="1273" ht="27.75" customHeight="1">
      <c r="A1273" s="247"/>
      <c r="B1273" s="248"/>
      <c r="C1273" s="249"/>
      <c r="D1273" s="248"/>
      <c r="E1273" s="250"/>
      <c r="F1273" s="248"/>
      <c r="G1273" s="56"/>
      <c r="H1273" s="251">
        <v>0.0</v>
      </c>
      <c r="I1273" s="251">
        <v>0.0</v>
      </c>
      <c r="J1273" s="251"/>
      <c r="K1273" s="252"/>
    </row>
    <row r="1274" ht="27.75" customHeight="1">
      <c r="A1274" s="247"/>
      <c r="B1274" s="248"/>
      <c r="C1274" s="249"/>
      <c r="D1274" s="248"/>
      <c r="E1274" s="250"/>
      <c r="F1274" s="248"/>
      <c r="G1274" s="56"/>
      <c r="H1274" s="251">
        <v>0.0</v>
      </c>
      <c r="I1274" s="251">
        <v>0.0</v>
      </c>
      <c r="J1274" s="251"/>
      <c r="K1274" s="252"/>
    </row>
    <row r="1275" ht="27.75" customHeight="1">
      <c r="A1275" s="247"/>
      <c r="B1275" s="248"/>
      <c r="C1275" s="249"/>
      <c r="D1275" s="248"/>
      <c r="E1275" s="250"/>
      <c r="F1275" s="248"/>
      <c r="G1275" s="56"/>
      <c r="H1275" s="251">
        <v>0.0</v>
      </c>
      <c r="I1275" s="251">
        <v>0.0</v>
      </c>
      <c r="J1275" s="251"/>
      <c r="K1275" s="252"/>
    </row>
    <row r="1276" ht="27.75" customHeight="1">
      <c r="A1276" s="247"/>
      <c r="B1276" s="248"/>
      <c r="C1276" s="249"/>
      <c r="D1276" s="248"/>
      <c r="E1276" s="250"/>
      <c r="F1276" s="248"/>
      <c r="G1276" s="56"/>
      <c r="H1276" s="251">
        <v>0.0</v>
      </c>
      <c r="I1276" s="251">
        <v>0.0</v>
      </c>
      <c r="J1276" s="251"/>
      <c r="K1276" s="252"/>
    </row>
    <row r="1277" ht="27.75" customHeight="1">
      <c r="A1277" s="247"/>
      <c r="B1277" s="248"/>
      <c r="C1277" s="249"/>
      <c r="D1277" s="248"/>
      <c r="E1277" s="250"/>
      <c r="F1277" s="248"/>
      <c r="G1277" s="56"/>
      <c r="H1277" s="251">
        <v>0.0</v>
      </c>
      <c r="I1277" s="251">
        <v>0.0</v>
      </c>
      <c r="J1277" s="251"/>
      <c r="K1277" s="252"/>
    </row>
    <row r="1278" ht="27.75" customHeight="1">
      <c r="A1278" s="247"/>
      <c r="B1278" s="248"/>
      <c r="C1278" s="249"/>
      <c r="D1278" s="248"/>
      <c r="E1278" s="250"/>
      <c r="F1278" s="248"/>
      <c r="G1278" s="56"/>
      <c r="H1278" s="251">
        <v>0.0</v>
      </c>
      <c r="I1278" s="251">
        <v>0.0</v>
      </c>
      <c r="J1278" s="251"/>
      <c r="K1278" s="252"/>
    </row>
    <row r="1279" ht="27.75" customHeight="1">
      <c r="A1279" s="247"/>
      <c r="B1279" s="248"/>
      <c r="C1279" s="249"/>
      <c r="D1279" s="248"/>
      <c r="E1279" s="250"/>
      <c r="F1279" s="248"/>
      <c r="G1279" s="56"/>
      <c r="H1279" s="251">
        <v>0.0</v>
      </c>
      <c r="I1279" s="251">
        <v>0.0</v>
      </c>
      <c r="J1279" s="251"/>
      <c r="K1279" s="252"/>
    </row>
    <row r="1280" ht="27.75" customHeight="1">
      <c r="A1280" s="247"/>
      <c r="B1280" s="248"/>
      <c r="C1280" s="249"/>
      <c r="D1280" s="248"/>
      <c r="E1280" s="250"/>
      <c r="F1280" s="248"/>
      <c r="G1280" s="56"/>
      <c r="H1280" s="251">
        <v>0.0</v>
      </c>
      <c r="I1280" s="251">
        <v>0.0</v>
      </c>
      <c r="J1280" s="251"/>
      <c r="K1280" s="252"/>
    </row>
    <row r="1281" ht="27.75" customHeight="1">
      <c r="A1281" s="247"/>
      <c r="B1281" s="248"/>
      <c r="C1281" s="249"/>
      <c r="D1281" s="248"/>
      <c r="E1281" s="250"/>
      <c r="F1281" s="248"/>
      <c r="G1281" s="56"/>
      <c r="H1281" s="251">
        <v>0.0</v>
      </c>
      <c r="I1281" s="251">
        <v>0.0</v>
      </c>
      <c r="J1281" s="251"/>
      <c r="K1281" s="252"/>
    </row>
    <row r="1282" ht="27.75" customHeight="1">
      <c r="A1282" s="247"/>
      <c r="B1282" s="248"/>
      <c r="C1282" s="249"/>
      <c r="D1282" s="248"/>
      <c r="E1282" s="250"/>
      <c r="F1282" s="248"/>
      <c r="G1282" s="56"/>
      <c r="H1282" s="251">
        <v>0.0</v>
      </c>
      <c r="I1282" s="251">
        <v>0.0</v>
      </c>
      <c r="J1282" s="251"/>
      <c r="K1282" s="252"/>
    </row>
    <row r="1283" ht="27.75" customHeight="1">
      <c r="A1283" s="247"/>
      <c r="B1283" s="248"/>
      <c r="C1283" s="249"/>
      <c r="D1283" s="248"/>
      <c r="E1283" s="250"/>
      <c r="F1283" s="248"/>
      <c r="G1283" s="56"/>
      <c r="H1283" s="251">
        <v>0.0</v>
      </c>
      <c r="I1283" s="251">
        <v>0.0</v>
      </c>
      <c r="J1283" s="251"/>
      <c r="K1283" s="252"/>
    </row>
    <row r="1284" ht="27.75" customHeight="1">
      <c r="A1284" s="247"/>
      <c r="B1284" s="248"/>
      <c r="C1284" s="249"/>
      <c r="D1284" s="248"/>
      <c r="E1284" s="250"/>
      <c r="F1284" s="248"/>
      <c r="G1284" s="56"/>
      <c r="H1284" s="251">
        <v>0.0</v>
      </c>
      <c r="I1284" s="251">
        <v>0.0</v>
      </c>
      <c r="J1284" s="251"/>
      <c r="K1284" s="252"/>
    </row>
    <row r="1285" ht="27.75" customHeight="1">
      <c r="A1285" s="247"/>
      <c r="B1285" s="248"/>
      <c r="C1285" s="249"/>
      <c r="D1285" s="248"/>
      <c r="E1285" s="250"/>
      <c r="F1285" s="248"/>
      <c r="G1285" s="56"/>
      <c r="H1285" s="251">
        <v>0.0</v>
      </c>
      <c r="I1285" s="251">
        <v>0.0</v>
      </c>
      <c r="J1285" s="251"/>
      <c r="K1285" s="252"/>
    </row>
    <row r="1286" ht="27.75" customHeight="1">
      <c r="A1286" s="247"/>
      <c r="B1286" s="248"/>
      <c r="C1286" s="249"/>
      <c r="D1286" s="248"/>
      <c r="E1286" s="250"/>
      <c r="F1286" s="248"/>
      <c r="G1286" s="56"/>
      <c r="H1286" s="251">
        <v>0.0</v>
      </c>
      <c r="I1286" s="251">
        <v>0.0</v>
      </c>
      <c r="J1286" s="251"/>
      <c r="K1286" s="252"/>
    </row>
    <row r="1287" ht="27.75" customHeight="1">
      <c r="A1287" s="247"/>
      <c r="B1287" s="248"/>
      <c r="C1287" s="249"/>
      <c r="D1287" s="248"/>
      <c r="E1287" s="250"/>
      <c r="F1287" s="248"/>
      <c r="G1287" s="56"/>
      <c r="H1287" s="251">
        <v>0.0</v>
      </c>
      <c r="I1287" s="251">
        <v>0.0</v>
      </c>
      <c r="J1287" s="251"/>
      <c r="K1287" s="252"/>
    </row>
    <row r="1288" ht="27.75" customHeight="1">
      <c r="A1288" s="247"/>
      <c r="B1288" s="248"/>
      <c r="C1288" s="249"/>
      <c r="D1288" s="248"/>
      <c r="E1288" s="250"/>
      <c r="F1288" s="248"/>
      <c r="G1288" s="56"/>
      <c r="H1288" s="251">
        <v>0.0</v>
      </c>
      <c r="I1288" s="251">
        <v>0.0</v>
      </c>
      <c r="J1288" s="251"/>
      <c r="K1288" s="252"/>
    </row>
    <row r="1289" ht="27.75" customHeight="1">
      <c r="A1289" s="247"/>
      <c r="B1289" s="248"/>
      <c r="C1289" s="249"/>
      <c r="D1289" s="248"/>
      <c r="E1289" s="250"/>
      <c r="F1289" s="248"/>
      <c r="G1289" s="56"/>
      <c r="H1289" s="251">
        <v>0.0</v>
      </c>
      <c r="I1289" s="251">
        <v>0.0</v>
      </c>
      <c r="J1289" s="251"/>
      <c r="K1289" s="252"/>
    </row>
    <row r="1290" ht="27.75" customHeight="1">
      <c r="A1290" s="247"/>
      <c r="B1290" s="248"/>
      <c r="C1290" s="249"/>
      <c r="D1290" s="248"/>
      <c r="E1290" s="250"/>
      <c r="F1290" s="248"/>
      <c r="G1290" s="56"/>
      <c r="H1290" s="251">
        <v>0.0</v>
      </c>
      <c r="I1290" s="251">
        <v>0.0</v>
      </c>
      <c r="J1290" s="251"/>
      <c r="K1290" s="252"/>
    </row>
    <row r="1291" ht="27.75" customHeight="1">
      <c r="A1291" s="247"/>
      <c r="B1291" s="248"/>
      <c r="C1291" s="249"/>
      <c r="D1291" s="248"/>
      <c r="E1291" s="250"/>
      <c r="F1291" s="248"/>
      <c r="G1291" s="56"/>
      <c r="H1291" s="251">
        <v>0.0</v>
      </c>
      <c r="I1291" s="251">
        <v>0.0</v>
      </c>
      <c r="J1291" s="251"/>
      <c r="K1291" s="252"/>
    </row>
    <row r="1292" ht="27.75" customHeight="1">
      <c r="A1292" s="247"/>
      <c r="B1292" s="248"/>
      <c r="C1292" s="249"/>
      <c r="D1292" s="248"/>
      <c r="E1292" s="250"/>
      <c r="F1292" s="248"/>
      <c r="G1292" s="56"/>
      <c r="H1292" s="251">
        <v>0.0</v>
      </c>
      <c r="I1292" s="251">
        <v>0.0</v>
      </c>
      <c r="J1292" s="251"/>
      <c r="K1292" s="252"/>
    </row>
    <row r="1293" ht="27.75" customHeight="1">
      <c r="A1293" s="247"/>
      <c r="B1293" s="248"/>
      <c r="C1293" s="249"/>
      <c r="D1293" s="248"/>
      <c r="E1293" s="250"/>
      <c r="F1293" s="248"/>
      <c r="G1293" s="56"/>
      <c r="H1293" s="251">
        <v>0.0</v>
      </c>
      <c r="I1293" s="251">
        <v>0.0</v>
      </c>
      <c r="J1293" s="251"/>
      <c r="K1293" s="252"/>
    </row>
    <row r="1294" ht="27.75" customHeight="1">
      <c r="A1294" s="247"/>
      <c r="B1294" s="248"/>
      <c r="C1294" s="249"/>
      <c r="D1294" s="248"/>
      <c r="E1294" s="250"/>
      <c r="F1294" s="248"/>
      <c r="G1294" s="56"/>
      <c r="H1294" s="251">
        <v>0.0</v>
      </c>
      <c r="I1294" s="251">
        <v>0.0</v>
      </c>
      <c r="J1294" s="251"/>
      <c r="K1294" s="252"/>
    </row>
    <row r="1295" ht="27.75" customHeight="1">
      <c r="A1295" s="247"/>
      <c r="B1295" s="248"/>
      <c r="C1295" s="249"/>
      <c r="D1295" s="248"/>
      <c r="E1295" s="250"/>
      <c r="F1295" s="248"/>
      <c r="G1295" s="56"/>
      <c r="H1295" s="251">
        <v>0.0</v>
      </c>
      <c r="I1295" s="251">
        <v>0.0</v>
      </c>
      <c r="J1295" s="251"/>
      <c r="K1295" s="252"/>
    </row>
    <row r="1296" ht="27.75" customHeight="1">
      <c r="A1296" s="247"/>
      <c r="B1296" s="248"/>
      <c r="C1296" s="249"/>
      <c r="D1296" s="248"/>
      <c r="E1296" s="250"/>
      <c r="F1296" s="248"/>
      <c r="G1296" s="56"/>
      <c r="H1296" s="251">
        <v>0.0</v>
      </c>
      <c r="I1296" s="251">
        <v>0.0</v>
      </c>
      <c r="J1296" s="251"/>
      <c r="K1296" s="252"/>
    </row>
    <row r="1297" ht="27.75" customHeight="1">
      <c r="A1297" s="247"/>
      <c r="B1297" s="248"/>
      <c r="C1297" s="249"/>
      <c r="D1297" s="248"/>
      <c r="E1297" s="250"/>
      <c r="F1297" s="248"/>
      <c r="G1297" s="56"/>
      <c r="H1297" s="251">
        <v>0.0</v>
      </c>
      <c r="I1297" s="251">
        <v>0.0</v>
      </c>
      <c r="J1297" s="251"/>
      <c r="K1297" s="252"/>
    </row>
    <row r="1298" ht="27.75" customHeight="1">
      <c r="A1298" s="247"/>
      <c r="B1298" s="248"/>
      <c r="C1298" s="249"/>
      <c r="D1298" s="248"/>
      <c r="E1298" s="250"/>
      <c r="F1298" s="248"/>
      <c r="G1298" s="56"/>
      <c r="H1298" s="251">
        <v>0.0</v>
      </c>
      <c r="I1298" s="251">
        <v>0.0</v>
      </c>
      <c r="J1298" s="251"/>
      <c r="K1298" s="252"/>
    </row>
    <row r="1299" ht="27.75" customHeight="1">
      <c r="A1299" s="247"/>
      <c r="B1299" s="248"/>
      <c r="C1299" s="249"/>
      <c r="D1299" s="248"/>
      <c r="E1299" s="250"/>
      <c r="F1299" s="248"/>
      <c r="G1299" s="56"/>
      <c r="H1299" s="251">
        <v>0.0</v>
      </c>
      <c r="I1299" s="251">
        <v>0.0</v>
      </c>
      <c r="J1299" s="251"/>
      <c r="K1299" s="252"/>
    </row>
    <row r="1300" ht="27.75" customHeight="1">
      <c r="A1300" s="247"/>
      <c r="B1300" s="248"/>
      <c r="C1300" s="249"/>
      <c r="D1300" s="248"/>
      <c r="E1300" s="250"/>
      <c r="F1300" s="248"/>
      <c r="G1300" s="56"/>
      <c r="H1300" s="251">
        <v>0.0</v>
      </c>
      <c r="I1300" s="251">
        <v>0.0</v>
      </c>
      <c r="J1300" s="251"/>
      <c r="K1300" s="252"/>
    </row>
    <row r="1301" ht="27.75" customHeight="1">
      <c r="A1301" s="247"/>
      <c r="B1301" s="248"/>
      <c r="C1301" s="249"/>
      <c r="D1301" s="248"/>
      <c r="E1301" s="250"/>
      <c r="F1301" s="248"/>
      <c r="G1301" s="56"/>
      <c r="H1301" s="251">
        <v>0.0</v>
      </c>
      <c r="I1301" s="251">
        <v>0.0</v>
      </c>
      <c r="J1301" s="251"/>
      <c r="K1301" s="252"/>
    </row>
    <row r="1302" ht="27.75" customHeight="1">
      <c r="A1302" s="247"/>
      <c r="B1302" s="248"/>
      <c r="C1302" s="249"/>
      <c r="D1302" s="248"/>
      <c r="E1302" s="250"/>
      <c r="F1302" s="248"/>
      <c r="G1302" s="56"/>
      <c r="H1302" s="251">
        <v>0.0</v>
      </c>
      <c r="I1302" s="251">
        <v>0.0</v>
      </c>
      <c r="J1302" s="251"/>
      <c r="K1302" s="252"/>
    </row>
    <row r="1303" ht="27.75" customHeight="1">
      <c r="A1303" s="247"/>
      <c r="B1303" s="248"/>
      <c r="C1303" s="249"/>
      <c r="D1303" s="248"/>
      <c r="E1303" s="250"/>
      <c r="F1303" s="248"/>
      <c r="G1303" s="56"/>
      <c r="H1303" s="251">
        <v>0.0</v>
      </c>
      <c r="I1303" s="251">
        <v>0.0</v>
      </c>
      <c r="J1303" s="251"/>
      <c r="K1303" s="252"/>
    </row>
    <row r="1304" ht="27.75" customHeight="1">
      <c r="A1304" s="247"/>
      <c r="B1304" s="248"/>
      <c r="C1304" s="249"/>
      <c r="D1304" s="248"/>
      <c r="E1304" s="250"/>
      <c r="F1304" s="248"/>
      <c r="G1304" s="56"/>
      <c r="H1304" s="251">
        <v>0.0</v>
      </c>
      <c r="I1304" s="251">
        <v>0.0</v>
      </c>
      <c r="J1304" s="251"/>
      <c r="K1304" s="252"/>
    </row>
    <row r="1305" ht="27.75" customHeight="1">
      <c r="A1305" s="247"/>
      <c r="B1305" s="248"/>
      <c r="C1305" s="249"/>
      <c r="D1305" s="248"/>
      <c r="E1305" s="250"/>
      <c r="F1305" s="248"/>
      <c r="G1305" s="56"/>
      <c r="H1305" s="251">
        <v>0.0</v>
      </c>
      <c r="I1305" s="251">
        <v>0.0</v>
      </c>
      <c r="J1305" s="251"/>
      <c r="K1305" s="252"/>
    </row>
    <row r="1306" ht="27.75" customHeight="1">
      <c r="A1306" s="247"/>
      <c r="B1306" s="248"/>
      <c r="C1306" s="249"/>
      <c r="D1306" s="248"/>
      <c r="E1306" s="250"/>
      <c r="F1306" s="248"/>
      <c r="G1306" s="56"/>
      <c r="H1306" s="251">
        <v>0.0</v>
      </c>
      <c r="I1306" s="251">
        <v>0.0</v>
      </c>
      <c r="J1306" s="251"/>
      <c r="K1306" s="252"/>
    </row>
    <row r="1307" ht="27.75" customHeight="1">
      <c r="A1307" s="247"/>
      <c r="B1307" s="248"/>
      <c r="C1307" s="249"/>
      <c r="D1307" s="248"/>
      <c r="E1307" s="250"/>
      <c r="F1307" s="248"/>
      <c r="G1307" s="56"/>
      <c r="H1307" s="251">
        <v>0.0</v>
      </c>
      <c r="I1307" s="251">
        <v>0.0</v>
      </c>
      <c r="J1307" s="251"/>
      <c r="K1307" s="252"/>
    </row>
    <row r="1308" ht="27.75" customHeight="1">
      <c r="A1308" s="247"/>
      <c r="B1308" s="248"/>
      <c r="C1308" s="249"/>
      <c r="D1308" s="248"/>
      <c r="E1308" s="250"/>
      <c r="F1308" s="248"/>
      <c r="G1308" s="56"/>
      <c r="H1308" s="251">
        <v>0.0</v>
      </c>
      <c r="I1308" s="251">
        <v>0.0</v>
      </c>
      <c r="J1308" s="251"/>
      <c r="K1308" s="252"/>
    </row>
    <row r="1309" ht="27.75" customHeight="1">
      <c r="A1309" s="247"/>
      <c r="B1309" s="248"/>
      <c r="C1309" s="249"/>
      <c r="D1309" s="248"/>
      <c r="E1309" s="250"/>
      <c r="F1309" s="248"/>
      <c r="G1309" s="56"/>
      <c r="H1309" s="251">
        <v>0.0</v>
      </c>
      <c r="I1309" s="251">
        <v>0.0</v>
      </c>
      <c r="J1309" s="251"/>
      <c r="K1309" s="252"/>
    </row>
    <row r="1310" ht="27.75" customHeight="1">
      <c r="A1310" s="247"/>
      <c r="B1310" s="248"/>
      <c r="C1310" s="249"/>
      <c r="D1310" s="248"/>
      <c r="E1310" s="250"/>
      <c r="F1310" s="248"/>
      <c r="G1310" s="56"/>
      <c r="H1310" s="251">
        <v>0.0</v>
      </c>
      <c r="I1310" s="251">
        <v>0.0</v>
      </c>
      <c r="J1310" s="251"/>
      <c r="K1310" s="252"/>
    </row>
    <row r="1311" ht="27.75" customHeight="1">
      <c r="A1311" s="247"/>
      <c r="B1311" s="248"/>
      <c r="C1311" s="249"/>
      <c r="D1311" s="248"/>
      <c r="E1311" s="250"/>
      <c r="F1311" s="248"/>
      <c r="G1311" s="56"/>
      <c r="H1311" s="251">
        <v>0.0</v>
      </c>
      <c r="I1311" s="251">
        <v>0.0</v>
      </c>
      <c r="J1311" s="251"/>
      <c r="K1311" s="252"/>
    </row>
    <row r="1312" ht="27.75" customHeight="1">
      <c r="A1312" s="247"/>
      <c r="B1312" s="248"/>
      <c r="C1312" s="249"/>
      <c r="D1312" s="248"/>
      <c r="E1312" s="250"/>
      <c r="F1312" s="248"/>
      <c r="G1312" s="56"/>
      <c r="H1312" s="251">
        <v>0.0</v>
      </c>
      <c r="I1312" s="251">
        <v>0.0</v>
      </c>
      <c r="J1312" s="251"/>
      <c r="K1312" s="252"/>
    </row>
    <row r="1313" ht="27.75" customHeight="1">
      <c r="A1313" s="247"/>
      <c r="B1313" s="248"/>
      <c r="C1313" s="249"/>
      <c r="D1313" s="248"/>
      <c r="E1313" s="250"/>
      <c r="F1313" s="248"/>
      <c r="G1313" s="56"/>
      <c r="H1313" s="251">
        <v>0.0</v>
      </c>
      <c r="I1313" s="251">
        <v>0.0</v>
      </c>
      <c r="J1313" s="251"/>
      <c r="K1313" s="252"/>
    </row>
    <row r="1314" ht="27.75" customHeight="1">
      <c r="A1314" s="247"/>
      <c r="B1314" s="248"/>
      <c r="C1314" s="249"/>
      <c r="D1314" s="248"/>
      <c r="E1314" s="250"/>
      <c r="F1314" s="248"/>
      <c r="G1314" s="56"/>
      <c r="H1314" s="251">
        <v>0.0</v>
      </c>
      <c r="I1314" s="251">
        <v>0.0</v>
      </c>
      <c r="J1314" s="251"/>
      <c r="K1314" s="252"/>
    </row>
    <row r="1315" ht="27.75" customHeight="1">
      <c r="A1315" s="247"/>
      <c r="B1315" s="248"/>
      <c r="C1315" s="249"/>
      <c r="D1315" s="248"/>
      <c r="E1315" s="250"/>
      <c r="F1315" s="248"/>
      <c r="G1315" s="56"/>
      <c r="H1315" s="251">
        <v>0.0</v>
      </c>
      <c r="I1315" s="251">
        <v>0.0</v>
      </c>
      <c r="J1315" s="251"/>
      <c r="K1315" s="252"/>
    </row>
    <row r="1316" ht="27.75" customHeight="1">
      <c r="A1316" s="247"/>
      <c r="B1316" s="248"/>
      <c r="C1316" s="249"/>
      <c r="D1316" s="248"/>
      <c r="E1316" s="250"/>
      <c r="F1316" s="248"/>
      <c r="G1316" s="56"/>
      <c r="H1316" s="251">
        <v>0.0</v>
      </c>
      <c r="I1316" s="251">
        <v>0.0</v>
      </c>
      <c r="J1316" s="251"/>
      <c r="K1316" s="252"/>
    </row>
    <row r="1317" ht="27.75" customHeight="1">
      <c r="A1317" s="247"/>
      <c r="B1317" s="248"/>
      <c r="C1317" s="249"/>
      <c r="D1317" s="248"/>
      <c r="E1317" s="250"/>
      <c r="F1317" s="248"/>
      <c r="G1317" s="56"/>
      <c r="H1317" s="251">
        <v>0.0</v>
      </c>
      <c r="I1317" s="251">
        <v>0.0</v>
      </c>
      <c r="J1317" s="251"/>
      <c r="K1317" s="252"/>
    </row>
    <row r="1318" ht="27.75" customHeight="1">
      <c r="A1318" s="247"/>
      <c r="B1318" s="248"/>
      <c r="C1318" s="249"/>
      <c r="D1318" s="248"/>
      <c r="E1318" s="250"/>
      <c r="F1318" s="248"/>
      <c r="G1318" s="56"/>
      <c r="H1318" s="251">
        <v>0.0</v>
      </c>
      <c r="I1318" s="251">
        <v>0.0</v>
      </c>
      <c r="J1318" s="251"/>
      <c r="K1318" s="252"/>
    </row>
    <row r="1319" ht="27.75" customHeight="1">
      <c r="A1319" s="247"/>
      <c r="B1319" s="248"/>
      <c r="C1319" s="249"/>
      <c r="D1319" s="248"/>
      <c r="E1319" s="250"/>
      <c r="F1319" s="248"/>
      <c r="G1319" s="56"/>
      <c r="H1319" s="251">
        <v>0.0</v>
      </c>
      <c r="I1319" s="251">
        <v>0.0</v>
      </c>
      <c r="J1319" s="251"/>
      <c r="K1319" s="252"/>
    </row>
    <row r="1320" ht="27.75" customHeight="1">
      <c r="A1320" s="247"/>
      <c r="B1320" s="248"/>
      <c r="C1320" s="249"/>
      <c r="D1320" s="248"/>
      <c r="E1320" s="250"/>
      <c r="F1320" s="248"/>
      <c r="G1320" s="56"/>
      <c r="H1320" s="251">
        <v>0.0</v>
      </c>
      <c r="I1320" s="251">
        <v>0.0</v>
      </c>
      <c r="J1320" s="251"/>
      <c r="K1320" s="252"/>
    </row>
    <row r="1321" ht="27.75" customHeight="1">
      <c r="A1321" s="247"/>
      <c r="B1321" s="248"/>
      <c r="C1321" s="249"/>
      <c r="D1321" s="248"/>
      <c r="E1321" s="250"/>
      <c r="F1321" s="248"/>
      <c r="G1321" s="56"/>
      <c r="H1321" s="251">
        <v>0.0</v>
      </c>
      <c r="I1321" s="251">
        <v>0.0</v>
      </c>
      <c r="J1321" s="251"/>
      <c r="K1321" s="252"/>
    </row>
    <row r="1322" ht="27.75" customHeight="1">
      <c r="A1322" s="247"/>
      <c r="B1322" s="248"/>
      <c r="C1322" s="249"/>
      <c r="D1322" s="248"/>
      <c r="E1322" s="250"/>
      <c r="F1322" s="248"/>
      <c r="G1322" s="56"/>
      <c r="H1322" s="251">
        <v>0.0</v>
      </c>
      <c r="I1322" s="251">
        <v>0.0</v>
      </c>
      <c r="J1322" s="251"/>
      <c r="K1322" s="252"/>
    </row>
    <row r="1323" ht="27.75" customHeight="1">
      <c r="A1323" s="247"/>
      <c r="B1323" s="248"/>
      <c r="C1323" s="249"/>
      <c r="D1323" s="248"/>
      <c r="E1323" s="250"/>
      <c r="F1323" s="248"/>
      <c r="G1323" s="56"/>
      <c r="H1323" s="251">
        <v>0.0</v>
      </c>
      <c r="I1323" s="251">
        <v>0.0</v>
      </c>
      <c r="J1323" s="251"/>
      <c r="K1323" s="252"/>
    </row>
    <row r="1324" ht="27.75" customHeight="1">
      <c r="A1324" s="247"/>
      <c r="B1324" s="248"/>
      <c r="C1324" s="249"/>
      <c r="D1324" s="248"/>
      <c r="E1324" s="250"/>
      <c r="F1324" s="248"/>
      <c r="G1324" s="56"/>
      <c r="H1324" s="251">
        <v>0.0</v>
      </c>
      <c r="I1324" s="251">
        <v>0.0</v>
      </c>
      <c r="J1324" s="251"/>
      <c r="K1324" s="252"/>
    </row>
    <row r="1325" ht="27.75" customHeight="1">
      <c r="A1325" s="247"/>
      <c r="B1325" s="248"/>
      <c r="C1325" s="249"/>
      <c r="D1325" s="248"/>
      <c r="E1325" s="250"/>
      <c r="F1325" s="248"/>
      <c r="G1325" s="56"/>
      <c r="H1325" s="251">
        <v>0.0</v>
      </c>
      <c r="I1325" s="251">
        <v>0.0</v>
      </c>
      <c r="J1325" s="251"/>
      <c r="K1325" s="252"/>
    </row>
    <row r="1326" ht="27.75" customHeight="1">
      <c r="A1326" s="247"/>
      <c r="B1326" s="248"/>
      <c r="C1326" s="249"/>
      <c r="D1326" s="248"/>
      <c r="E1326" s="250"/>
      <c r="F1326" s="248"/>
      <c r="G1326" s="56"/>
      <c r="H1326" s="251">
        <v>0.0</v>
      </c>
      <c r="I1326" s="251">
        <v>0.0</v>
      </c>
      <c r="J1326" s="251"/>
      <c r="K1326" s="252"/>
    </row>
    <row r="1327" ht="27.75" customHeight="1">
      <c r="A1327" s="247"/>
      <c r="B1327" s="248"/>
      <c r="C1327" s="249"/>
      <c r="D1327" s="248"/>
      <c r="E1327" s="250"/>
      <c r="F1327" s="248"/>
      <c r="G1327" s="56"/>
      <c r="H1327" s="251">
        <v>0.0</v>
      </c>
      <c r="I1327" s="251">
        <v>0.0</v>
      </c>
      <c r="J1327" s="251"/>
      <c r="K1327" s="252"/>
    </row>
    <row r="1328" ht="27.75" customHeight="1">
      <c r="A1328" s="247"/>
      <c r="B1328" s="248"/>
      <c r="C1328" s="249"/>
      <c r="D1328" s="248"/>
      <c r="E1328" s="250"/>
      <c r="F1328" s="248"/>
      <c r="G1328" s="56"/>
      <c r="H1328" s="251">
        <v>0.0</v>
      </c>
      <c r="I1328" s="251">
        <v>0.0</v>
      </c>
      <c r="J1328" s="251"/>
      <c r="K1328" s="252"/>
    </row>
    <row r="1329" ht="27.75" customHeight="1">
      <c r="A1329" s="247"/>
      <c r="B1329" s="248"/>
      <c r="C1329" s="249"/>
      <c r="D1329" s="248"/>
      <c r="E1329" s="250"/>
      <c r="F1329" s="248"/>
      <c r="G1329" s="56"/>
      <c r="H1329" s="251">
        <v>0.0</v>
      </c>
      <c r="I1329" s="251">
        <v>0.0</v>
      </c>
      <c r="J1329" s="251"/>
      <c r="K1329" s="252"/>
    </row>
    <row r="1330" ht="27.75" customHeight="1">
      <c r="A1330" s="247"/>
      <c r="B1330" s="248"/>
      <c r="C1330" s="249"/>
      <c r="D1330" s="248"/>
      <c r="E1330" s="250"/>
      <c r="F1330" s="248"/>
      <c r="G1330" s="56"/>
      <c r="H1330" s="251">
        <v>0.0</v>
      </c>
      <c r="I1330" s="251">
        <v>0.0</v>
      </c>
      <c r="J1330" s="251"/>
      <c r="K1330" s="252"/>
    </row>
    <row r="1331" ht="27.75" customHeight="1">
      <c r="A1331" s="247"/>
      <c r="B1331" s="248"/>
      <c r="C1331" s="249"/>
      <c r="D1331" s="248"/>
      <c r="E1331" s="250"/>
      <c r="F1331" s="248"/>
      <c r="G1331" s="56"/>
      <c r="H1331" s="251">
        <v>0.0</v>
      </c>
      <c r="I1331" s="251">
        <v>0.0</v>
      </c>
      <c r="J1331" s="251"/>
      <c r="K1331" s="252"/>
    </row>
    <row r="1332" ht="27.75" customHeight="1">
      <c r="A1332" s="247"/>
      <c r="B1332" s="248"/>
      <c r="C1332" s="249"/>
      <c r="D1332" s="248"/>
      <c r="E1332" s="250"/>
      <c r="F1332" s="248"/>
      <c r="G1332" s="56"/>
      <c r="H1332" s="251">
        <v>0.0</v>
      </c>
      <c r="I1332" s="251">
        <v>0.0</v>
      </c>
      <c r="J1332" s="251"/>
      <c r="K1332" s="252"/>
    </row>
    <row r="1333" ht="27.75" customHeight="1">
      <c r="A1333" s="247"/>
      <c r="B1333" s="248"/>
      <c r="C1333" s="249"/>
      <c r="D1333" s="248"/>
      <c r="E1333" s="250"/>
      <c r="F1333" s="248"/>
      <c r="G1333" s="56"/>
      <c r="H1333" s="251">
        <v>0.0</v>
      </c>
      <c r="I1333" s="251">
        <v>0.0</v>
      </c>
      <c r="J1333" s="251"/>
      <c r="K1333" s="252"/>
    </row>
    <row r="1334" ht="27.75" customHeight="1">
      <c r="A1334" s="247"/>
      <c r="B1334" s="248"/>
      <c r="C1334" s="249"/>
      <c r="D1334" s="248"/>
      <c r="E1334" s="250"/>
      <c r="F1334" s="248"/>
      <c r="G1334" s="56"/>
      <c r="H1334" s="251">
        <v>0.0</v>
      </c>
      <c r="I1334" s="251">
        <v>0.0</v>
      </c>
      <c r="J1334" s="251"/>
      <c r="K1334" s="252"/>
    </row>
    <row r="1335" ht="27.75" customHeight="1">
      <c r="A1335" s="247"/>
      <c r="B1335" s="248"/>
      <c r="C1335" s="249"/>
      <c r="D1335" s="248"/>
      <c r="E1335" s="250"/>
      <c r="F1335" s="248"/>
      <c r="G1335" s="56"/>
      <c r="H1335" s="251">
        <v>0.0</v>
      </c>
      <c r="I1335" s="251">
        <v>0.0</v>
      </c>
      <c r="J1335" s="251"/>
      <c r="K1335" s="252"/>
    </row>
    <row r="1336" ht="27.75" customHeight="1">
      <c r="A1336" s="247"/>
      <c r="B1336" s="248"/>
      <c r="C1336" s="249"/>
      <c r="D1336" s="248"/>
      <c r="E1336" s="250"/>
      <c r="F1336" s="248"/>
      <c r="G1336" s="56"/>
      <c r="H1336" s="251">
        <v>0.0</v>
      </c>
      <c r="I1336" s="251">
        <v>0.0</v>
      </c>
      <c r="J1336" s="251"/>
      <c r="K1336" s="252"/>
    </row>
    <row r="1337" ht="27.75" customHeight="1">
      <c r="A1337" s="247"/>
      <c r="B1337" s="248"/>
      <c r="C1337" s="249"/>
      <c r="D1337" s="248"/>
      <c r="E1337" s="250"/>
      <c r="F1337" s="248"/>
      <c r="G1337" s="56"/>
      <c r="H1337" s="251">
        <v>0.0</v>
      </c>
      <c r="I1337" s="251">
        <v>0.0</v>
      </c>
      <c r="J1337" s="251"/>
      <c r="K1337" s="252"/>
    </row>
    <row r="1338" ht="27.75" customHeight="1">
      <c r="A1338" s="247"/>
      <c r="B1338" s="248"/>
      <c r="C1338" s="249"/>
      <c r="D1338" s="248"/>
      <c r="E1338" s="250"/>
      <c r="F1338" s="248"/>
      <c r="G1338" s="56"/>
      <c r="H1338" s="251">
        <v>0.0</v>
      </c>
      <c r="I1338" s="251">
        <v>0.0</v>
      </c>
      <c r="J1338" s="251"/>
      <c r="K1338" s="252"/>
    </row>
    <row r="1339" ht="27.75" customHeight="1">
      <c r="A1339" s="247"/>
      <c r="B1339" s="248"/>
      <c r="C1339" s="249"/>
      <c r="D1339" s="248"/>
      <c r="E1339" s="250"/>
      <c r="F1339" s="248"/>
      <c r="G1339" s="56"/>
      <c r="H1339" s="251">
        <v>0.0</v>
      </c>
      <c r="I1339" s="251">
        <v>0.0</v>
      </c>
      <c r="J1339" s="251"/>
      <c r="K1339" s="252"/>
    </row>
    <row r="1340" ht="27.75" customHeight="1">
      <c r="A1340" s="247"/>
      <c r="B1340" s="248"/>
      <c r="C1340" s="249"/>
      <c r="D1340" s="248"/>
      <c r="E1340" s="250"/>
      <c r="F1340" s="248"/>
      <c r="G1340" s="56"/>
      <c r="H1340" s="251">
        <v>0.0</v>
      </c>
      <c r="I1340" s="251">
        <v>0.0</v>
      </c>
      <c r="J1340" s="251"/>
      <c r="K1340" s="252"/>
    </row>
    <row r="1341" ht="27.75" customHeight="1">
      <c r="A1341" s="247"/>
      <c r="B1341" s="248"/>
      <c r="C1341" s="249"/>
      <c r="D1341" s="248"/>
      <c r="E1341" s="250"/>
      <c r="F1341" s="248"/>
      <c r="G1341" s="56"/>
      <c r="H1341" s="251">
        <v>0.0</v>
      </c>
      <c r="I1341" s="251">
        <v>0.0</v>
      </c>
      <c r="J1341" s="251"/>
      <c r="K1341" s="252"/>
    </row>
    <row r="1342" ht="27.75" customHeight="1">
      <c r="A1342" s="247"/>
      <c r="B1342" s="248"/>
      <c r="C1342" s="249"/>
      <c r="D1342" s="248"/>
      <c r="E1342" s="250"/>
      <c r="F1342" s="248"/>
      <c r="G1342" s="56"/>
      <c r="H1342" s="251">
        <v>0.0</v>
      </c>
      <c r="I1342" s="251">
        <v>0.0</v>
      </c>
      <c r="J1342" s="251"/>
      <c r="K1342" s="252"/>
    </row>
    <row r="1343" ht="27.75" customHeight="1">
      <c r="A1343" s="247"/>
      <c r="B1343" s="248"/>
      <c r="C1343" s="249"/>
      <c r="D1343" s="248"/>
      <c r="E1343" s="250"/>
      <c r="F1343" s="248"/>
      <c r="G1343" s="56"/>
      <c r="H1343" s="251">
        <v>0.0</v>
      </c>
      <c r="I1343" s="251">
        <v>0.0</v>
      </c>
      <c r="J1343" s="251"/>
      <c r="K1343" s="252"/>
    </row>
    <row r="1344" ht="27.75" customHeight="1">
      <c r="A1344" s="247"/>
      <c r="B1344" s="248"/>
      <c r="C1344" s="249"/>
      <c r="D1344" s="248"/>
      <c r="E1344" s="250"/>
      <c r="F1344" s="248"/>
      <c r="G1344" s="56"/>
      <c r="H1344" s="251">
        <v>0.0</v>
      </c>
      <c r="I1344" s="251">
        <v>0.0</v>
      </c>
      <c r="J1344" s="251"/>
      <c r="K1344" s="252"/>
    </row>
    <row r="1345" ht="27.75" customHeight="1">
      <c r="A1345" s="247"/>
      <c r="B1345" s="248"/>
      <c r="C1345" s="249"/>
      <c r="D1345" s="248"/>
      <c r="E1345" s="250"/>
      <c r="F1345" s="248"/>
      <c r="G1345" s="56"/>
      <c r="H1345" s="251">
        <v>0.0</v>
      </c>
      <c r="I1345" s="251">
        <v>0.0</v>
      </c>
      <c r="J1345" s="251"/>
      <c r="K1345" s="252"/>
    </row>
    <row r="1346" ht="27.75" customHeight="1">
      <c r="A1346" s="247"/>
      <c r="B1346" s="248"/>
      <c r="C1346" s="249"/>
      <c r="D1346" s="248"/>
      <c r="E1346" s="250"/>
      <c r="F1346" s="248"/>
      <c r="G1346" s="56"/>
      <c r="H1346" s="251">
        <v>0.0</v>
      </c>
      <c r="I1346" s="251">
        <v>0.0</v>
      </c>
      <c r="J1346" s="251"/>
      <c r="K1346" s="252"/>
    </row>
    <row r="1347" ht="27.75" customHeight="1">
      <c r="A1347" s="247"/>
      <c r="B1347" s="248"/>
      <c r="C1347" s="249"/>
      <c r="D1347" s="248"/>
      <c r="E1347" s="250"/>
      <c r="F1347" s="248"/>
      <c r="G1347" s="56"/>
      <c r="H1347" s="251">
        <v>0.0</v>
      </c>
      <c r="I1347" s="251">
        <v>0.0</v>
      </c>
      <c r="J1347" s="251"/>
      <c r="K1347" s="252"/>
    </row>
    <row r="1348" ht="27.75" customHeight="1">
      <c r="A1348" s="247"/>
      <c r="B1348" s="248"/>
      <c r="C1348" s="249"/>
      <c r="D1348" s="248"/>
      <c r="E1348" s="250"/>
      <c r="F1348" s="248"/>
      <c r="G1348" s="56"/>
      <c r="H1348" s="251">
        <v>0.0</v>
      </c>
      <c r="I1348" s="251">
        <v>0.0</v>
      </c>
      <c r="J1348" s="251"/>
      <c r="K1348" s="252"/>
    </row>
    <row r="1349" ht="27.75" customHeight="1">
      <c r="A1349" s="247"/>
      <c r="B1349" s="248"/>
      <c r="C1349" s="249"/>
      <c r="D1349" s="248"/>
      <c r="E1349" s="250"/>
      <c r="F1349" s="248"/>
      <c r="G1349" s="56"/>
      <c r="H1349" s="251">
        <v>0.0</v>
      </c>
      <c r="I1349" s="251">
        <v>0.0</v>
      </c>
      <c r="J1349" s="251"/>
      <c r="K1349" s="252"/>
    </row>
    <row r="1350" ht="27.75" customHeight="1">
      <c r="A1350" s="247"/>
      <c r="B1350" s="248"/>
      <c r="C1350" s="249"/>
      <c r="D1350" s="248"/>
      <c r="E1350" s="250"/>
      <c r="F1350" s="248"/>
      <c r="G1350" s="56"/>
      <c r="H1350" s="251">
        <v>0.0</v>
      </c>
      <c r="I1350" s="251">
        <v>0.0</v>
      </c>
      <c r="J1350" s="251"/>
      <c r="K1350" s="252"/>
    </row>
    <row r="1351" ht="27.75" customHeight="1">
      <c r="A1351" s="247"/>
      <c r="B1351" s="248"/>
      <c r="C1351" s="249"/>
      <c r="D1351" s="248"/>
      <c r="E1351" s="250"/>
      <c r="F1351" s="248"/>
      <c r="G1351" s="56"/>
      <c r="H1351" s="251">
        <v>0.0</v>
      </c>
      <c r="I1351" s="251">
        <v>0.0</v>
      </c>
      <c r="J1351" s="251"/>
      <c r="K1351" s="252"/>
    </row>
    <row r="1352" ht="27.75" customHeight="1">
      <c r="A1352" s="247"/>
      <c r="B1352" s="248"/>
      <c r="C1352" s="249"/>
      <c r="D1352" s="248"/>
      <c r="E1352" s="250"/>
      <c r="F1352" s="248"/>
      <c r="G1352" s="56"/>
      <c r="H1352" s="251">
        <v>0.0</v>
      </c>
      <c r="I1352" s="251">
        <v>0.0</v>
      </c>
      <c r="J1352" s="251"/>
      <c r="K1352" s="252"/>
    </row>
    <row r="1353" ht="27.75" customHeight="1">
      <c r="A1353" s="247"/>
      <c r="B1353" s="248"/>
      <c r="C1353" s="249"/>
      <c r="D1353" s="248"/>
      <c r="E1353" s="250"/>
      <c r="F1353" s="248"/>
      <c r="G1353" s="56"/>
      <c r="H1353" s="251">
        <v>0.0</v>
      </c>
      <c r="I1353" s="251">
        <v>0.0</v>
      </c>
      <c r="J1353" s="251"/>
      <c r="K1353" s="252"/>
    </row>
    <row r="1354" ht="27.75" customHeight="1">
      <c r="A1354" s="247"/>
      <c r="B1354" s="248"/>
      <c r="C1354" s="249"/>
      <c r="D1354" s="248"/>
      <c r="E1354" s="250"/>
      <c r="F1354" s="248"/>
      <c r="G1354" s="56"/>
      <c r="H1354" s="251">
        <v>0.0</v>
      </c>
      <c r="I1354" s="251">
        <v>0.0</v>
      </c>
      <c r="J1354" s="251"/>
      <c r="K1354" s="252"/>
    </row>
    <row r="1355" ht="27.75" customHeight="1">
      <c r="A1355" s="247"/>
      <c r="B1355" s="248"/>
      <c r="C1355" s="249"/>
      <c r="D1355" s="248"/>
      <c r="E1355" s="250"/>
      <c r="F1355" s="248"/>
      <c r="G1355" s="56"/>
      <c r="H1355" s="251">
        <v>0.0</v>
      </c>
      <c r="I1355" s="251">
        <v>0.0</v>
      </c>
      <c r="J1355" s="251"/>
      <c r="K1355" s="252"/>
    </row>
    <row r="1356" ht="27.75" customHeight="1">
      <c r="A1356" s="247"/>
      <c r="B1356" s="248"/>
      <c r="C1356" s="249"/>
      <c r="D1356" s="248"/>
      <c r="E1356" s="250"/>
      <c r="F1356" s="248"/>
      <c r="G1356" s="56"/>
      <c r="H1356" s="251">
        <v>0.0</v>
      </c>
      <c r="I1356" s="251">
        <v>0.0</v>
      </c>
      <c r="J1356" s="251"/>
      <c r="K1356" s="252"/>
    </row>
    <row r="1357" ht="27.75" customHeight="1">
      <c r="A1357" s="247"/>
      <c r="B1357" s="248"/>
      <c r="C1357" s="249"/>
      <c r="D1357" s="248"/>
      <c r="E1357" s="250"/>
      <c r="F1357" s="248"/>
      <c r="G1357" s="56"/>
      <c r="H1357" s="251">
        <v>0.0</v>
      </c>
      <c r="I1357" s="251">
        <v>0.0</v>
      </c>
      <c r="J1357" s="251"/>
      <c r="K1357" s="252"/>
    </row>
    <row r="1358" ht="27.75" customHeight="1">
      <c r="A1358" s="247"/>
      <c r="B1358" s="248"/>
      <c r="C1358" s="249"/>
      <c r="D1358" s="248"/>
      <c r="E1358" s="250"/>
      <c r="F1358" s="248"/>
      <c r="G1358" s="56"/>
      <c r="H1358" s="251">
        <v>0.0</v>
      </c>
      <c r="I1358" s="251">
        <v>0.0</v>
      </c>
      <c r="J1358" s="251"/>
      <c r="K1358" s="252"/>
    </row>
    <row r="1359" ht="27.75" customHeight="1">
      <c r="A1359" s="247"/>
      <c r="B1359" s="248"/>
      <c r="C1359" s="249"/>
      <c r="D1359" s="248"/>
      <c r="E1359" s="250"/>
      <c r="F1359" s="248"/>
      <c r="G1359" s="56"/>
      <c r="H1359" s="251">
        <v>0.0</v>
      </c>
      <c r="I1359" s="251">
        <v>0.0</v>
      </c>
      <c r="J1359" s="251"/>
      <c r="K1359" s="252"/>
    </row>
    <row r="1360" ht="27.75" customHeight="1">
      <c r="A1360" s="247"/>
      <c r="B1360" s="248"/>
      <c r="C1360" s="249"/>
      <c r="D1360" s="248"/>
      <c r="E1360" s="250"/>
      <c r="F1360" s="248"/>
      <c r="G1360" s="56"/>
      <c r="H1360" s="251">
        <v>0.0</v>
      </c>
      <c r="I1360" s="251">
        <v>0.0</v>
      </c>
      <c r="J1360" s="251"/>
      <c r="K1360" s="252"/>
    </row>
    <row r="1361" ht="27.75" customHeight="1">
      <c r="A1361" s="247"/>
      <c r="B1361" s="248"/>
      <c r="C1361" s="249"/>
      <c r="D1361" s="248"/>
      <c r="E1361" s="250"/>
      <c r="F1361" s="248"/>
      <c r="G1361" s="56"/>
      <c r="H1361" s="251">
        <v>0.0</v>
      </c>
      <c r="I1361" s="251">
        <v>0.0</v>
      </c>
      <c r="J1361" s="251"/>
      <c r="K1361" s="252"/>
    </row>
    <row r="1362" ht="27.75" customHeight="1">
      <c r="A1362" s="247"/>
      <c r="B1362" s="248"/>
      <c r="C1362" s="249"/>
      <c r="D1362" s="248"/>
      <c r="E1362" s="250"/>
      <c r="F1362" s="248"/>
      <c r="G1362" s="56"/>
      <c r="H1362" s="251">
        <v>0.0</v>
      </c>
      <c r="I1362" s="251">
        <v>0.0</v>
      </c>
      <c r="J1362" s="251"/>
      <c r="K1362" s="252"/>
    </row>
    <row r="1363" ht="27.75" customHeight="1">
      <c r="A1363" s="247"/>
      <c r="B1363" s="248"/>
      <c r="C1363" s="249"/>
      <c r="D1363" s="248"/>
      <c r="E1363" s="250"/>
      <c r="F1363" s="248"/>
      <c r="G1363" s="56"/>
      <c r="H1363" s="251">
        <v>0.0</v>
      </c>
      <c r="I1363" s="251">
        <v>0.0</v>
      </c>
      <c r="J1363" s="251"/>
      <c r="K1363" s="252"/>
    </row>
    <row r="1364" ht="27.75" customHeight="1">
      <c r="A1364" s="247"/>
      <c r="B1364" s="248"/>
      <c r="C1364" s="249"/>
      <c r="D1364" s="248"/>
      <c r="E1364" s="250"/>
      <c r="F1364" s="248"/>
      <c r="G1364" s="56"/>
      <c r="H1364" s="251">
        <v>0.0</v>
      </c>
      <c r="I1364" s="251">
        <v>0.0</v>
      </c>
      <c r="J1364" s="251"/>
      <c r="K1364" s="252"/>
    </row>
    <row r="1365" ht="27.75" customHeight="1">
      <c r="A1365" s="247"/>
      <c r="B1365" s="248"/>
      <c r="C1365" s="249"/>
      <c r="D1365" s="248"/>
      <c r="E1365" s="250"/>
      <c r="F1365" s="248"/>
      <c r="G1365" s="56"/>
      <c r="H1365" s="251">
        <v>0.0</v>
      </c>
      <c r="I1365" s="251">
        <v>0.0</v>
      </c>
      <c r="J1365" s="251"/>
      <c r="K1365" s="252"/>
    </row>
    <row r="1366" ht="27.75" customHeight="1">
      <c r="A1366" s="247"/>
      <c r="B1366" s="248"/>
      <c r="C1366" s="249"/>
      <c r="D1366" s="248"/>
      <c r="E1366" s="250"/>
      <c r="F1366" s="248"/>
      <c r="G1366" s="56"/>
      <c r="H1366" s="251">
        <v>0.0</v>
      </c>
      <c r="I1366" s="251">
        <v>0.0</v>
      </c>
      <c r="J1366" s="251"/>
      <c r="K1366" s="252"/>
    </row>
    <row r="1367" ht="27.75" customHeight="1">
      <c r="A1367" s="247"/>
      <c r="B1367" s="248"/>
      <c r="C1367" s="249"/>
      <c r="D1367" s="248"/>
      <c r="E1367" s="250"/>
      <c r="F1367" s="248"/>
      <c r="G1367" s="56"/>
      <c r="H1367" s="251">
        <v>0.0</v>
      </c>
      <c r="I1367" s="251">
        <v>0.0</v>
      </c>
      <c r="J1367" s="251"/>
      <c r="K1367" s="252"/>
    </row>
    <row r="1368" ht="27.75" customHeight="1">
      <c r="A1368" s="247"/>
      <c r="B1368" s="248"/>
      <c r="C1368" s="249"/>
      <c r="D1368" s="248"/>
      <c r="E1368" s="250"/>
      <c r="F1368" s="248"/>
      <c r="G1368" s="56"/>
      <c r="H1368" s="251">
        <v>0.0</v>
      </c>
      <c r="I1368" s="251">
        <v>0.0</v>
      </c>
      <c r="J1368" s="251"/>
      <c r="K1368" s="252"/>
    </row>
    <row r="1369" ht="27.75" customHeight="1">
      <c r="A1369" s="247"/>
      <c r="B1369" s="248"/>
      <c r="C1369" s="249"/>
      <c r="D1369" s="248"/>
      <c r="E1369" s="250"/>
      <c r="F1369" s="248"/>
      <c r="G1369" s="56"/>
      <c r="H1369" s="251">
        <v>0.0</v>
      </c>
      <c r="I1369" s="251">
        <v>0.0</v>
      </c>
      <c r="J1369" s="251"/>
      <c r="K1369" s="252"/>
    </row>
    <row r="1370" ht="27.75" customHeight="1">
      <c r="A1370" s="247"/>
      <c r="B1370" s="248"/>
      <c r="C1370" s="249"/>
      <c r="D1370" s="248"/>
      <c r="E1370" s="250"/>
      <c r="F1370" s="248"/>
      <c r="G1370" s="56"/>
      <c r="H1370" s="251">
        <v>0.0</v>
      </c>
      <c r="I1370" s="251">
        <v>0.0</v>
      </c>
      <c r="J1370" s="251"/>
      <c r="K1370" s="252"/>
    </row>
    <row r="1371" ht="27.75" customHeight="1">
      <c r="A1371" s="247"/>
      <c r="B1371" s="248"/>
      <c r="C1371" s="249"/>
      <c r="D1371" s="248"/>
      <c r="E1371" s="250"/>
      <c r="F1371" s="248"/>
      <c r="G1371" s="56"/>
      <c r="H1371" s="251">
        <v>0.0</v>
      </c>
      <c r="I1371" s="251">
        <v>0.0</v>
      </c>
      <c r="J1371" s="251"/>
      <c r="K1371" s="252"/>
    </row>
    <row r="1372" ht="27.75" customHeight="1">
      <c r="A1372" s="247"/>
      <c r="B1372" s="248"/>
      <c r="C1372" s="249"/>
      <c r="D1372" s="248"/>
      <c r="E1372" s="250"/>
      <c r="F1372" s="248"/>
      <c r="G1372" s="56"/>
      <c r="H1372" s="251">
        <v>0.0</v>
      </c>
      <c r="I1372" s="251">
        <v>0.0</v>
      </c>
      <c r="J1372" s="251"/>
      <c r="K1372" s="252"/>
    </row>
    <row r="1373" ht="27.75" customHeight="1">
      <c r="A1373" s="247"/>
      <c r="B1373" s="248"/>
      <c r="C1373" s="249"/>
      <c r="D1373" s="248"/>
      <c r="E1373" s="250"/>
      <c r="F1373" s="248"/>
      <c r="G1373" s="56"/>
      <c r="H1373" s="251">
        <v>0.0</v>
      </c>
      <c r="I1373" s="251">
        <v>0.0</v>
      </c>
      <c r="J1373" s="251"/>
      <c r="K1373" s="252"/>
    </row>
    <row r="1374" ht="27.75" customHeight="1">
      <c r="A1374" s="247"/>
      <c r="B1374" s="248"/>
      <c r="C1374" s="249"/>
      <c r="D1374" s="248"/>
      <c r="E1374" s="250"/>
      <c r="F1374" s="248"/>
      <c r="G1374" s="56"/>
      <c r="H1374" s="251">
        <v>0.0</v>
      </c>
      <c r="I1374" s="251">
        <v>0.0</v>
      </c>
      <c r="J1374" s="251"/>
      <c r="K1374" s="252"/>
    </row>
    <row r="1375" ht="27.75" customHeight="1">
      <c r="A1375" s="247"/>
      <c r="B1375" s="248"/>
      <c r="C1375" s="249"/>
      <c r="D1375" s="248"/>
      <c r="E1375" s="250"/>
      <c r="F1375" s="248"/>
      <c r="G1375" s="56"/>
      <c r="H1375" s="251">
        <v>0.0</v>
      </c>
      <c r="I1375" s="251">
        <v>0.0</v>
      </c>
      <c r="J1375" s="251"/>
      <c r="K1375" s="252"/>
    </row>
    <row r="1376" ht="27.75" customHeight="1">
      <c r="A1376" s="247"/>
      <c r="B1376" s="248"/>
      <c r="C1376" s="249"/>
      <c r="D1376" s="248"/>
      <c r="E1376" s="250"/>
      <c r="F1376" s="248"/>
      <c r="G1376" s="56"/>
      <c r="H1376" s="251">
        <v>0.0</v>
      </c>
      <c r="I1376" s="251">
        <v>0.0</v>
      </c>
      <c r="J1376" s="251"/>
      <c r="K1376" s="252"/>
    </row>
    <row r="1377" ht="27.75" customHeight="1">
      <c r="A1377" s="247"/>
      <c r="B1377" s="248"/>
      <c r="C1377" s="249"/>
      <c r="D1377" s="248"/>
      <c r="E1377" s="250"/>
      <c r="F1377" s="248"/>
      <c r="G1377" s="56"/>
      <c r="H1377" s="251">
        <v>0.0</v>
      </c>
      <c r="I1377" s="251">
        <v>0.0</v>
      </c>
      <c r="J1377" s="251"/>
      <c r="K1377" s="252"/>
    </row>
    <row r="1378" ht="27.75" customHeight="1">
      <c r="A1378" s="247"/>
      <c r="B1378" s="248"/>
      <c r="C1378" s="249"/>
      <c r="D1378" s="248"/>
      <c r="E1378" s="250"/>
      <c r="F1378" s="248"/>
      <c r="G1378" s="56"/>
      <c r="H1378" s="251">
        <v>0.0</v>
      </c>
      <c r="I1378" s="251">
        <v>0.0</v>
      </c>
      <c r="J1378" s="251"/>
      <c r="K1378" s="252"/>
    </row>
    <row r="1379" ht="27.75" customHeight="1">
      <c r="A1379" s="247"/>
      <c r="B1379" s="248"/>
      <c r="C1379" s="249"/>
      <c r="D1379" s="248"/>
      <c r="E1379" s="250"/>
      <c r="F1379" s="248"/>
      <c r="G1379" s="56"/>
      <c r="H1379" s="251">
        <v>0.0</v>
      </c>
      <c r="I1379" s="251">
        <v>0.0</v>
      </c>
      <c r="J1379" s="251"/>
      <c r="K1379" s="252"/>
    </row>
    <row r="1380" ht="27.75" customHeight="1">
      <c r="A1380" s="247"/>
      <c r="B1380" s="248"/>
      <c r="C1380" s="249"/>
      <c r="D1380" s="248"/>
      <c r="E1380" s="250"/>
      <c r="F1380" s="248"/>
      <c r="G1380" s="56"/>
      <c r="H1380" s="251">
        <v>0.0</v>
      </c>
      <c r="I1380" s="251">
        <v>0.0</v>
      </c>
      <c r="J1380" s="251"/>
      <c r="K1380" s="252"/>
    </row>
    <row r="1381" ht="27.75" customHeight="1">
      <c r="A1381" s="247"/>
      <c r="B1381" s="248"/>
      <c r="C1381" s="249"/>
      <c r="D1381" s="248"/>
      <c r="E1381" s="250"/>
      <c r="F1381" s="248"/>
      <c r="G1381" s="56"/>
      <c r="H1381" s="251">
        <v>0.0</v>
      </c>
      <c r="I1381" s="251">
        <v>0.0</v>
      </c>
      <c r="J1381" s="251"/>
      <c r="K1381" s="252"/>
    </row>
    <row r="1382" ht="27.75" customHeight="1">
      <c r="A1382" s="247"/>
      <c r="B1382" s="248"/>
      <c r="C1382" s="249"/>
      <c r="D1382" s="248"/>
      <c r="E1382" s="250"/>
      <c r="F1382" s="248"/>
      <c r="G1382" s="56"/>
      <c r="H1382" s="251">
        <v>0.0</v>
      </c>
      <c r="I1382" s="251">
        <v>0.0</v>
      </c>
      <c r="J1382" s="251"/>
      <c r="K1382" s="252"/>
    </row>
    <row r="1383" ht="27.75" customHeight="1">
      <c r="A1383" s="247"/>
      <c r="B1383" s="248"/>
      <c r="C1383" s="249"/>
      <c r="D1383" s="248"/>
      <c r="E1383" s="250"/>
      <c r="F1383" s="248"/>
      <c r="G1383" s="56"/>
      <c r="H1383" s="251">
        <v>0.0</v>
      </c>
      <c r="I1383" s="251">
        <v>0.0</v>
      </c>
      <c r="J1383" s="251"/>
      <c r="K1383" s="252"/>
    </row>
    <row r="1384" ht="27.75" customHeight="1">
      <c r="A1384" s="247"/>
      <c r="B1384" s="248"/>
      <c r="C1384" s="249"/>
      <c r="D1384" s="248"/>
      <c r="E1384" s="250"/>
      <c r="F1384" s="248"/>
      <c r="G1384" s="56"/>
      <c r="H1384" s="251">
        <v>0.0</v>
      </c>
      <c r="I1384" s="251">
        <v>0.0</v>
      </c>
      <c r="J1384" s="251"/>
      <c r="K1384" s="252"/>
    </row>
    <row r="1385" ht="27.75" customHeight="1">
      <c r="A1385" s="247"/>
      <c r="B1385" s="248"/>
      <c r="C1385" s="249"/>
      <c r="D1385" s="248"/>
      <c r="E1385" s="250"/>
      <c r="F1385" s="248"/>
      <c r="G1385" s="56"/>
      <c r="H1385" s="251">
        <v>0.0</v>
      </c>
      <c r="I1385" s="251">
        <v>0.0</v>
      </c>
      <c r="J1385" s="251"/>
      <c r="K1385" s="252"/>
    </row>
    <row r="1386" ht="27.75" customHeight="1">
      <c r="A1386" s="247"/>
      <c r="B1386" s="248"/>
      <c r="C1386" s="249"/>
      <c r="D1386" s="248"/>
      <c r="E1386" s="250"/>
      <c r="F1386" s="248"/>
      <c r="G1386" s="56"/>
      <c r="H1386" s="251">
        <v>0.0</v>
      </c>
      <c r="I1386" s="251">
        <v>0.0</v>
      </c>
      <c r="J1386" s="251"/>
      <c r="K1386" s="252"/>
    </row>
    <row r="1387" ht="27.75" customHeight="1">
      <c r="A1387" s="247"/>
      <c r="B1387" s="248"/>
      <c r="C1387" s="249"/>
      <c r="D1387" s="248"/>
      <c r="E1387" s="250"/>
      <c r="F1387" s="248"/>
      <c r="G1387" s="56"/>
      <c r="H1387" s="251">
        <v>0.0</v>
      </c>
      <c r="I1387" s="251">
        <v>0.0</v>
      </c>
      <c r="J1387" s="251"/>
      <c r="K1387" s="252"/>
    </row>
    <row r="1388" ht="27.75" customHeight="1">
      <c r="A1388" s="247"/>
      <c r="B1388" s="248"/>
      <c r="C1388" s="249"/>
      <c r="D1388" s="248"/>
      <c r="E1388" s="250"/>
      <c r="F1388" s="248"/>
      <c r="G1388" s="56"/>
      <c r="H1388" s="251">
        <v>0.0</v>
      </c>
      <c r="I1388" s="251">
        <v>0.0</v>
      </c>
      <c r="J1388" s="251"/>
      <c r="K1388" s="252"/>
    </row>
    <row r="1389" ht="27.75" customHeight="1">
      <c r="A1389" s="247"/>
      <c r="B1389" s="248"/>
      <c r="C1389" s="249"/>
      <c r="D1389" s="248"/>
      <c r="E1389" s="250"/>
      <c r="F1389" s="248"/>
      <c r="G1389" s="56"/>
      <c r="H1389" s="251">
        <v>0.0</v>
      </c>
      <c r="I1389" s="251">
        <v>0.0</v>
      </c>
      <c r="J1389" s="251"/>
      <c r="K1389" s="252"/>
    </row>
    <row r="1390" ht="27.75" customHeight="1">
      <c r="A1390" s="247"/>
      <c r="B1390" s="248"/>
      <c r="C1390" s="249"/>
      <c r="D1390" s="248"/>
      <c r="E1390" s="250"/>
      <c r="F1390" s="248"/>
      <c r="G1390" s="56"/>
      <c r="H1390" s="251">
        <v>0.0</v>
      </c>
      <c r="I1390" s="251">
        <v>0.0</v>
      </c>
      <c r="J1390" s="251"/>
      <c r="K1390" s="252"/>
    </row>
    <row r="1391" ht="27.75" customHeight="1">
      <c r="A1391" s="247"/>
      <c r="B1391" s="248"/>
      <c r="C1391" s="249"/>
      <c r="D1391" s="248"/>
      <c r="E1391" s="250"/>
      <c r="F1391" s="248"/>
      <c r="G1391" s="56"/>
      <c r="H1391" s="251">
        <v>0.0</v>
      </c>
      <c r="I1391" s="251">
        <v>0.0</v>
      </c>
      <c r="J1391" s="251"/>
      <c r="K1391" s="252"/>
    </row>
    <row r="1392" ht="27.75" customHeight="1">
      <c r="A1392" s="247"/>
      <c r="B1392" s="248"/>
      <c r="C1392" s="249"/>
      <c r="D1392" s="248"/>
      <c r="E1392" s="250"/>
      <c r="F1392" s="248"/>
      <c r="G1392" s="56"/>
      <c r="H1392" s="251">
        <v>0.0</v>
      </c>
      <c r="I1392" s="251">
        <v>0.0</v>
      </c>
      <c r="J1392" s="251"/>
      <c r="K1392" s="252"/>
    </row>
    <row r="1393" ht="27.75" customHeight="1">
      <c r="A1393" s="247"/>
      <c r="B1393" s="248"/>
      <c r="C1393" s="249"/>
      <c r="D1393" s="248"/>
      <c r="E1393" s="250"/>
      <c r="F1393" s="248"/>
      <c r="G1393" s="56"/>
      <c r="H1393" s="251">
        <v>0.0</v>
      </c>
      <c r="I1393" s="251">
        <v>0.0</v>
      </c>
      <c r="J1393" s="251"/>
      <c r="K1393" s="252"/>
    </row>
    <row r="1394" ht="27.75" customHeight="1">
      <c r="A1394" s="247"/>
      <c r="B1394" s="248"/>
      <c r="C1394" s="249"/>
      <c r="D1394" s="248"/>
      <c r="E1394" s="250"/>
      <c r="F1394" s="248"/>
      <c r="G1394" s="56"/>
      <c r="H1394" s="251">
        <v>0.0</v>
      </c>
      <c r="I1394" s="251">
        <v>0.0</v>
      </c>
      <c r="J1394" s="251"/>
      <c r="K1394" s="252"/>
    </row>
    <row r="1395" ht="27.75" customHeight="1">
      <c r="A1395" s="247"/>
      <c r="B1395" s="248"/>
      <c r="C1395" s="249"/>
      <c r="D1395" s="248"/>
      <c r="E1395" s="250"/>
      <c r="F1395" s="248"/>
      <c r="G1395" s="56"/>
      <c r="H1395" s="251">
        <v>0.0</v>
      </c>
      <c r="I1395" s="251">
        <v>0.0</v>
      </c>
      <c r="J1395" s="251"/>
      <c r="K1395" s="252"/>
    </row>
    <row r="1396" ht="27.75" customHeight="1">
      <c r="A1396" s="247"/>
      <c r="B1396" s="248"/>
      <c r="C1396" s="249"/>
      <c r="D1396" s="248"/>
      <c r="E1396" s="250"/>
      <c r="F1396" s="248"/>
      <c r="G1396" s="56"/>
      <c r="H1396" s="251">
        <v>0.0</v>
      </c>
      <c r="I1396" s="251">
        <v>0.0</v>
      </c>
      <c r="J1396" s="251"/>
      <c r="K1396" s="252"/>
    </row>
    <row r="1397" ht="27.75" customHeight="1">
      <c r="A1397" s="247"/>
      <c r="B1397" s="248"/>
      <c r="C1397" s="249"/>
      <c r="D1397" s="248"/>
      <c r="E1397" s="250"/>
      <c r="F1397" s="248"/>
      <c r="G1397" s="56"/>
      <c r="H1397" s="251">
        <v>0.0</v>
      </c>
      <c r="I1397" s="251">
        <v>0.0</v>
      </c>
      <c r="J1397" s="251"/>
      <c r="K1397" s="252"/>
    </row>
    <row r="1398" ht="27.75" customHeight="1">
      <c r="A1398" s="247"/>
      <c r="B1398" s="248"/>
      <c r="C1398" s="249"/>
      <c r="D1398" s="248"/>
      <c r="E1398" s="250"/>
      <c r="F1398" s="248"/>
      <c r="G1398" s="56"/>
      <c r="H1398" s="251">
        <v>0.0</v>
      </c>
      <c r="I1398" s="251">
        <v>0.0</v>
      </c>
      <c r="J1398" s="251"/>
      <c r="K1398" s="252"/>
    </row>
    <row r="1399" ht="27.75" customHeight="1">
      <c r="A1399" s="247"/>
      <c r="B1399" s="248"/>
      <c r="C1399" s="249"/>
      <c r="D1399" s="248"/>
      <c r="E1399" s="250"/>
      <c r="F1399" s="248"/>
      <c r="G1399" s="56"/>
      <c r="H1399" s="251">
        <v>0.0</v>
      </c>
      <c r="I1399" s="251">
        <v>0.0</v>
      </c>
      <c r="J1399" s="251"/>
      <c r="K1399" s="252"/>
    </row>
    <row r="1400" ht="27.75" customHeight="1">
      <c r="A1400" s="247"/>
      <c r="B1400" s="248"/>
      <c r="C1400" s="249"/>
      <c r="D1400" s="248"/>
      <c r="E1400" s="250"/>
      <c r="F1400" s="248"/>
      <c r="G1400" s="56"/>
      <c r="H1400" s="251">
        <v>0.0</v>
      </c>
      <c r="I1400" s="251">
        <v>0.0</v>
      </c>
      <c r="J1400" s="251"/>
      <c r="K1400" s="252"/>
    </row>
    <row r="1401" ht="27.75" customHeight="1">
      <c r="A1401" s="247"/>
      <c r="B1401" s="248"/>
      <c r="C1401" s="249"/>
      <c r="D1401" s="248"/>
      <c r="E1401" s="250"/>
      <c r="F1401" s="248"/>
      <c r="G1401" s="56"/>
      <c r="H1401" s="251">
        <v>0.0</v>
      </c>
      <c r="I1401" s="251">
        <v>0.0</v>
      </c>
      <c r="J1401" s="251"/>
      <c r="K1401" s="252"/>
    </row>
    <row r="1402" ht="27.75" customHeight="1">
      <c r="A1402" s="247"/>
      <c r="B1402" s="248"/>
      <c r="C1402" s="249"/>
      <c r="D1402" s="248"/>
      <c r="E1402" s="250"/>
      <c r="F1402" s="248"/>
      <c r="G1402" s="56"/>
      <c r="H1402" s="251">
        <v>0.0</v>
      </c>
      <c r="I1402" s="251">
        <v>0.0</v>
      </c>
      <c r="J1402" s="251"/>
      <c r="K1402" s="252"/>
    </row>
    <row r="1403" ht="27.75" customHeight="1">
      <c r="A1403" s="247"/>
      <c r="B1403" s="248"/>
      <c r="C1403" s="249"/>
      <c r="D1403" s="248"/>
      <c r="E1403" s="250"/>
      <c r="F1403" s="248"/>
      <c r="G1403" s="56"/>
      <c r="H1403" s="251">
        <v>0.0</v>
      </c>
      <c r="I1403" s="251">
        <v>0.0</v>
      </c>
      <c r="J1403" s="251"/>
      <c r="K1403" s="252"/>
    </row>
    <row r="1404" ht="27.75" customHeight="1">
      <c r="A1404" s="247"/>
      <c r="B1404" s="248"/>
      <c r="C1404" s="249"/>
      <c r="D1404" s="248"/>
      <c r="E1404" s="250"/>
      <c r="F1404" s="248"/>
      <c r="G1404" s="56"/>
      <c r="H1404" s="251">
        <v>0.0</v>
      </c>
      <c r="I1404" s="251">
        <v>0.0</v>
      </c>
      <c r="J1404" s="251"/>
      <c r="K1404" s="252"/>
    </row>
    <row r="1405" ht="27.75" customHeight="1">
      <c r="A1405" s="247"/>
      <c r="B1405" s="248"/>
      <c r="C1405" s="249"/>
      <c r="D1405" s="248"/>
      <c r="E1405" s="250"/>
      <c r="F1405" s="248"/>
      <c r="G1405" s="56"/>
      <c r="H1405" s="251">
        <v>0.0</v>
      </c>
      <c r="I1405" s="251">
        <v>0.0</v>
      </c>
      <c r="J1405" s="251"/>
      <c r="K1405" s="252"/>
    </row>
    <row r="1406" ht="27.75" customHeight="1">
      <c r="A1406" s="247"/>
      <c r="B1406" s="248"/>
      <c r="C1406" s="249"/>
      <c r="D1406" s="248"/>
      <c r="E1406" s="250"/>
      <c r="F1406" s="248"/>
      <c r="G1406" s="56"/>
      <c r="H1406" s="251">
        <v>0.0</v>
      </c>
      <c r="I1406" s="251">
        <v>0.0</v>
      </c>
      <c r="J1406" s="251"/>
      <c r="K1406" s="252"/>
    </row>
    <row r="1407" ht="27.75" customHeight="1">
      <c r="A1407" s="247"/>
      <c r="B1407" s="248"/>
      <c r="C1407" s="249"/>
      <c r="D1407" s="248"/>
      <c r="E1407" s="250"/>
      <c r="F1407" s="248"/>
      <c r="G1407" s="56"/>
      <c r="H1407" s="251">
        <v>0.0</v>
      </c>
      <c r="I1407" s="251">
        <v>0.0</v>
      </c>
      <c r="J1407" s="251"/>
      <c r="K1407" s="252"/>
    </row>
    <row r="1408" ht="27.75" customHeight="1">
      <c r="A1408" s="247"/>
      <c r="B1408" s="248"/>
      <c r="C1408" s="249"/>
      <c r="D1408" s="248"/>
      <c r="E1408" s="250"/>
      <c r="F1408" s="248"/>
      <c r="G1408" s="56"/>
      <c r="H1408" s="251">
        <v>0.0</v>
      </c>
      <c r="I1408" s="251">
        <v>0.0</v>
      </c>
      <c r="J1408" s="251"/>
      <c r="K1408" s="252"/>
    </row>
    <row r="1409" ht="27.75" customHeight="1">
      <c r="A1409" s="247"/>
      <c r="B1409" s="248"/>
      <c r="C1409" s="249"/>
      <c r="D1409" s="248"/>
      <c r="E1409" s="250"/>
      <c r="F1409" s="248"/>
      <c r="G1409" s="56"/>
      <c r="H1409" s="251">
        <v>0.0</v>
      </c>
      <c r="I1409" s="251">
        <v>0.0</v>
      </c>
      <c r="J1409" s="251"/>
      <c r="K1409" s="252"/>
    </row>
    <row r="1410" ht="27.75" customHeight="1">
      <c r="A1410" s="247"/>
      <c r="B1410" s="248"/>
      <c r="C1410" s="249"/>
      <c r="D1410" s="248"/>
      <c r="E1410" s="250"/>
      <c r="F1410" s="248"/>
      <c r="G1410" s="56"/>
      <c r="H1410" s="251">
        <v>0.0</v>
      </c>
      <c r="I1410" s="251">
        <v>0.0</v>
      </c>
      <c r="J1410" s="251"/>
      <c r="K1410" s="252"/>
    </row>
    <row r="1411" ht="27.75" customHeight="1">
      <c r="A1411" s="247"/>
      <c r="B1411" s="248"/>
      <c r="C1411" s="249"/>
      <c r="D1411" s="248"/>
      <c r="E1411" s="250"/>
      <c r="F1411" s="248"/>
      <c r="G1411" s="56"/>
      <c r="H1411" s="251">
        <v>0.0</v>
      </c>
      <c r="I1411" s="251">
        <v>0.0</v>
      </c>
      <c r="J1411" s="251"/>
      <c r="K1411" s="252"/>
    </row>
    <row r="1412" ht="27.75" customHeight="1">
      <c r="A1412" s="247"/>
      <c r="B1412" s="248"/>
      <c r="C1412" s="249"/>
      <c r="D1412" s="248"/>
      <c r="E1412" s="250"/>
      <c r="F1412" s="248"/>
      <c r="G1412" s="56"/>
      <c r="H1412" s="251">
        <v>0.0</v>
      </c>
      <c r="I1412" s="251">
        <v>0.0</v>
      </c>
      <c r="J1412" s="251"/>
      <c r="K1412" s="252"/>
    </row>
    <row r="1413" ht="27.75" customHeight="1">
      <c r="A1413" s="247"/>
      <c r="B1413" s="248"/>
      <c r="C1413" s="249"/>
      <c r="D1413" s="248"/>
      <c r="E1413" s="250"/>
      <c r="F1413" s="248"/>
      <c r="G1413" s="56"/>
      <c r="H1413" s="251">
        <v>0.0</v>
      </c>
      <c r="I1413" s="251">
        <v>0.0</v>
      </c>
      <c r="J1413" s="251"/>
      <c r="K1413" s="252"/>
    </row>
    <row r="1414" ht="27.75" customHeight="1">
      <c r="A1414" s="247"/>
      <c r="B1414" s="248"/>
      <c r="C1414" s="249"/>
      <c r="D1414" s="248"/>
      <c r="E1414" s="250"/>
      <c r="F1414" s="248"/>
      <c r="G1414" s="56"/>
      <c r="H1414" s="251">
        <v>0.0</v>
      </c>
      <c r="I1414" s="251">
        <v>0.0</v>
      </c>
      <c r="J1414" s="251"/>
      <c r="K1414" s="252"/>
    </row>
    <row r="1415" ht="27.75" customHeight="1">
      <c r="A1415" s="247"/>
      <c r="B1415" s="248"/>
      <c r="C1415" s="249"/>
      <c r="D1415" s="248"/>
      <c r="E1415" s="250"/>
      <c r="F1415" s="248"/>
      <c r="G1415" s="56"/>
      <c r="H1415" s="251">
        <v>0.0</v>
      </c>
      <c r="I1415" s="251">
        <v>0.0</v>
      </c>
      <c r="J1415" s="251"/>
      <c r="K1415" s="252"/>
    </row>
    <row r="1416" ht="27.75" customHeight="1">
      <c r="A1416" s="247"/>
      <c r="B1416" s="248"/>
      <c r="C1416" s="249"/>
      <c r="D1416" s="248"/>
      <c r="E1416" s="250"/>
      <c r="F1416" s="248"/>
      <c r="G1416" s="56"/>
      <c r="H1416" s="251">
        <v>0.0</v>
      </c>
      <c r="I1416" s="251">
        <v>0.0</v>
      </c>
      <c r="J1416" s="251"/>
      <c r="K1416" s="252"/>
    </row>
    <row r="1417" ht="27.75" customHeight="1">
      <c r="A1417" s="247"/>
      <c r="B1417" s="248"/>
      <c r="C1417" s="249"/>
      <c r="D1417" s="248"/>
      <c r="E1417" s="250"/>
      <c r="F1417" s="248"/>
      <c r="G1417" s="56"/>
      <c r="H1417" s="251">
        <v>0.0</v>
      </c>
      <c r="I1417" s="251">
        <v>0.0</v>
      </c>
      <c r="J1417" s="251"/>
      <c r="K1417" s="252"/>
    </row>
    <row r="1418" ht="27.75" customHeight="1">
      <c r="A1418" s="247"/>
      <c r="B1418" s="248"/>
      <c r="C1418" s="249"/>
      <c r="D1418" s="248"/>
      <c r="E1418" s="250"/>
      <c r="F1418" s="248"/>
      <c r="G1418" s="56"/>
      <c r="H1418" s="251">
        <v>0.0</v>
      </c>
      <c r="I1418" s="251">
        <v>0.0</v>
      </c>
      <c r="J1418" s="251"/>
      <c r="K1418" s="252"/>
    </row>
    <row r="1419" ht="27.75" customHeight="1">
      <c r="A1419" s="247"/>
      <c r="B1419" s="248"/>
      <c r="C1419" s="249"/>
      <c r="D1419" s="248"/>
      <c r="E1419" s="250"/>
      <c r="F1419" s="248"/>
      <c r="G1419" s="56"/>
      <c r="H1419" s="251">
        <v>0.0</v>
      </c>
      <c r="I1419" s="251">
        <v>0.0</v>
      </c>
      <c r="J1419" s="251"/>
      <c r="K1419" s="252"/>
    </row>
    <row r="1420" ht="27.75" customHeight="1">
      <c r="A1420" s="247"/>
      <c r="B1420" s="248"/>
      <c r="C1420" s="249"/>
      <c r="D1420" s="248"/>
      <c r="E1420" s="250"/>
      <c r="F1420" s="248"/>
      <c r="G1420" s="56"/>
      <c r="H1420" s="251">
        <v>0.0</v>
      </c>
      <c r="I1420" s="251">
        <v>0.0</v>
      </c>
      <c r="J1420" s="251"/>
      <c r="K1420" s="252"/>
    </row>
    <row r="1421" ht="27.75" customHeight="1">
      <c r="A1421" s="247"/>
      <c r="B1421" s="248"/>
      <c r="C1421" s="249"/>
      <c r="D1421" s="248"/>
      <c r="E1421" s="250"/>
      <c r="F1421" s="248"/>
      <c r="G1421" s="56"/>
      <c r="H1421" s="251">
        <v>0.0</v>
      </c>
      <c r="I1421" s="251">
        <v>0.0</v>
      </c>
      <c r="J1421" s="251"/>
      <c r="K1421" s="252"/>
    </row>
    <row r="1422" ht="27.75" customHeight="1">
      <c r="A1422" s="247"/>
      <c r="B1422" s="248"/>
      <c r="C1422" s="249"/>
      <c r="D1422" s="248"/>
      <c r="E1422" s="250"/>
      <c r="F1422" s="248"/>
      <c r="G1422" s="56"/>
      <c r="H1422" s="251">
        <v>0.0</v>
      </c>
      <c r="I1422" s="251">
        <v>0.0</v>
      </c>
      <c r="J1422" s="251"/>
      <c r="K1422" s="252"/>
    </row>
    <row r="1423" ht="27.75" customHeight="1">
      <c r="A1423" s="247"/>
      <c r="B1423" s="248"/>
      <c r="C1423" s="249"/>
      <c r="D1423" s="248"/>
      <c r="E1423" s="250"/>
      <c r="F1423" s="248"/>
      <c r="G1423" s="56"/>
      <c r="H1423" s="251">
        <v>0.0</v>
      </c>
      <c r="I1423" s="251">
        <v>0.0</v>
      </c>
      <c r="J1423" s="251"/>
      <c r="K1423" s="252"/>
    </row>
    <row r="1424" ht="27.75" customHeight="1">
      <c r="A1424" s="247"/>
      <c r="B1424" s="248"/>
      <c r="C1424" s="249"/>
      <c r="D1424" s="248"/>
      <c r="E1424" s="250"/>
      <c r="F1424" s="248"/>
      <c r="G1424" s="56"/>
      <c r="H1424" s="251">
        <v>0.0</v>
      </c>
      <c r="I1424" s="251">
        <v>0.0</v>
      </c>
      <c r="J1424" s="251"/>
      <c r="K1424" s="252"/>
    </row>
    <row r="1425" ht="27.75" customHeight="1">
      <c r="A1425" s="247"/>
      <c r="B1425" s="248"/>
      <c r="C1425" s="249"/>
      <c r="D1425" s="248"/>
      <c r="E1425" s="250"/>
      <c r="F1425" s="248"/>
      <c r="G1425" s="56"/>
      <c r="H1425" s="251">
        <v>0.0</v>
      </c>
      <c r="I1425" s="251">
        <v>0.0</v>
      </c>
      <c r="J1425" s="251"/>
      <c r="K1425" s="252"/>
    </row>
    <row r="1426" ht="27.75" customHeight="1">
      <c r="A1426" s="247"/>
      <c r="B1426" s="248"/>
      <c r="C1426" s="249"/>
      <c r="D1426" s="248"/>
      <c r="E1426" s="250"/>
      <c r="F1426" s="248"/>
      <c r="G1426" s="56"/>
      <c r="H1426" s="251">
        <v>0.0</v>
      </c>
      <c r="I1426" s="251">
        <v>0.0</v>
      </c>
      <c r="J1426" s="251"/>
      <c r="K1426" s="252"/>
    </row>
    <row r="1427" ht="27.75" customHeight="1">
      <c r="A1427" s="247"/>
      <c r="B1427" s="248"/>
      <c r="C1427" s="249"/>
      <c r="D1427" s="248"/>
      <c r="E1427" s="250"/>
      <c r="F1427" s="248"/>
      <c r="G1427" s="56"/>
      <c r="H1427" s="251">
        <v>0.0</v>
      </c>
      <c r="I1427" s="251">
        <v>0.0</v>
      </c>
      <c r="J1427" s="251"/>
      <c r="K1427" s="252"/>
    </row>
    <row r="1428" ht="27.75" customHeight="1">
      <c r="A1428" s="247"/>
      <c r="B1428" s="248"/>
      <c r="C1428" s="249"/>
      <c r="D1428" s="248"/>
      <c r="E1428" s="250"/>
      <c r="F1428" s="248"/>
      <c r="G1428" s="56"/>
      <c r="H1428" s="251">
        <v>0.0</v>
      </c>
      <c r="I1428" s="251">
        <v>0.0</v>
      </c>
      <c r="J1428" s="251"/>
      <c r="K1428" s="252"/>
    </row>
    <row r="1429" ht="27.75" customHeight="1">
      <c r="A1429" s="247"/>
      <c r="B1429" s="248"/>
      <c r="C1429" s="249"/>
      <c r="D1429" s="248"/>
      <c r="E1429" s="250"/>
      <c r="F1429" s="248"/>
      <c r="G1429" s="56"/>
      <c r="H1429" s="251">
        <v>0.0</v>
      </c>
      <c r="I1429" s="251">
        <v>0.0</v>
      </c>
      <c r="J1429" s="251"/>
      <c r="K1429" s="252"/>
    </row>
    <row r="1430" ht="27.75" customHeight="1">
      <c r="A1430" s="247"/>
      <c r="B1430" s="248"/>
      <c r="C1430" s="249"/>
      <c r="D1430" s="248"/>
      <c r="E1430" s="250"/>
      <c r="F1430" s="248"/>
      <c r="G1430" s="56"/>
      <c r="H1430" s="251">
        <v>0.0</v>
      </c>
      <c r="I1430" s="251">
        <v>0.0</v>
      </c>
      <c r="J1430" s="251"/>
      <c r="K1430" s="252"/>
    </row>
    <row r="1431" ht="27.75" customHeight="1">
      <c r="A1431" s="247"/>
      <c r="B1431" s="248"/>
      <c r="C1431" s="249"/>
      <c r="D1431" s="248"/>
      <c r="E1431" s="250"/>
      <c r="F1431" s="248"/>
      <c r="G1431" s="56"/>
      <c r="H1431" s="251">
        <v>0.0</v>
      </c>
      <c r="I1431" s="251">
        <v>0.0</v>
      </c>
      <c r="J1431" s="251"/>
      <c r="K1431" s="252"/>
    </row>
    <row r="1432" ht="27.75" customHeight="1">
      <c r="A1432" s="247"/>
      <c r="B1432" s="248"/>
      <c r="C1432" s="249"/>
      <c r="D1432" s="248"/>
      <c r="E1432" s="250"/>
      <c r="F1432" s="248"/>
      <c r="G1432" s="56"/>
      <c r="H1432" s="251">
        <v>0.0</v>
      </c>
      <c r="I1432" s="251">
        <v>0.0</v>
      </c>
      <c r="J1432" s="251"/>
      <c r="K1432" s="252"/>
    </row>
    <row r="1433" ht="27.75" customHeight="1">
      <c r="A1433" s="247"/>
      <c r="B1433" s="248"/>
      <c r="C1433" s="249"/>
      <c r="D1433" s="248"/>
      <c r="E1433" s="250"/>
      <c r="F1433" s="248"/>
      <c r="G1433" s="56"/>
      <c r="H1433" s="251">
        <v>0.0</v>
      </c>
      <c r="I1433" s="251">
        <v>0.0</v>
      </c>
      <c r="J1433" s="251"/>
      <c r="K1433" s="252"/>
    </row>
    <row r="1434" ht="27.75" customHeight="1">
      <c r="A1434" s="247"/>
      <c r="B1434" s="248"/>
      <c r="C1434" s="249"/>
      <c r="D1434" s="248"/>
      <c r="E1434" s="250"/>
      <c r="F1434" s="248"/>
      <c r="G1434" s="56"/>
      <c r="H1434" s="251">
        <v>0.0</v>
      </c>
      <c r="I1434" s="251">
        <v>0.0</v>
      </c>
      <c r="J1434" s="251"/>
      <c r="K1434" s="252"/>
    </row>
    <row r="1435" ht="27.75" customHeight="1">
      <c r="A1435" s="247"/>
      <c r="B1435" s="248"/>
      <c r="C1435" s="249"/>
      <c r="D1435" s="248"/>
      <c r="E1435" s="250"/>
      <c r="F1435" s="248"/>
      <c r="G1435" s="56"/>
      <c r="H1435" s="251">
        <v>0.0</v>
      </c>
      <c r="I1435" s="251">
        <v>0.0</v>
      </c>
      <c r="J1435" s="251"/>
      <c r="K1435" s="252"/>
    </row>
    <row r="1436" ht="27.75" customHeight="1">
      <c r="A1436" s="247"/>
      <c r="B1436" s="248"/>
      <c r="C1436" s="249"/>
      <c r="D1436" s="248"/>
      <c r="E1436" s="250"/>
      <c r="F1436" s="248"/>
      <c r="G1436" s="56"/>
      <c r="H1436" s="251">
        <v>0.0</v>
      </c>
      <c r="I1436" s="251">
        <v>0.0</v>
      </c>
      <c r="J1436" s="251"/>
      <c r="K1436" s="252"/>
    </row>
    <row r="1437" ht="27.75" customHeight="1">
      <c r="A1437" s="247"/>
      <c r="B1437" s="248"/>
      <c r="C1437" s="249"/>
      <c r="D1437" s="248"/>
      <c r="E1437" s="250"/>
      <c r="F1437" s="248"/>
      <c r="G1437" s="56"/>
      <c r="H1437" s="251">
        <v>0.0</v>
      </c>
      <c r="I1437" s="251">
        <v>0.0</v>
      </c>
      <c r="J1437" s="251"/>
      <c r="K1437" s="252"/>
    </row>
    <row r="1438" ht="27.75" customHeight="1">
      <c r="A1438" s="247"/>
      <c r="B1438" s="248"/>
      <c r="C1438" s="249"/>
      <c r="D1438" s="248"/>
      <c r="E1438" s="250"/>
      <c r="F1438" s="248"/>
      <c r="G1438" s="56"/>
      <c r="H1438" s="251">
        <v>0.0</v>
      </c>
      <c r="I1438" s="251">
        <v>0.0</v>
      </c>
      <c r="J1438" s="251"/>
      <c r="K1438" s="252"/>
    </row>
    <row r="1439" ht="27.75" customHeight="1">
      <c r="A1439" s="247"/>
      <c r="B1439" s="248"/>
      <c r="C1439" s="249"/>
      <c r="D1439" s="248"/>
      <c r="E1439" s="250"/>
      <c r="F1439" s="248"/>
      <c r="G1439" s="56"/>
      <c r="H1439" s="251">
        <v>0.0</v>
      </c>
      <c r="I1439" s="251">
        <v>0.0</v>
      </c>
      <c r="J1439" s="251"/>
      <c r="K1439" s="252"/>
    </row>
    <row r="1440" ht="27.75" customHeight="1">
      <c r="A1440" s="247"/>
      <c r="B1440" s="248"/>
      <c r="C1440" s="249"/>
      <c r="D1440" s="248"/>
      <c r="E1440" s="250"/>
      <c r="F1440" s="248"/>
      <c r="G1440" s="56"/>
      <c r="H1440" s="251">
        <v>0.0</v>
      </c>
      <c r="I1440" s="251">
        <v>0.0</v>
      </c>
      <c r="J1440" s="251"/>
      <c r="K1440" s="252"/>
    </row>
    <row r="1441" ht="27.75" customHeight="1">
      <c r="A1441" s="247"/>
      <c r="B1441" s="248"/>
      <c r="C1441" s="249"/>
      <c r="D1441" s="248"/>
      <c r="E1441" s="250"/>
      <c r="F1441" s="248"/>
      <c r="G1441" s="56"/>
      <c r="H1441" s="251">
        <v>0.0</v>
      </c>
      <c r="I1441" s="251">
        <v>0.0</v>
      </c>
      <c r="J1441" s="251"/>
      <c r="K1441" s="252"/>
    </row>
    <row r="1442" ht="27.75" customHeight="1">
      <c r="A1442" s="247"/>
      <c r="B1442" s="248"/>
      <c r="C1442" s="249"/>
      <c r="D1442" s="248"/>
      <c r="E1442" s="250"/>
      <c r="F1442" s="248"/>
      <c r="G1442" s="56"/>
      <c r="H1442" s="251">
        <v>0.0</v>
      </c>
      <c r="I1442" s="251">
        <v>0.0</v>
      </c>
      <c r="J1442" s="251"/>
      <c r="K1442" s="252"/>
    </row>
    <row r="1443" ht="27.75" customHeight="1">
      <c r="A1443" s="247"/>
      <c r="B1443" s="248"/>
      <c r="C1443" s="249"/>
      <c r="D1443" s="248"/>
      <c r="E1443" s="250"/>
      <c r="F1443" s="248"/>
      <c r="G1443" s="56"/>
      <c r="H1443" s="251">
        <v>0.0</v>
      </c>
      <c r="I1443" s="251">
        <v>0.0</v>
      </c>
      <c r="J1443" s="251"/>
      <c r="K1443" s="252"/>
    </row>
    <row r="1444" ht="27.75" customHeight="1">
      <c r="A1444" s="247"/>
      <c r="B1444" s="248"/>
      <c r="C1444" s="249"/>
      <c r="D1444" s="248"/>
      <c r="E1444" s="250"/>
      <c r="F1444" s="248"/>
      <c r="G1444" s="56"/>
      <c r="H1444" s="251">
        <v>0.0</v>
      </c>
      <c r="I1444" s="251">
        <v>0.0</v>
      </c>
      <c r="J1444" s="251"/>
      <c r="K1444" s="252"/>
    </row>
    <row r="1445" ht="27.75" customHeight="1">
      <c r="A1445" s="247"/>
      <c r="B1445" s="248"/>
      <c r="C1445" s="249"/>
      <c r="D1445" s="248"/>
      <c r="E1445" s="250"/>
      <c r="F1445" s="248"/>
      <c r="G1445" s="56"/>
      <c r="H1445" s="251">
        <v>0.0</v>
      </c>
      <c r="I1445" s="251">
        <v>0.0</v>
      </c>
      <c r="J1445" s="251"/>
      <c r="K1445" s="252"/>
    </row>
    <row r="1446" ht="27.75" customHeight="1">
      <c r="A1446" s="247"/>
      <c r="B1446" s="248"/>
      <c r="C1446" s="249"/>
      <c r="D1446" s="248"/>
      <c r="E1446" s="250"/>
      <c r="F1446" s="248"/>
      <c r="G1446" s="56"/>
      <c r="H1446" s="251">
        <v>0.0</v>
      </c>
      <c r="I1446" s="251">
        <v>0.0</v>
      </c>
      <c r="J1446" s="251"/>
      <c r="K1446" s="252"/>
    </row>
    <row r="1447" ht="27.75" customHeight="1">
      <c r="A1447" s="247"/>
      <c r="B1447" s="248"/>
      <c r="C1447" s="249"/>
      <c r="D1447" s="248"/>
      <c r="E1447" s="250"/>
      <c r="F1447" s="248"/>
      <c r="G1447" s="56"/>
      <c r="H1447" s="251">
        <v>0.0</v>
      </c>
      <c r="I1447" s="251">
        <v>0.0</v>
      </c>
      <c r="J1447" s="251"/>
      <c r="K1447" s="252"/>
    </row>
    <row r="1448" ht="27.75" customHeight="1">
      <c r="A1448" s="247"/>
      <c r="B1448" s="248"/>
      <c r="C1448" s="249"/>
      <c r="D1448" s="248"/>
      <c r="E1448" s="250"/>
      <c r="F1448" s="248"/>
      <c r="G1448" s="56"/>
      <c r="H1448" s="251">
        <v>0.0</v>
      </c>
      <c r="I1448" s="251">
        <v>0.0</v>
      </c>
      <c r="J1448" s="251"/>
      <c r="K1448" s="252"/>
    </row>
    <row r="1449" ht="27.75" customHeight="1">
      <c r="A1449" s="247"/>
      <c r="B1449" s="248"/>
      <c r="C1449" s="249"/>
      <c r="D1449" s="248"/>
      <c r="E1449" s="250"/>
      <c r="F1449" s="248"/>
      <c r="G1449" s="56"/>
      <c r="H1449" s="251">
        <v>0.0</v>
      </c>
      <c r="I1449" s="251">
        <v>0.0</v>
      </c>
      <c r="J1449" s="251"/>
      <c r="K1449" s="252"/>
    </row>
    <row r="1450" ht="27.75" customHeight="1">
      <c r="A1450" s="247"/>
      <c r="B1450" s="248"/>
      <c r="C1450" s="249"/>
      <c r="D1450" s="248"/>
      <c r="E1450" s="250"/>
      <c r="F1450" s="248"/>
      <c r="G1450" s="56"/>
      <c r="H1450" s="251">
        <v>0.0</v>
      </c>
      <c r="I1450" s="251">
        <v>0.0</v>
      </c>
      <c r="J1450" s="251"/>
      <c r="K1450" s="252"/>
    </row>
    <row r="1451" ht="27.75" customHeight="1">
      <c r="A1451" s="247"/>
      <c r="B1451" s="248"/>
      <c r="C1451" s="249"/>
      <c r="D1451" s="248"/>
      <c r="E1451" s="250"/>
      <c r="F1451" s="248"/>
      <c r="G1451" s="56"/>
      <c r="H1451" s="251">
        <v>0.0</v>
      </c>
      <c r="I1451" s="251">
        <v>0.0</v>
      </c>
      <c r="J1451" s="251"/>
      <c r="K1451" s="252"/>
    </row>
    <row r="1452" ht="27.75" customHeight="1">
      <c r="A1452" s="247"/>
      <c r="B1452" s="248"/>
      <c r="C1452" s="249"/>
      <c r="D1452" s="248"/>
      <c r="E1452" s="250"/>
      <c r="F1452" s="248"/>
      <c r="G1452" s="56"/>
      <c r="H1452" s="251">
        <v>0.0</v>
      </c>
      <c r="I1452" s="251">
        <v>0.0</v>
      </c>
      <c r="J1452" s="251"/>
      <c r="K1452" s="252"/>
    </row>
    <row r="1453" ht="27.75" customHeight="1">
      <c r="A1453" s="247"/>
      <c r="B1453" s="248"/>
      <c r="C1453" s="249"/>
      <c r="D1453" s="248"/>
      <c r="E1453" s="250"/>
      <c r="F1453" s="248"/>
      <c r="G1453" s="56"/>
      <c r="H1453" s="251">
        <v>0.0</v>
      </c>
      <c r="I1453" s="251">
        <v>0.0</v>
      </c>
      <c r="J1453" s="251"/>
      <c r="K1453" s="252"/>
    </row>
    <row r="1454" ht="27.75" customHeight="1">
      <c r="A1454" s="247"/>
      <c r="B1454" s="248"/>
      <c r="C1454" s="249"/>
      <c r="D1454" s="248"/>
      <c r="E1454" s="250"/>
      <c r="F1454" s="248"/>
      <c r="G1454" s="56"/>
      <c r="H1454" s="251">
        <v>0.0</v>
      </c>
      <c r="I1454" s="251">
        <v>0.0</v>
      </c>
      <c r="J1454" s="251"/>
      <c r="K1454" s="252"/>
    </row>
    <row r="1455" ht="27.75" customHeight="1">
      <c r="A1455" s="247"/>
      <c r="B1455" s="248"/>
      <c r="C1455" s="249"/>
      <c r="D1455" s="248"/>
      <c r="E1455" s="250"/>
      <c r="F1455" s="248"/>
      <c r="G1455" s="56"/>
      <c r="H1455" s="251">
        <v>0.0</v>
      </c>
      <c r="I1455" s="251">
        <v>0.0</v>
      </c>
      <c r="J1455" s="251"/>
      <c r="K1455" s="252"/>
    </row>
    <row r="1456" ht="27.75" customHeight="1">
      <c r="A1456" s="247"/>
      <c r="B1456" s="248"/>
      <c r="C1456" s="249"/>
      <c r="D1456" s="248"/>
      <c r="E1456" s="250"/>
      <c r="F1456" s="248"/>
      <c r="G1456" s="56"/>
      <c r="H1456" s="251">
        <v>0.0</v>
      </c>
      <c r="I1456" s="251">
        <v>0.0</v>
      </c>
      <c r="J1456" s="251"/>
      <c r="K1456" s="252"/>
    </row>
    <row r="1457" ht="27.75" customHeight="1">
      <c r="A1457" s="247"/>
      <c r="B1457" s="248"/>
      <c r="C1457" s="249"/>
      <c r="D1457" s="248"/>
      <c r="E1457" s="250"/>
      <c r="F1457" s="248"/>
      <c r="G1457" s="56"/>
      <c r="H1457" s="251">
        <v>0.0</v>
      </c>
      <c r="I1457" s="251">
        <v>0.0</v>
      </c>
      <c r="J1457" s="251"/>
      <c r="K1457" s="252"/>
    </row>
    <row r="1458" ht="27.75" customHeight="1">
      <c r="A1458" s="247"/>
      <c r="B1458" s="248"/>
      <c r="C1458" s="249"/>
      <c r="D1458" s="248"/>
      <c r="E1458" s="250"/>
      <c r="F1458" s="248"/>
      <c r="G1458" s="56"/>
      <c r="H1458" s="251">
        <v>0.0</v>
      </c>
      <c r="I1458" s="251">
        <v>0.0</v>
      </c>
      <c r="J1458" s="251"/>
      <c r="K1458" s="252"/>
    </row>
    <row r="1459" ht="27.75" customHeight="1">
      <c r="A1459" s="247"/>
      <c r="B1459" s="248"/>
      <c r="C1459" s="249"/>
      <c r="D1459" s="248"/>
      <c r="E1459" s="250"/>
      <c r="F1459" s="248"/>
      <c r="G1459" s="56"/>
      <c r="H1459" s="251">
        <v>0.0</v>
      </c>
      <c r="I1459" s="251">
        <v>0.0</v>
      </c>
      <c r="J1459" s="251"/>
      <c r="K1459" s="252"/>
    </row>
    <row r="1460" ht="27.75" customHeight="1">
      <c r="A1460" s="247"/>
      <c r="B1460" s="248"/>
      <c r="C1460" s="249"/>
      <c r="D1460" s="248"/>
      <c r="E1460" s="250"/>
      <c r="F1460" s="248"/>
      <c r="G1460" s="56"/>
      <c r="H1460" s="251">
        <v>0.0</v>
      </c>
      <c r="I1460" s="251">
        <v>0.0</v>
      </c>
      <c r="J1460" s="251"/>
      <c r="K1460" s="252"/>
    </row>
    <row r="1461" ht="27.75" customHeight="1">
      <c r="A1461" s="247"/>
      <c r="B1461" s="248"/>
      <c r="C1461" s="249"/>
      <c r="D1461" s="248"/>
      <c r="E1461" s="250"/>
      <c r="F1461" s="248"/>
      <c r="G1461" s="56"/>
      <c r="H1461" s="251">
        <v>0.0</v>
      </c>
      <c r="I1461" s="251">
        <v>0.0</v>
      </c>
      <c r="J1461" s="251"/>
      <c r="K1461" s="252"/>
    </row>
    <row r="1462" ht="27.75" customHeight="1">
      <c r="A1462" s="247"/>
      <c r="B1462" s="248"/>
      <c r="C1462" s="249"/>
      <c r="D1462" s="248"/>
      <c r="E1462" s="250"/>
      <c r="F1462" s="248"/>
      <c r="G1462" s="56"/>
      <c r="H1462" s="251">
        <v>0.0</v>
      </c>
      <c r="I1462" s="251">
        <v>0.0</v>
      </c>
      <c r="J1462" s="251"/>
      <c r="K1462" s="252"/>
    </row>
    <row r="1463" ht="27.75" customHeight="1">
      <c r="A1463" s="247"/>
      <c r="B1463" s="248"/>
      <c r="C1463" s="249"/>
      <c r="D1463" s="248"/>
      <c r="E1463" s="250"/>
      <c r="F1463" s="248"/>
      <c r="G1463" s="56"/>
      <c r="H1463" s="251">
        <v>0.0</v>
      </c>
      <c r="I1463" s="251">
        <v>0.0</v>
      </c>
      <c r="J1463" s="251"/>
      <c r="K1463" s="252"/>
    </row>
    <row r="1464" ht="27.75" customHeight="1">
      <c r="A1464" s="247"/>
      <c r="B1464" s="248"/>
      <c r="C1464" s="249"/>
      <c r="D1464" s="248"/>
      <c r="E1464" s="250"/>
      <c r="F1464" s="248"/>
      <c r="G1464" s="56"/>
      <c r="H1464" s="251">
        <v>0.0</v>
      </c>
      <c r="I1464" s="251">
        <v>0.0</v>
      </c>
      <c r="J1464" s="251"/>
      <c r="K1464" s="252"/>
    </row>
    <row r="1465" ht="27.75" customHeight="1">
      <c r="A1465" s="247"/>
      <c r="B1465" s="248"/>
      <c r="C1465" s="249"/>
      <c r="D1465" s="248"/>
      <c r="E1465" s="250"/>
      <c r="F1465" s="248"/>
      <c r="G1465" s="56"/>
      <c r="H1465" s="251">
        <v>0.0</v>
      </c>
      <c r="I1465" s="251">
        <v>0.0</v>
      </c>
      <c r="J1465" s="251"/>
      <c r="K1465" s="252"/>
    </row>
    <row r="1466" ht="27.75" customHeight="1">
      <c r="A1466" s="247"/>
      <c r="B1466" s="248"/>
      <c r="C1466" s="249"/>
      <c r="D1466" s="248"/>
      <c r="E1466" s="250"/>
      <c r="F1466" s="248"/>
      <c r="G1466" s="56"/>
      <c r="H1466" s="251">
        <v>0.0</v>
      </c>
      <c r="I1466" s="251">
        <v>0.0</v>
      </c>
      <c r="J1466" s="251"/>
      <c r="K1466" s="252"/>
    </row>
    <row r="1467" ht="27.75" customHeight="1">
      <c r="A1467" s="247"/>
      <c r="B1467" s="248"/>
      <c r="C1467" s="249"/>
      <c r="D1467" s="248"/>
      <c r="E1467" s="250"/>
      <c r="F1467" s="248"/>
      <c r="G1467" s="56"/>
      <c r="H1467" s="251">
        <v>0.0</v>
      </c>
      <c r="I1467" s="251">
        <v>0.0</v>
      </c>
      <c r="J1467" s="251"/>
      <c r="K1467" s="252"/>
    </row>
    <row r="1468" ht="27.75" customHeight="1">
      <c r="A1468" s="247"/>
      <c r="B1468" s="248"/>
      <c r="C1468" s="249"/>
      <c r="D1468" s="248"/>
      <c r="E1468" s="250"/>
      <c r="F1468" s="248"/>
      <c r="G1468" s="56"/>
      <c r="H1468" s="251">
        <v>0.0</v>
      </c>
      <c r="I1468" s="251">
        <v>0.0</v>
      </c>
      <c r="J1468" s="251"/>
      <c r="K1468" s="252"/>
    </row>
    <row r="1469" ht="27.75" customHeight="1">
      <c r="A1469" s="247"/>
      <c r="B1469" s="248"/>
      <c r="C1469" s="249"/>
      <c r="D1469" s="248"/>
      <c r="E1469" s="250"/>
      <c r="F1469" s="248"/>
      <c r="G1469" s="56"/>
      <c r="H1469" s="251">
        <v>0.0</v>
      </c>
      <c r="I1469" s="251">
        <v>0.0</v>
      </c>
      <c r="J1469" s="251"/>
      <c r="K1469" s="252"/>
    </row>
    <row r="1470" ht="27.75" customHeight="1">
      <c r="A1470" s="247"/>
      <c r="B1470" s="248"/>
      <c r="C1470" s="249"/>
      <c r="D1470" s="248"/>
      <c r="E1470" s="250"/>
      <c r="F1470" s="248"/>
      <c r="G1470" s="56"/>
      <c r="H1470" s="251">
        <v>0.0</v>
      </c>
      <c r="I1470" s="251">
        <v>0.0</v>
      </c>
      <c r="J1470" s="251"/>
      <c r="K1470" s="252"/>
    </row>
    <row r="1471" ht="27.75" customHeight="1">
      <c r="A1471" s="247"/>
      <c r="B1471" s="248"/>
      <c r="C1471" s="249"/>
      <c r="D1471" s="248"/>
      <c r="E1471" s="250"/>
      <c r="F1471" s="248"/>
      <c r="G1471" s="56"/>
      <c r="H1471" s="251">
        <v>0.0</v>
      </c>
      <c r="I1471" s="251">
        <v>0.0</v>
      </c>
      <c r="J1471" s="251"/>
      <c r="K1471" s="252"/>
    </row>
    <row r="1472" ht="27.75" customHeight="1">
      <c r="A1472" s="247"/>
      <c r="B1472" s="248"/>
      <c r="C1472" s="249"/>
      <c r="D1472" s="248"/>
      <c r="E1472" s="250"/>
      <c r="F1472" s="248"/>
      <c r="G1472" s="56"/>
      <c r="H1472" s="251">
        <v>0.0</v>
      </c>
      <c r="I1472" s="251">
        <v>0.0</v>
      </c>
      <c r="J1472" s="251"/>
      <c r="K1472" s="252"/>
    </row>
    <row r="1473" ht="27.75" customHeight="1">
      <c r="A1473" s="247"/>
      <c r="B1473" s="248"/>
      <c r="C1473" s="249"/>
      <c r="D1473" s="248"/>
      <c r="E1473" s="250"/>
      <c r="F1473" s="248"/>
      <c r="G1473" s="56"/>
      <c r="H1473" s="251">
        <v>0.0</v>
      </c>
      <c r="I1473" s="251">
        <v>0.0</v>
      </c>
      <c r="J1473" s="251"/>
      <c r="K1473" s="252"/>
    </row>
    <row r="1474" ht="27.75" customHeight="1">
      <c r="A1474" s="247"/>
      <c r="B1474" s="248"/>
      <c r="C1474" s="249"/>
      <c r="D1474" s="248"/>
      <c r="E1474" s="250"/>
      <c r="F1474" s="248"/>
      <c r="G1474" s="56"/>
      <c r="H1474" s="251">
        <v>0.0</v>
      </c>
      <c r="I1474" s="251">
        <v>0.0</v>
      </c>
      <c r="J1474" s="251"/>
      <c r="K1474" s="252"/>
    </row>
    <row r="1475" ht="27.75" customHeight="1">
      <c r="A1475" s="247"/>
      <c r="B1475" s="248"/>
      <c r="C1475" s="249"/>
      <c r="D1475" s="248"/>
      <c r="E1475" s="250"/>
      <c r="F1475" s="248"/>
      <c r="G1475" s="56"/>
      <c r="H1475" s="251">
        <v>0.0</v>
      </c>
      <c r="I1475" s="251">
        <v>0.0</v>
      </c>
      <c r="J1475" s="251"/>
      <c r="K1475" s="252"/>
    </row>
    <row r="1476" ht="27.75" customHeight="1">
      <c r="A1476" s="247"/>
      <c r="B1476" s="248"/>
      <c r="C1476" s="249"/>
      <c r="D1476" s="248"/>
      <c r="E1476" s="250"/>
      <c r="F1476" s="248"/>
      <c r="G1476" s="56"/>
      <c r="H1476" s="251">
        <v>0.0</v>
      </c>
      <c r="I1476" s="251">
        <v>0.0</v>
      </c>
      <c r="J1476" s="251"/>
      <c r="K1476" s="252"/>
    </row>
    <row r="1477" ht="27.75" customHeight="1">
      <c r="A1477" s="247"/>
      <c r="B1477" s="248"/>
      <c r="C1477" s="249"/>
      <c r="D1477" s="248"/>
      <c r="E1477" s="250"/>
      <c r="F1477" s="248"/>
      <c r="G1477" s="56"/>
      <c r="H1477" s="251">
        <v>0.0</v>
      </c>
      <c r="I1477" s="251">
        <v>0.0</v>
      </c>
      <c r="J1477" s="251"/>
      <c r="K1477" s="252"/>
    </row>
    <row r="1478" ht="27.75" customHeight="1">
      <c r="A1478" s="247"/>
      <c r="B1478" s="248"/>
      <c r="C1478" s="249"/>
      <c r="D1478" s="248"/>
      <c r="E1478" s="250"/>
      <c r="F1478" s="248"/>
      <c r="G1478" s="56"/>
      <c r="H1478" s="251">
        <v>0.0</v>
      </c>
      <c r="I1478" s="251">
        <v>0.0</v>
      </c>
      <c r="J1478" s="251"/>
      <c r="K1478" s="252"/>
    </row>
    <row r="1479" ht="27.75" customHeight="1">
      <c r="A1479" s="247"/>
      <c r="B1479" s="248"/>
      <c r="C1479" s="249"/>
      <c r="D1479" s="248"/>
      <c r="E1479" s="250"/>
      <c r="F1479" s="248"/>
      <c r="G1479" s="56"/>
      <c r="H1479" s="251">
        <v>0.0</v>
      </c>
      <c r="I1479" s="251">
        <v>0.0</v>
      </c>
      <c r="J1479" s="251"/>
      <c r="K1479" s="252"/>
    </row>
    <row r="1480" ht="27.75" customHeight="1">
      <c r="A1480" s="247"/>
      <c r="B1480" s="248"/>
      <c r="C1480" s="249"/>
      <c r="D1480" s="248"/>
      <c r="E1480" s="250"/>
      <c r="F1480" s="248"/>
      <c r="G1480" s="56"/>
      <c r="H1480" s="251">
        <v>0.0</v>
      </c>
      <c r="I1480" s="251">
        <v>0.0</v>
      </c>
      <c r="J1480" s="251"/>
      <c r="K1480" s="252"/>
    </row>
    <row r="1481" ht="27.75" customHeight="1">
      <c r="A1481" s="247"/>
      <c r="B1481" s="248"/>
      <c r="C1481" s="249"/>
      <c r="D1481" s="248"/>
      <c r="E1481" s="250"/>
      <c r="F1481" s="248"/>
      <c r="G1481" s="56"/>
      <c r="H1481" s="251">
        <v>0.0</v>
      </c>
      <c r="I1481" s="251">
        <v>0.0</v>
      </c>
      <c r="J1481" s="251"/>
      <c r="K1481" s="252"/>
    </row>
    <row r="1482" ht="27.75" customHeight="1">
      <c r="A1482" s="247"/>
      <c r="B1482" s="248"/>
      <c r="C1482" s="249"/>
      <c r="D1482" s="248"/>
      <c r="E1482" s="250"/>
      <c r="F1482" s="248"/>
      <c r="G1482" s="56"/>
      <c r="H1482" s="251">
        <v>0.0</v>
      </c>
      <c r="I1482" s="251">
        <v>0.0</v>
      </c>
      <c r="J1482" s="251"/>
      <c r="K1482" s="252"/>
    </row>
    <row r="1483" ht="27.75" customHeight="1">
      <c r="A1483" s="247"/>
      <c r="B1483" s="248"/>
      <c r="C1483" s="249"/>
      <c r="D1483" s="248"/>
      <c r="E1483" s="250"/>
      <c r="F1483" s="248"/>
      <c r="G1483" s="56"/>
      <c r="H1483" s="251">
        <v>0.0</v>
      </c>
      <c r="I1483" s="251">
        <v>0.0</v>
      </c>
      <c r="J1483" s="251"/>
      <c r="K1483" s="252"/>
    </row>
    <row r="1484" ht="27.75" customHeight="1">
      <c r="A1484" s="247"/>
      <c r="B1484" s="248"/>
      <c r="C1484" s="249"/>
      <c r="D1484" s="248"/>
      <c r="E1484" s="250"/>
      <c r="F1484" s="248"/>
      <c r="G1484" s="56"/>
      <c r="H1484" s="251">
        <v>0.0</v>
      </c>
      <c r="I1484" s="251">
        <v>0.0</v>
      </c>
      <c r="J1484" s="251"/>
      <c r="K1484" s="252"/>
    </row>
    <row r="1485" ht="27.75" customHeight="1">
      <c r="A1485" s="247"/>
      <c r="B1485" s="248"/>
      <c r="C1485" s="249"/>
      <c r="D1485" s="248"/>
      <c r="E1485" s="250"/>
      <c r="F1485" s="248"/>
      <c r="G1485" s="56"/>
      <c r="H1485" s="251">
        <v>0.0</v>
      </c>
      <c r="I1485" s="251">
        <v>0.0</v>
      </c>
      <c r="J1485" s="251"/>
      <c r="K1485" s="252"/>
    </row>
    <row r="1486" ht="27.75" customHeight="1">
      <c r="A1486" s="247"/>
      <c r="B1486" s="248"/>
      <c r="C1486" s="249"/>
      <c r="D1486" s="248"/>
      <c r="E1486" s="250"/>
      <c r="F1486" s="248"/>
      <c r="G1486" s="56"/>
      <c r="H1486" s="251">
        <v>0.0</v>
      </c>
      <c r="I1486" s="251">
        <v>0.0</v>
      </c>
      <c r="J1486" s="251"/>
      <c r="K1486" s="252"/>
    </row>
    <row r="1487" ht="27.75" customHeight="1">
      <c r="A1487" s="247"/>
      <c r="B1487" s="248"/>
      <c r="C1487" s="249"/>
      <c r="D1487" s="248"/>
      <c r="E1487" s="250"/>
      <c r="F1487" s="248"/>
      <c r="G1487" s="56"/>
      <c r="H1487" s="251">
        <v>0.0</v>
      </c>
      <c r="I1487" s="251">
        <v>0.0</v>
      </c>
      <c r="J1487" s="251"/>
      <c r="K1487" s="252"/>
    </row>
    <row r="1488" ht="27.75" customHeight="1">
      <c r="A1488" s="247"/>
      <c r="B1488" s="248"/>
      <c r="C1488" s="249"/>
      <c r="D1488" s="248"/>
      <c r="E1488" s="250"/>
      <c r="F1488" s="248"/>
      <c r="G1488" s="56"/>
      <c r="H1488" s="251">
        <v>0.0</v>
      </c>
      <c r="I1488" s="251">
        <v>0.0</v>
      </c>
      <c r="J1488" s="251"/>
      <c r="K1488" s="252"/>
    </row>
    <row r="1489" ht="27.75" customHeight="1">
      <c r="A1489" s="247"/>
      <c r="B1489" s="248"/>
      <c r="C1489" s="249"/>
      <c r="D1489" s="248"/>
      <c r="E1489" s="250"/>
      <c r="F1489" s="248"/>
      <c r="G1489" s="56"/>
      <c r="H1489" s="251">
        <v>0.0</v>
      </c>
      <c r="I1489" s="251">
        <v>0.0</v>
      </c>
      <c r="J1489" s="251"/>
      <c r="K1489" s="252"/>
    </row>
    <row r="1490" ht="27.75" customHeight="1">
      <c r="A1490" s="247"/>
      <c r="B1490" s="248"/>
      <c r="C1490" s="249"/>
      <c r="D1490" s="248"/>
      <c r="E1490" s="250"/>
      <c r="F1490" s="248"/>
      <c r="G1490" s="56"/>
      <c r="H1490" s="251">
        <v>0.0</v>
      </c>
      <c r="I1490" s="251">
        <v>0.0</v>
      </c>
      <c r="J1490" s="251"/>
      <c r="K1490" s="252"/>
    </row>
    <row r="1491" ht="27.75" customHeight="1">
      <c r="A1491" s="247"/>
      <c r="B1491" s="248"/>
      <c r="C1491" s="249"/>
      <c r="D1491" s="248"/>
      <c r="E1491" s="250"/>
      <c r="F1491" s="248"/>
      <c r="G1491" s="56"/>
      <c r="H1491" s="251">
        <v>0.0</v>
      </c>
      <c r="I1491" s="251">
        <v>0.0</v>
      </c>
      <c r="J1491" s="251"/>
      <c r="K1491" s="252"/>
    </row>
    <row r="1492" ht="27.75" customHeight="1">
      <c r="A1492" s="247"/>
      <c r="B1492" s="248"/>
      <c r="C1492" s="249"/>
      <c r="D1492" s="248"/>
      <c r="E1492" s="250"/>
      <c r="F1492" s="248"/>
      <c r="G1492" s="56"/>
      <c r="H1492" s="251">
        <v>0.0</v>
      </c>
      <c r="I1492" s="251">
        <v>0.0</v>
      </c>
      <c r="J1492" s="251"/>
      <c r="K1492" s="252"/>
    </row>
    <row r="1493" ht="27.75" customHeight="1">
      <c r="A1493" s="247"/>
      <c r="B1493" s="248"/>
      <c r="C1493" s="249"/>
      <c r="D1493" s="248"/>
      <c r="E1493" s="250"/>
      <c r="F1493" s="248"/>
      <c r="G1493" s="56"/>
      <c r="H1493" s="251">
        <v>0.0</v>
      </c>
      <c r="I1493" s="251">
        <v>0.0</v>
      </c>
      <c r="J1493" s="251"/>
      <c r="K1493" s="252"/>
    </row>
    <row r="1494" ht="27.75" customHeight="1">
      <c r="A1494" s="247"/>
      <c r="B1494" s="248"/>
      <c r="C1494" s="249"/>
      <c r="D1494" s="248"/>
      <c r="E1494" s="250"/>
      <c r="F1494" s="248"/>
      <c r="G1494" s="56"/>
      <c r="H1494" s="251">
        <v>0.0</v>
      </c>
      <c r="I1494" s="251">
        <v>0.0</v>
      </c>
      <c r="J1494" s="251"/>
      <c r="K1494" s="252"/>
    </row>
    <row r="1495" ht="27.75" customHeight="1">
      <c r="A1495" s="247"/>
      <c r="B1495" s="248"/>
      <c r="C1495" s="249"/>
      <c r="D1495" s="248"/>
      <c r="E1495" s="250"/>
      <c r="F1495" s="248"/>
      <c r="G1495" s="56"/>
      <c r="H1495" s="251">
        <v>0.0</v>
      </c>
      <c r="I1495" s="251">
        <v>0.0</v>
      </c>
      <c r="J1495" s="251"/>
      <c r="K1495" s="252"/>
    </row>
    <row r="1496" ht="27.75" customHeight="1">
      <c r="A1496" s="247"/>
      <c r="B1496" s="248"/>
      <c r="C1496" s="249"/>
      <c r="D1496" s="248"/>
      <c r="E1496" s="250"/>
      <c r="F1496" s="248"/>
      <c r="G1496" s="56"/>
      <c r="H1496" s="251">
        <v>0.0</v>
      </c>
      <c r="I1496" s="251">
        <v>0.0</v>
      </c>
      <c r="J1496" s="251"/>
      <c r="K1496" s="252"/>
    </row>
    <row r="1497" ht="27.75" customHeight="1">
      <c r="A1497" s="247"/>
      <c r="B1497" s="248"/>
      <c r="C1497" s="249"/>
      <c r="D1497" s="248"/>
      <c r="E1497" s="250"/>
      <c r="F1497" s="248"/>
      <c r="G1497" s="56"/>
      <c r="H1497" s="251">
        <v>0.0</v>
      </c>
      <c r="I1497" s="251">
        <v>0.0</v>
      </c>
      <c r="J1497" s="251"/>
      <c r="K1497" s="252"/>
    </row>
    <row r="1498" ht="27.75" customHeight="1">
      <c r="A1498" s="247"/>
      <c r="B1498" s="248"/>
      <c r="C1498" s="249"/>
      <c r="D1498" s="248"/>
      <c r="E1498" s="250"/>
      <c r="F1498" s="248"/>
      <c r="G1498" s="56"/>
      <c r="H1498" s="251">
        <v>0.0</v>
      </c>
      <c r="I1498" s="251">
        <v>0.0</v>
      </c>
      <c r="J1498" s="251"/>
      <c r="K1498" s="252"/>
    </row>
    <row r="1499" ht="27.75" customHeight="1">
      <c r="A1499" s="247"/>
      <c r="B1499" s="248"/>
      <c r="C1499" s="249"/>
      <c r="D1499" s="248"/>
      <c r="E1499" s="250"/>
      <c r="F1499" s="248"/>
      <c r="G1499" s="56"/>
      <c r="H1499" s="251">
        <v>0.0</v>
      </c>
      <c r="I1499" s="251">
        <v>0.0</v>
      </c>
      <c r="J1499" s="251"/>
      <c r="K1499" s="252"/>
    </row>
    <row r="1500" ht="27.75" customHeight="1">
      <c r="A1500" s="247"/>
      <c r="B1500" s="248"/>
      <c r="C1500" s="249"/>
      <c r="D1500" s="248"/>
      <c r="E1500" s="250"/>
      <c r="F1500" s="248"/>
      <c r="G1500" s="56"/>
      <c r="H1500" s="251">
        <v>0.0</v>
      </c>
      <c r="I1500" s="251">
        <v>0.0</v>
      </c>
      <c r="J1500" s="251"/>
      <c r="K1500" s="252"/>
    </row>
    <row r="1501" ht="27.75" customHeight="1">
      <c r="A1501" s="247"/>
      <c r="B1501" s="248"/>
      <c r="C1501" s="249"/>
      <c r="D1501" s="248"/>
      <c r="E1501" s="250"/>
      <c r="F1501" s="248"/>
      <c r="G1501" s="56"/>
      <c r="H1501" s="251">
        <v>0.0</v>
      </c>
      <c r="I1501" s="251">
        <v>0.0</v>
      </c>
      <c r="J1501" s="251"/>
      <c r="K1501" s="252"/>
    </row>
    <row r="1502" ht="27.75" customHeight="1">
      <c r="A1502" s="247"/>
      <c r="B1502" s="248"/>
      <c r="C1502" s="249"/>
      <c r="D1502" s="248"/>
      <c r="E1502" s="250"/>
      <c r="F1502" s="248"/>
      <c r="G1502" s="56"/>
      <c r="H1502" s="251">
        <v>0.0</v>
      </c>
      <c r="I1502" s="251">
        <v>0.0</v>
      </c>
      <c r="J1502" s="251"/>
      <c r="K1502" s="252"/>
    </row>
    <row r="1503" ht="27.75" customHeight="1">
      <c r="A1503" s="247"/>
      <c r="B1503" s="248"/>
      <c r="C1503" s="249"/>
      <c r="D1503" s="248"/>
      <c r="E1503" s="250"/>
      <c r="F1503" s="248"/>
      <c r="G1503" s="56"/>
      <c r="H1503" s="251">
        <v>0.0</v>
      </c>
      <c r="I1503" s="251">
        <v>0.0</v>
      </c>
      <c r="J1503" s="251"/>
      <c r="K1503" s="252"/>
    </row>
    <row r="1504" ht="27.75" customHeight="1">
      <c r="A1504" s="247"/>
      <c r="B1504" s="248"/>
      <c r="C1504" s="249"/>
      <c r="D1504" s="248"/>
      <c r="E1504" s="250"/>
      <c r="F1504" s="248"/>
      <c r="G1504" s="56"/>
      <c r="H1504" s="251">
        <v>0.0</v>
      </c>
      <c r="I1504" s="251">
        <v>0.0</v>
      </c>
      <c r="J1504" s="251"/>
      <c r="K1504" s="252"/>
    </row>
    <row r="1505" ht="27.75" customHeight="1">
      <c r="A1505" s="247"/>
      <c r="B1505" s="248"/>
      <c r="C1505" s="249"/>
      <c r="D1505" s="248"/>
      <c r="E1505" s="250"/>
      <c r="F1505" s="248"/>
      <c r="G1505" s="56"/>
      <c r="H1505" s="251">
        <v>0.0</v>
      </c>
      <c r="I1505" s="251">
        <v>0.0</v>
      </c>
      <c r="J1505" s="251"/>
      <c r="K1505" s="252"/>
    </row>
    <row r="1506" ht="27.75" customHeight="1">
      <c r="A1506" s="247"/>
      <c r="B1506" s="248"/>
      <c r="C1506" s="249"/>
      <c r="D1506" s="248"/>
      <c r="E1506" s="250"/>
      <c r="F1506" s="248"/>
      <c r="G1506" s="56"/>
      <c r="H1506" s="251">
        <v>0.0</v>
      </c>
      <c r="I1506" s="251">
        <v>0.0</v>
      </c>
      <c r="J1506" s="251"/>
      <c r="K1506" s="252"/>
    </row>
    <row r="1507" ht="27.75" customHeight="1">
      <c r="A1507" s="247"/>
      <c r="B1507" s="248"/>
      <c r="C1507" s="249"/>
      <c r="D1507" s="248"/>
      <c r="E1507" s="250"/>
      <c r="F1507" s="248"/>
      <c r="G1507" s="56"/>
      <c r="H1507" s="251">
        <v>0.0</v>
      </c>
      <c r="I1507" s="251">
        <v>0.0</v>
      </c>
      <c r="J1507" s="251"/>
      <c r="K1507" s="252"/>
    </row>
    <row r="1508" ht="27.75" customHeight="1">
      <c r="A1508" s="247"/>
      <c r="B1508" s="248"/>
      <c r="C1508" s="249"/>
      <c r="D1508" s="248"/>
      <c r="E1508" s="250"/>
      <c r="F1508" s="248"/>
      <c r="G1508" s="56"/>
      <c r="H1508" s="251">
        <v>0.0</v>
      </c>
      <c r="I1508" s="251">
        <v>0.0</v>
      </c>
      <c r="J1508" s="251"/>
      <c r="K1508" s="252"/>
    </row>
    <row r="1509" ht="27.75" customHeight="1">
      <c r="A1509" s="247"/>
      <c r="B1509" s="248"/>
      <c r="C1509" s="249"/>
      <c r="D1509" s="248"/>
      <c r="E1509" s="250"/>
      <c r="F1509" s="248"/>
      <c r="G1509" s="56"/>
      <c r="H1509" s="251">
        <v>0.0</v>
      </c>
      <c r="I1509" s="251">
        <v>0.0</v>
      </c>
      <c r="J1509" s="251"/>
      <c r="K1509" s="252"/>
    </row>
    <row r="1510" ht="27.75" customHeight="1">
      <c r="A1510" s="247"/>
      <c r="B1510" s="248"/>
      <c r="C1510" s="249"/>
      <c r="D1510" s="248"/>
      <c r="E1510" s="250"/>
      <c r="F1510" s="248"/>
      <c r="G1510" s="56"/>
      <c r="H1510" s="251">
        <v>0.0</v>
      </c>
      <c r="I1510" s="251">
        <v>0.0</v>
      </c>
      <c r="J1510" s="251"/>
      <c r="K1510" s="252"/>
    </row>
    <row r="1511" ht="27.75" customHeight="1">
      <c r="A1511" s="247"/>
      <c r="B1511" s="248"/>
      <c r="C1511" s="249"/>
      <c r="D1511" s="248"/>
      <c r="E1511" s="250"/>
      <c r="F1511" s="248"/>
      <c r="G1511" s="56"/>
      <c r="H1511" s="251">
        <v>0.0</v>
      </c>
      <c r="I1511" s="251">
        <v>0.0</v>
      </c>
      <c r="J1511" s="251"/>
      <c r="K1511" s="252"/>
    </row>
    <row r="1512" ht="27.75" customHeight="1">
      <c r="A1512" s="247"/>
      <c r="B1512" s="248"/>
      <c r="C1512" s="249"/>
      <c r="D1512" s="248"/>
      <c r="E1512" s="250"/>
      <c r="F1512" s="248"/>
      <c r="G1512" s="56"/>
      <c r="H1512" s="251">
        <v>0.0</v>
      </c>
      <c r="I1512" s="251">
        <v>0.0</v>
      </c>
      <c r="J1512" s="251"/>
      <c r="K1512" s="252"/>
    </row>
    <row r="1513" ht="27.75" customHeight="1">
      <c r="A1513" s="247"/>
      <c r="B1513" s="248"/>
      <c r="C1513" s="249"/>
      <c r="D1513" s="248"/>
      <c r="E1513" s="250"/>
      <c r="F1513" s="248"/>
      <c r="G1513" s="56"/>
      <c r="H1513" s="251">
        <v>0.0</v>
      </c>
      <c r="I1513" s="251">
        <v>0.0</v>
      </c>
      <c r="J1513" s="251"/>
      <c r="K1513" s="252"/>
    </row>
    <row r="1514" ht="27.75" customHeight="1">
      <c r="A1514" s="247"/>
      <c r="B1514" s="248"/>
      <c r="C1514" s="249"/>
      <c r="D1514" s="248"/>
      <c r="E1514" s="250"/>
      <c r="F1514" s="248"/>
      <c r="G1514" s="56"/>
      <c r="H1514" s="251">
        <v>0.0</v>
      </c>
      <c r="I1514" s="251">
        <v>0.0</v>
      </c>
      <c r="J1514" s="251"/>
      <c r="K1514" s="252"/>
    </row>
    <row r="1515" ht="27.75" customHeight="1">
      <c r="A1515" s="247"/>
      <c r="B1515" s="248"/>
      <c r="C1515" s="249"/>
      <c r="D1515" s="248"/>
      <c r="E1515" s="250"/>
      <c r="F1515" s="248"/>
      <c r="G1515" s="56"/>
      <c r="H1515" s="251">
        <v>0.0</v>
      </c>
      <c r="I1515" s="251">
        <v>0.0</v>
      </c>
      <c r="J1515" s="251"/>
      <c r="K1515" s="252"/>
    </row>
    <row r="1516" ht="27.75" customHeight="1">
      <c r="A1516" s="247"/>
      <c r="B1516" s="248"/>
      <c r="C1516" s="249"/>
      <c r="D1516" s="248"/>
      <c r="E1516" s="250"/>
      <c r="F1516" s="248"/>
      <c r="G1516" s="56"/>
      <c r="H1516" s="251">
        <v>0.0</v>
      </c>
      <c r="I1516" s="251">
        <v>0.0</v>
      </c>
      <c r="J1516" s="251"/>
      <c r="K1516" s="252"/>
    </row>
    <row r="1517" ht="27.75" customHeight="1">
      <c r="A1517" s="247"/>
      <c r="B1517" s="248"/>
      <c r="C1517" s="249"/>
      <c r="D1517" s="248"/>
      <c r="E1517" s="250"/>
      <c r="F1517" s="248"/>
      <c r="G1517" s="56"/>
      <c r="H1517" s="251">
        <v>0.0</v>
      </c>
      <c r="I1517" s="251">
        <v>0.0</v>
      </c>
      <c r="J1517" s="251"/>
      <c r="K1517" s="252"/>
    </row>
    <row r="1518" ht="27.75" customHeight="1">
      <c r="A1518" s="247"/>
      <c r="B1518" s="248"/>
      <c r="C1518" s="249"/>
      <c r="D1518" s="248"/>
      <c r="E1518" s="250"/>
      <c r="F1518" s="248"/>
      <c r="G1518" s="56"/>
      <c r="H1518" s="251">
        <v>0.0</v>
      </c>
      <c r="I1518" s="251">
        <v>0.0</v>
      </c>
      <c r="J1518" s="251"/>
      <c r="K1518" s="252"/>
    </row>
    <row r="1519" ht="27.75" customHeight="1">
      <c r="A1519" s="247"/>
      <c r="B1519" s="248"/>
      <c r="C1519" s="249"/>
      <c r="D1519" s="248"/>
      <c r="E1519" s="250"/>
      <c r="F1519" s="248"/>
      <c r="G1519" s="56"/>
      <c r="H1519" s="251">
        <v>0.0</v>
      </c>
      <c r="I1519" s="251">
        <v>0.0</v>
      </c>
      <c r="J1519" s="251"/>
      <c r="K1519" s="252"/>
    </row>
    <row r="1520" ht="27.75" customHeight="1">
      <c r="A1520" s="247"/>
      <c r="B1520" s="248"/>
      <c r="C1520" s="249"/>
      <c r="D1520" s="248"/>
      <c r="E1520" s="250"/>
      <c r="F1520" s="248"/>
      <c r="G1520" s="56"/>
      <c r="H1520" s="251">
        <v>0.0</v>
      </c>
      <c r="I1520" s="251">
        <v>0.0</v>
      </c>
      <c r="J1520" s="251"/>
      <c r="K1520" s="252"/>
    </row>
    <row r="1521" ht="27.75" customHeight="1">
      <c r="A1521" s="247"/>
      <c r="B1521" s="248"/>
      <c r="C1521" s="249"/>
      <c r="D1521" s="248"/>
      <c r="E1521" s="250"/>
      <c r="F1521" s="248"/>
      <c r="G1521" s="56"/>
      <c r="H1521" s="251">
        <v>0.0</v>
      </c>
      <c r="I1521" s="251">
        <v>0.0</v>
      </c>
      <c r="J1521" s="251"/>
      <c r="K1521" s="252"/>
    </row>
    <row r="1522" ht="27.75" customHeight="1">
      <c r="A1522" s="247"/>
      <c r="B1522" s="248"/>
      <c r="C1522" s="249"/>
      <c r="D1522" s="248"/>
      <c r="E1522" s="250"/>
      <c r="F1522" s="248"/>
      <c r="G1522" s="56"/>
      <c r="H1522" s="251">
        <v>0.0</v>
      </c>
      <c r="I1522" s="251">
        <v>0.0</v>
      </c>
      <c r="J1522" s="251"/>
      <c r="K1522" s="252"/>
    </row>
    <row r="1523" ht="27.75" customHeight="1">
      <c r="A1523" s="247"/>
      <c r="B1523" s="248"/>
      <c r="C1523" s="249"/>
      <c r="D1523" s="248"/>
      <c r="E1523" s="250"/>
      <c r="F1523" s="248"/>
      <c r="G1523" s="56"/>
      <c r="H1523" s="251">
        <v>0.0</v>
      </c>
      <c r="I1523" s="251">
        <v>0.0</v>
      </c>
      <c r="J1523" s="251"/>
      <c r="K1523" s="252"/>
    </row>
    <row r="1524" ht="27.75" customHeight="1">
      <c r="A1524" s="247"/>
      <c r="B1524" s="248"/>
      <c r="C1524" s="249"/>
      <c r="D1524" s="248"/>
      <c r="E1524" s="250"/>
      <c r="F1524" s="248"/>
      <c r="G1524" s="56"/>
      <c r="H1524" s="251">
        <v>0.0</v>
      </c>
      <c r="I1524" s="251">
        <v>0.0</v>
      </c>
      <c r="J1524" s="251"/>
      <c r="K1524" s="252"/>
    </row>
    <row r="1525" ht="27.75" customHeight="1">
      <c r="A1525" s="247"/>
      <c r="B1525" s="248"/>
      <c r="C1525" s="249"/>
      <c r="D1525" s="248"/>
      <c r="E1525" s="250"/>
      <c r="F1525" s="248"/>
      <c r="G1525" s="56"/>
      <c r="H1525" s="251">
        <v>0.0</v>
      </c>
      <c r="I1525" s="251">
        <v>0.0</v>
      </c>
      <c r="J1525" s="251"/>
      <c r="K1525" s="252"/>
    </row>
    <row r="1526" ht="27.75" customHeight="1">
      <c r="A1526" s="247"/>
      <c r="B1526" s="248"/>
      <c r="C1526" s="249"/>
      <c r="D1526" s="248"/>
      <c r="E1526" s="250"/>
      <c r="F1526" s="248"/>
      <c r="G1526" s="56"/>
      <c r="H1526" s="251">
        <v>0.0</v>
      </c>
      <c r="I1526" s="251">
        <v>0.0</v>
      </c>
      <c r="J1526" s="251"/>
      <c r="K1526" s="252"/>
    </row>
    <row r="1527" ht="27.75" customHeight="1">
      <c r="A1527" s="247"/>
      <c r="B1527" s="248"/>
      <c r="C1527" s="249"/>
      <c r="D1527" s="248"/>
      <c r="E1527" s="250"/>
      <c r="F1527" s="248"/>
      <c r="G1527" s="56"/>
      <c r="H1527" s="251">
        <v>0.0</v>
      </c>
      <c r="I1527" s="251">
        <v>0.0</v>
      </c>
      <c r="J1527" s="251"/>
      <c r="K1527" s="252"/>
    </row>
    <row r="1528" ht="27.75" customHeight="1">
      <c r="A1528" s="247"/>
      <c r="B1528" s="248"/>
      <c r="C1528" s="249"/>
      <c r="D1528" s="248"/>
      <c r="E1528" s="250"/>
      <c r="F1528" s="248"/>
      <c r="G1528" s="56"/>
      <c r="H1528" s="251">
        <v>0.0</v>
      </c>
      <c r="I1528" s="251">
        <v>0.0</v>
      </c>
      <c r="J1528" s="251"/>
      <c r="K1528" s="252"/>
    </row>
    <row r="1529" ht="27.75" customHeight="1">
      <c r="A1529" s="247"/>
      <c r="B1529" s="248"/>
      <c r="C1529" s="249"/>
      <c r="D1529" s="248"/>
      <c r="E1529" s="250"/>
      <c r="F1529" s="248"/>
      <c r="G1529" s="56"/>
      <c r="H1529" s="251">
        <v>0.0</v>
      </c>
      <c r="I1529" s="251">
        <v>0.0</v>
      </c>
      <c r="J1529" s="251"/>
      <c r="K1529" s="252"/>
    </row>
    <row r="1530" ht="27.75" customHeight="1">
      <c r="A1530" s="247"/>
      <c r="B1530" s="248"/>
      <c r="C1530" s="249"/>
      <c r="D1530" s="248"/>
      <c r="E1530" s="250"/>
      <c r="F1530" s="248"/>
      <c r="G1530" s="56"/>
      <c r="H1530" s="251">
        <v>0.0</v>
      </c>
      <c r="I1530" s="251">
        <v>0.0</v>
      </c>
      <c r="J1530" s="251"/>
      <c r="K1530" s="252"/>
    </row>
    <row r="1531" ht="27.75" customHeight="1">
      <c r="A1531" s="247"/>
      <c r="B1531" s="248"/>
      <c r="C1531" s="249"/>
      <c r="D1531" s="248"/>
      <c r="E1531" s="250"/>
      <c r="F1531" s="248"/>
      <c r="G1531" s="56"/>
      <c r="H1531" s="251">
        <v>0.0</v>
      </c>
      <c r="I1531" s="251">
        <v>0.0</v>
      </c>
      <c r="J1531" s="251"/>
      <c r="K1531" s="252"/>
    </row>
    <row r="1532" ht="27.75" customHeight="1">
      <c r="A1532" s="247"/>
      <c r="B1532" s="248"/>
      <c r="C1532" s="249"/>
      <c r="D1532" s="248"/>
      <c r="E1532" s="250"/>
      <c r="F1532" s="248"/>
      <c r="G1532" s="56"/>
      <c r="H1532" s="251">
        <v>0.0</v>
      </c>
      <c r="I1532" s="251">
        <v>0.0</v>
      </c>
      <c r="J1532" s="251"/>
      <c r="K1532" s="252"/>
    </row>
    <row r="1533" ht="27.75" customHeight="1">
      <c r="A1533" s="247"/>
      <c r="B1533" s="248"/>
      <c r="C1533" s="249"/>
      <c r="D1533" s="248"/>
      <c r="E1533" s="250"/>
      <c r="F1533" s="248"/>
      <c r="G1533" s="56"/>
      <c r="H1533" s="251">
        <v>0.0</v>
      </c>
      <c r="I1533" s="251">
        <v>0.0</v>
      </c>
      <c r="J1533" s="251"/>
      <c r="K1533" s="252"/>
    </row>
    <row r="1534" ht="27.75" customHeight="1">
      <c r="A1534" s="247"/>
      <c r="B1534" s="248"/>
      <c r="C1534" s="249"/>
      <c r="D1534" s="248"/>
      <c r="E1534" s="250"/>
      <c r="F1534" s="248"/>
      <c r="G1534" s="56"/>
      <c r="H1534" s="251">
        <v>0.0</v>
      </c>
      <c r="I1534" s="251">
        <v>0.0</v>
      </c>
      <c r="J1534" s="251"/>
      <c r="K1534" s="252"/>
    </row>
    <row r="1535" ht="27.75" customHeight="1">
      <c r="A1535" s="247"/>
      <c r="B1535" s="248"/>
      <c r="C1535" s="249"/>
      <c r="D1535" s="248"/>
      <c r="E1535" s="250"/>
      <c r="F1535" s="248"/>
      <c r="G1535" s="56"/>
      <c r="H1535" s="251">
        <v>0.0</v>
      </c>
      <c r="I1535" s="251">
        <v>0.0</v>
      </c>
      <c r="J1535" s="251"/>
      <c r="K1535" s="252"/>
    </row>
    <row r="1536" ht="27.75" customHeight="1">
      <c r="A1536" s="247"/>
      <c r="B1536" s="248"/>
      <c r="C1536" s="249"/>
      <c r="D1536" s="248"/>
      <c r="E1536" s="250"/>
      <c r="F1536" s="248"/>
      <c r="G1536" s="56"/>
      <c r="H1536" s="251">
        <v>0.0</v>
      </c>
      <c r="I1536" s="251">
        <v>0.0</v>
      </c>
      <c r="J1536" s="251"/>
      <c r="K1536" s="252"/>
    </row>
    <row r="1537" ht="27.75" customHeight="1">
      <c r="A1537" s="247"/>
      <c r="B1537" s="248"/>
      <c r="C1537" s="249"/>
      <c r="D1537" s="248"/>
      <c r="E1537" s="250"/>
      <c r="F1537" s="248"/>
      <c r="G1537" s="56"/>
      <c r="H1537" s="251">
        <v>0.0</v>
      </c>
      <c r="I1537" s="251">
        <v>0.0</v>
      </c>
      <c r="J1537" s="251"/>
      <c r="K1537" s="252"/>
    </row>
    <row r="1538" ht="27.75" customHeight="1">
      <c r="A1538" s="247"/>
      <c r="B1538" s="248"/>
      <c r="C1538" s="249"/>
      <c r="D1538" s="248"/>
      <c r="E1538" s="250"/>
      <c r="F1538" s="248"/>
      <c r="G1538" s="56"/>
      <c r="H1538" s="251">
        <v>0.0</v>
      </c>
      <c r="I1538" s="251">
        <v>0.0</v>
      </c>
      <c r="J1538" s="251"/>
      <c r="K1538" s="252"/>
    </row>
    <row r="1539" ht="27.75" customHeight="1">
      <c r="A1539" s="247"/>
      <c r="B1539" s="248"/>
      <c r="C1539" s="249"/>
      <c r="D1539" s="248"/>
      <c r="E1539" s="250"/>
      <c r="F1539" s="248"/>
      <c r="G1539" s="56"/>
      <c r="H1539" s="251">
        <v>0.0</v>
      </c>
      <c r="I1539" s="251">
        <v>0.0</v>
      </c>
      <c r="J1539" s="251"/>
      <c r="K1539" s="252"/>
    </row>
    <row r="1540" ht="27.75" customHeight="1">
      <c r="A1540" s="247"/>
      <c r="B1540" s="248"/>
      <c r="C1540" s="249"/>
      <c r="D1540" s="248"/>
      <c r="E1540" s="250"/>
      <c r="F1540" s="248"/>
      <c r="G1540" s="56"/>
      <c r="H1540" s="251">
        <v>0.0</v>
      </c>
      <c r="I1540" s="251">
        <v>0.0</v>
      </c>
      <c r="J1540" s="251"/>
      <c r="K1540" s="252"/>
    </row>
    <row r="1541" ht="27.75" customHeight="1">
      <c r="A1541" s="247"/>
      <c r="B1541" s="248"/>
      <c r="C1541" s="249"/>
      <c r="D1541" s="248"/>
      <c r="E1541" s="250"/>
      <c r="F1541" s="248"/>
      <c r="G1541" s="56"/>
      <c r="H1541" s="251">
        <v>0.0</v>
      </c>
      <c r="I1541" s="251">
        <v>0.0</v>
      </c>
      <c r="J1541" s="251"/>
      <c r="K1541" s="252"/>
    </row>
    <row r="1542" ht="27.75" customHeight="1">
      <c r="A1542" s="247"/>
      <c r="B1542" s="248"/>
      <c r="C1542" s="249"/>
      <c r="D1542" s="248"/>
      <c r="E1542" s="250"/>
      <c r="F1542" s="248"/>
      <c r="G1542" s="56"/>
      <c r="H1542" s="251">
        <v>0.0</v>
      </c>
      <c r="I1542" s="251">
        <v>0.0</v>
      </c>
      <c r="J1542" s="251"/>
      <c r="K1542" s="252"/>
    </row>
    <row r="1543" ht="27.75" customHeight="1">
      <c r="A1543" s="247"/>
      <c r="B1543" s="248"/>
      <c r="C1543" s="249"/>
      <c r="D1543" s="248"/>
      <c r="E1543" s="250"/>
      <c r="F1543" s="248"/>
      <c r="G1543" s="56"/>
      <c r="H1543" s="251">
        <v>0.0</v>
      </c>
      <c r="I1543" s="251">
        <v>0.0</v>
      </c>
      <c r="J1543" s="251"/>
      <c r="K1543" s="252"/>
    </row>
    <row r="1544" ht="27.75" customHeight="1">
      <c r="A1544" s="247"/>
      <c r="B1544" s="248"/>
      <c r="C1544" s="249"/>
      <c r="D1544" s="248"/>
      <c r="E1544" s="250"/>
      <c r="F1544" s="248"/>
      <c r="G1544" s="56"/>
      <c r="H1544" s="251">
        <v>0.0</v>
      </c>
      <c r="I1544" s="251">
        <v>0.0</v>
      </c>
      <c r="J1544" s="251"/>
      <c r="K1544" s="252"/>
    </row>
    <row r="1545" ht="27.75" customHeight="1">
      <c r="A1545" s="247"/>
      <c r="B1545" s="248"/>
      <c r="C1545" s="249"/>
      <c r="D1545" s="248"/>
      <c r="E1545" s="250"/>
      <c r="F1545" s="248"/>
      <c r="G1545" s="56"/>
      <c r="H1545" s="251">
        <v>0.0</v>
      </c>
      <c r="I1545" s="251">
        <v>0.0</v>
      </c>
      <c r="J1545" s="251"/>
      <c r="K1545" s="252"/>
    </row>
    <row r="1546" ht="27.75" customHeight="1">
      <c r="A1546" s="247"/>
      <c r="B1546" s="248"/>
      <c r="C1546" s="249"/>
      <c r="D1546" s="248"/>
      <c r="E1546" s="250"/>
      <c r="F1546" s="248"/>
      <c r="G1546" s="56"/>
      <c r="H1546" s="251">
        <v>0.0</v>
      </c>
      <c r="I1546" s="251">
        <v>0.0</v>
      </c>
      <c r="J1546" s="251"/>
      <c r="K1546" s="252"/>
    </row>
    <row r="1547" ht="27.75" customHeight="1">
      <c r="A1547" s="247"/>
      <c r="B1547" s="248"/>
      <c r="C1547" s="249"/>
      <c r="D1547" s="248"/>
      <c r="E1547" s="250"/>
      <c r="F1547" s="248"/>
      <c r="G1547" s="56"/>
      <c r="H1547" s="251">
        <v>0.0</v>
      </c>
      <c r="I1547" s="251">
        <v>0.0</v>
      </c>
      <c r="J1547" s="251"/>
      <c r="K1547" s="252"/>
    </row>
    <row r="1548" ht="27.75" customHeight="1">
      <c r="A1548" s="247"/>
      <c r="B1548" s="248"/>
      <c r="C1548" s="249"/>
      <c r="D1548" s="248"/>
      <c r="E1548" s="250"/>
      <c r="F1548" s="248"/>
      <c r="G1548" s="56"/>
      <c r="H1548" s="251">
        <v>0.0</v>
      </c>
      <c r="I1548" s="251">
        <v>0.0</v>
      </c>
      <c r="J1548" s="251"/>
      <c r="K1548" s="252"/>
    </row>
    <row r="1549" ht="27.75" customHeight="1">
      <c r="A1549" s="247"/>
      <c r="B1549" s="248"/>
      <c r="C1549" s="249"/>
      <c r="D1549" s="248"/>
      <c r="E1549" s="250"/>
      <c r="F1549" s="248"/>
      <c r="G1549" s="56"/>
      <c r="H1549" s="251">
        <v>0.0</v>
      </c>
      <c r="I1549" s="251">
        <v>0.0</v>
      </c>
      <c r="J1549" s="251"/>
      <c r="K1549" s="252"/>
    </row>
    <row r="1550" ht="27.75" customHeight="1">
      <c r="A1550" s="247"/>
      <c r="B1550" s="248"/>
      <c r="C1550" s="249"/>
      <c r="D1550" s="248"/>
      <c r="E1550" s="250"/>
      <c r="F1550" s="248"/>
      <c r="G1550" s="56"/>
      <c r="H1550" s="251">
        <v>0.0</v>
      </c>
      <c r="I1550" s="251">
        <v>0.0</v>
      </c>
      <c r="J1550" s="251"/>
      <c r="K1550" s="252"/>
    </row>
    <row r="1551" ht="27.75" customHeight="1">
      <c r="A1551" s="247"/>
      <c r="B1551" s="248"/>
      <c r="C1551" s="249"/>
      <c r="D1551" s="248"/>
      <c r="E1551" s="250"/>
      <c r="F1551" s="248"/>
      <c r="G1551" s="56"/>
      <c r="H1551" s="251">
        <v>0.0</v>
      </c>
      <c r="I1551" s="251">
        <v>0.0</v>
      </c>
      <c r="J1551" s="251"/>
      <c r="K1551" s="252"/>
    </row>
    <row r="1552" ht="27.75" customHeight="1">
      <c r="A1552" s="247"/>
      <c r="B1552" s="248"/>
      <c r="C1552" s="249"/>
      <c r="D1552" s="248"/>
      <c r="E1552" s="250"/>
      <c r="F1552" s="248"/>
      <c r="G1552" s="56"/>
      <c r="H1552" s="251">
        <v>0.0</v>
      </c>
      <c r="I1552" s="251">
        <v>0.0</v>
      </c>
      <c r="J1552" s="251"/>
      <c r="K1552" s="252"/>
    </row>
    <row r="1553" ht="27.75" customHeight="1">
      <c r="A1553" s="247"/>
      <c r="B1553" s="248"/>
      <c r="C1553" s="249"/>
      <c r="D1553" s="248"/>
      <c r="E1553" s="250"/>
      <c r="F1553" s="248"/>
      <c r="G1553" s="56"/>
      <c r="H1553" s="251">
        <v>0.0</v>
      </c>
      <c r="I1553" s="251">
        <v>0.0</v>
      </c>
      <c r="J1553" s="251"/>
      <c r="K1553" s="252"/>
    </row>
    <row r="1554" ht="27.75" customHeight="1">
      <c r="A1554" s="247"/>
      <c r="B1554" s="248"/>
      <c r="C1554" s="249"/>
      <c r="D1554" s="248"/>
      <c r="E1554" s="250"/>
      <c r="F1554" s="248"/>
      <c r="G1554" s="56"/>
      <c r="H1554" s="251">
        <v>0.0</v>
      </c>
      <c r="I1554" s="251">
        <v>0.0</v>
      </c>
      <c r="J1554" s="251"/>
      <c r="K1554" s="252"/>
    </row>
    <row r="1555" ht="27.75" customHeight="1">
      <c r="A1555" s="247"/>
      <c r="B1555" s="248"/>
      <c r="C1555" s="249"/>
      <c r="D1555" s="248"/>
      <c r="E1555" s="250"/>
      <c r="F1555" s="248"/>
      <c r="G1555" s="56"/>
      <c r="H1555" s="251">
        <v>0.0</v>
      </c>
      <c r="I1555" s="251">
        <v>0.0</v>
      </c>
      <c r="J1555" s="251"/>
      <c r="K1555" s="252"/>
    </row>
    <row r="1556" ht="27.75" customHeight="1">
      <c r="A1556" s="247"/>
      <c r="B1556" s="248"/>
      <c r="C1556" s="249"/>
      <c r="D1556" s="248"/>
      <c r="E1556" s="250"/>
      <c r="F1556" s="248"/>
      <c r="G1556" s="56"/>
      <c r="H1556" s="251">
        <v>0.0</v>
      </c>
      <c r="I1556" s="251">
        <v>0.0</v>
      </c>
      <c r="J1556" s="251"/>
      <c r="K1556" s="252"/>
    </row>
    <row r="1557" ht="27.75" customHeight="1">
      <c r="A1557" s="247"/>
      <c r="B1557" s="248"/>
      <c r="C1557" s="249"/>
      <c r="D1557" s="248"/>
      <c r="E1557" s="250"/>
      <c r="F1557" s="248"/>
      <c r="G1557" s="56"/>
      <c r="H1557" s="251">
        <v>0.0</v>
      </c>
      <c r="I1557" s="251">
        <v>0.0</v>
      </c>
      <c r="J1557" s="251"/>
      <c r="K1557" s="252"/>
    </row>
    <row r="1558" ht="27.75" customHeight="1">
      <c r="A1558" s="247"/>
      <c r="B1558" s="248"/>
      <c r="C1558" s="249"/>
      <c r="D1558" s="248"/>
      <c r="E1558" s="250"/>
      <c r="F1558" s="248"/>
      <c r="G1558" s="56"/>
      <c r="H1558" s="251">
        <v>0.0</v>
      </c>
      <c r="I1558" s="251">
        <v>0.0</v>
      </c>
      <c r="J1558" s="251"/>
      <c r="K1558" s="252"/>
    </row>
    <row r="1559" ht="27.75" customHeight="1">
      <c r="A1559" s="247"/>
      <c r="B1559" s="248"/>
      <c r="C1559" s="249"/>
      <c r="D1559" s="248"/>
      <c r="E1559" s="250"/>
      <c r="F1559" s="248"/>
      <c r="G1559" s="56"/>
      <c r="H1559" s="251">
        <v>0.0</v>
      </c>
      <c r="I1559" s="251">
        <v>0.0</v>
      </c>
      <c r="J1559" s="251"/>
      <c r="K1559" s="252"/>
    </row>
    <row r="1560" ht="27.75" customHeight="1">
      <c r="A1560" s="247"/>
      <c r="B1560" s="248"/>
      <c r="C1560" s="249"/>
      <c r="D1560" s="248"/>
      <c r="E1560" s="250"/>
      <c r="F1560" s="248"/>
      <c r="G1560" s="56"/>
      <c r="H1560" s="251">
        <v>0.0</v>
      </c>
      <c r="I1560" s="251">
        <v>0.0</v>
      </c>
      <c r="J1560" s="251"/>
      <c r="K1560" s="252"/>
    </row>
    <row r="1561" ht="27.75" customHeight="1">
      <c r="A1561" s="247"/>
      <c r="B1561" s="248"/>
      <c r="C1561" s="249"/>
      <c r="D1561" s="248"/>
      <c r="E1561" s="250"/>
      <c r="F1561" s="248"/>
      <c r="G1561" s="56"/>
      <c r="H1561" s="251">
        <v>0.0</v>
      </c>
      <c r="I1561" s="251">
        <v>0.0</v>
      </c>
      <c r="J1561" s="251"/>
      <c r="K1561" s="252"/>
    </row>
    <row r="1562" ht="27.75" customHeight="1">
      <c r="A1562" s="247"/>
      <c r="B1562" s="248"/>
      <c r="C1562" s="249"/>
      <c r="D1562" s="248"/>
      <c r="E1562" s="250"/>
      <c r="F1562" s="248"/>
      <c r="G1562" s="56"/>
      <c r="H1562" s="251">
        <v>0.0</v>
      </c>
      <c r="I1562" s="251">
        <v>0.0</v>
      </c>
      <c r="J1562" s="251"/>
      <c r="K1562" s="252"/>
    </row>
    <row r="1563" ht="27.75" customHeight="1">
      <c r="A1563" s="247"/>
      <c r="B1563" s="248"/>
      <c r="C1563" s="249"/>
      <c r="D1563" s="248"/>
      <c r="E1563" s="250"/>
      <c r="F1563" s="248"/>
      <c r="G1563" s="56"/>
      <c r="H1563" s="251">
        <v>0.0</v>
      </c>
      <c r="I1563" s="251">
        <v>0.0</v>
      </c>
      <c r="J1563" s="251"/>
      <c r="K1563" s="252"/>
    </row>
    <row r="1564" ht="27.75" customHeight="1">
      <c r="A1564" s="247"/>
      <c r="B1564" s="248"/>
      <c r="C1564" s="249"/>
      <c r="D1564" s="248"/>
      <c r="E1564" s="250"/>
      <c r="F1564" s="248"/>
      <c r="G1564" s="56"/>
      <c r="H1564" s="251">
        <v>0.0</v>
      </c>
      <c r="I1564" s="251">
        <v>0.0</v>
      </c>
      <c r="J1564" s="251"/>
      <c r="K1564" s="252"/>
    </row>
    <row r="1565" ht="27.75" customHeight="1">
      <c r="A1565" s="247"/>
      <c r="B1565" s="248"/>
      <c r="C1565" s="249"/>
      <c r="D1565" s="248"/>
      <c r="E1565" s="250"/>
      <c r="F1565" s="248"/>
      <c r="G1565" s="56"/>
      <c r="H1565" s="251">
        <v>0.0</v>
      </c>
      <c r="I1565" s="251">
        <v>0.0</v>
      </c>
      <c r="J1565" s="251"/>
      <c r="K1565" s="252"/>
    </row>
    <row r="1566" ht="27.75" customHeight="1">
      <c r="A1566" s="247"/>
      <c r="B1566" s="248"/>
      <c r="C1566" s="249"/>
      <c r="D1566" s="248"/>
      <c r="E1566" s="250"/>
      <c r="F1566" s="248"/>
      <c r="G1566" s="56"/>
      <c r="H1566" s="251">
        <v>0.0</v>
      </c>
      <c r="I1566" s="251">
        <v>0.0</v>
      </c>
      <c r="J1566" s="251"/>
      <c r="K1566" s="252"/>
    </row>
    <row r="1567" ht="27.75" customHeight="1">
      <c r="A1567" s="247"/>
      <c r="B1567" s="248"/>
      <c r="C1567" s="249"/>
      <c r="D1567" s="248"/>
      <c r="E1567" s="250"/>
      <c r="F1567" s="248"/>
      <c r="G1567" s="56"/>
      <c r="H1567" s="251">
        <v>0.0</v>
      </c>
      <c r="I1567" s="251">
        <v>0.0</v>
      </c>
      <c r="J1567" s="251"/>
      <c r="K1567" s="252"/>
    </row>
    <row r="1568" ht="27.75" customHeight="1">
      <c r="A1568" s="247"/>
      <c r="B1568" s="248"/>
      <c r="C1568" s="249"/>
      <c r="D1568" s="248"/>
      <c r="E1568" s="250"/>
      <c r="F1568" s="248"/>
      <c r="G1568" s="56"/>
      <c r="H1568" s="251">
        <v>0.0</v>
      </c>
      <c r="I1568" s="251">
        <v>0.0</v>
      </c>
      <c r="J1568" s="251"/>
      <c r="K1568" s="252"/>
    </row>
    <row r="1569" ht="27.75" customHeight="1">
      <c r="A1569" s="247"/>
      <c r="B1569" s="248"/>
      <c r="C1569" s="249"/>
      <c r="D1569" s="248"/>
      <c r="E1569" s="250"/>
      <c r="F1569" s="248"/>
      <c r="G1569" s="56"/>
      <c r="H1569" s="251">
        <v>0.0</v>
      </c>
      <c r="I1569" s="251">
        <v>0.0</v>
      </c>
      <c r="J1569" s="251"/>
      <c r="K1569" s="252"/>
    </row>
    <row r="1570" ht="27.75" customHeight="1">
      <c r="A1570" s="247"/>
      <c r="B1570" s="248"/>
      <c r="C1570" s="249"/>
      <c r="D1570" s="248"/>
      <c r="E1570" s="250"/>
      <c r="F1570" s="248"/>
      <c r="G1570" s="56"/>
      <c r="H1570" s="251">
        <v>0.0</v>
      </c>
      <c r="I1570" s="251">
        <v>0.0</v>
      </c>
      <c r="J1570" s="251"/>
      <c r="K1570" s="252"/>
    </row>
    <row r="1571" ht="27.75" customHeight="1">
      <c r="A1571" s="247"/>
      <c r="B1571" s="248"/>
      <c r="C1571" s="249"/>
      <c r="D1571" s="248"/>
      <c r="E1571" s="250"/>
      <c r="F1571" s="248"/>
      <c r="G1571" s="56"/>
      <c r="H1571" s="251">
        <v>0.0</v>
      </c>
      <c r="I1571" s="251">
        <v>0.0</v>
      </c>
      <c r="J1571" s="251"/>
      <c r="K1571" s="252"/>
    </row>
    <row r="1572" ht="27.75" customHeight="1">
      <c r="A1572" s="247"/>
      <c r="B1572" s="248"/>
      <c r="C1572" s="249"/>
      <c r="D1572" s="248"/>
      <c r="E1572" s="250"/>
      <c r="F1572" s="248"/>
      <c r="G1572" s="56"/>
      <c r="H1572" s="251">
        <v>0.0</v>
      </c>
      <c r="I1572" s="251">
        <v>0.0</v>
      </c>
      <c r="J1572" s="251"/>
      <c r="K1572" s="252"/>
    </row>
    <row r="1573" ht="27.75" customHeight="1">
      <c r="A1573" s="247"/>
      <c r="B1573" s="248"/>
      <c r="C1573" s="249"/>
      <c r="D1573" s="248"/>
      <c r="E1573" s="250"/>
      <c r="F1573" s="248"/>
      <c r="G1573" s="56"/>
      <c r="H1573" s="251">
        <v>0.0</v>
      </c>
      <c r="I1573" s="251">
        <v>0.0</v>
      </c>
      <c r="J1573" s="251"/>
      <c r="K1573" s="252"/>
    </row>
    <row r="1574" ht="27.75" customHeight="1">
      <c r="A1574" s="247"/>
      <c r="B1574" s="248"/>
      <c r="C1574" s="249"/>
      <c r="D1574" s="248"/>
      <c r="E1574" s="250"/>
      <c r="F1574" s="248"/>
      <c r="G1574" s="56"/>
      <c r="H1574" s="251">
        <v>0.0</v>
      </c>
      <c r="I1574" s="251">
        <v>0.0</v>
      </c>
      <c r="J1574" s="251"/>
      <c r="K1574" s="252"/>
    </row>
    <row r="1575" ht="27.75" customHeight="1">
      <c r="A1575" s="247"/>
      <c r="B1575" s="248"/>
      <c r="C1575" s="249"/>
      <c r="D1575" s="248"/>
      <c r="E1575" s="250"/>
      <c r="F1575" s="248"/>
      <c r="G1575" s="56"/>
      <c r="H1575" s="251">
        <v>0.0</v>
      </c>
      <c r="I1575" s="251">
        <v>0.0</v>
      </c>
      <c r="J1575" s="251"/>
      <c r="K1575" s="252"/>
    </row>
    <row r="1576" ht="27.75" customHeight="1">
      <c r="A1576" s="247"/>
      <c r="B1576" s="248"/>
      <c r="C1576" s="249"/>
      <c r="D1576" s="248"/>
      <c r="E1576" s="250"/>
      <c r="F1576" s="248"/>
      <c r="G1576" s="56"/>
      <c r="H1576" s="251">
        <v>0.0</v>
      </c>
      <c r="I1576" s="251">
        <v>0.0</v>
      </c>
      <c r="J1576" s="251"/>
      <c r="K1576" s="252"/>
    </row>
    <row r="1577" ht="27.75" customHeight="1">
      <c r="A1577" s="247"/>
      <c r="B1577" s="248"/>
      <c r="C1577" s="249"/>
      <c r="D1577" s="248"/>
      <c r="E1577" s="250"/>
      <c r="F1577" s="248"/>
      <c r="G1577" s="56"/>
      <c r="H1577" s="251">
        <v>0.0</v>
      </c>
      <c r="I1577" s="251">
        <v>0.0</v>
      </c>
      <c r="J1577" s="251"/>
      <c r="K1577" s="252"/>
    </row>
    <row r="1578" ht="27.75" customHeight="1">
      <c r="A1578" s="247"/>
      <c r="B1578" s="248"/>
      <c r="C1578" s="249"/>
      <c r="D1578" s="248"/>
      <c r="E1578" s="250"/>
      <c r="F1578" s="248"/>
      <c r="G1578" s="56"/>
      <c r="H1578" s="251">
        <v>0.0</v>
      </c>
      <c r="I1578" s="251">
        <v>0.0</v>
      </c>
      <c r="J1578" s="251"/>
      <c r="K1578" s="252"/>
    </row>
    <row r="1579" ht="27.75" customHeight="1">
      <c r="A1579" s="247"/>
      <c r="B1579" s="248"/>
      <c r="C1579" s="249"/>
      <c r="D1579" s="248"/>
      <c r="E1579" s="250"/>
      <c r="F1579" s="248"/>
      <c r="G1579" s="56"/>
      <c r="H1579" s="251">
        <v>0.0</v>
      </c>
      <c r="I1579" s="251">
        <v>0.0</v>
      </c>
      <c r="J1579" s="251"/>
      <c r="K1579" s="252"/>
    </row>
    <row r="1580" ht="27.75" customHeight="1">
      <c r="A1580" s="247"/>
      <c r="B1580" s="248"/>
      <c r="C1580" s="249"/>
      <c r="D1580" s="248"/>
      <c r="E1580" s="250"/>
      <c r="F1580" s="248"/>
      <c r="G1580" s="56"/>
      <c r="H1580" s="251">
        <v>0.0</v>
      </c>
      <c r="I1580" s="251">
        <v>0.0</v>
      </c>
      <c r="J1580" s="251"/>
      <c r="K1580" s="252"/>
    </row>
    <row r="1581" ht="27.75" customHeight="1">
      <c r="A1581" s="247"/>
      <c r="B1581" s="248"/>
      <c r="C1581" s="249"/>
      <c r="D1581" s="248"/>
      <c r="E1581" s="250"/>
      <c r="F1581" s="248"/>
      <c r="G1581" s="56"/>
      <c r="H1581" s="251">
        <v>0.0</v>
      </c>
      <c r="I1581" s="251">
        <v>0.0</v>
      </c>
      <c r="J1581" s="251"/>
      <c r="K1581" s="252"/>
    </row>
    <row r="1582" ht="27.75" customHeight="1">
      <c r="A1582" s="247"/>
      <c r="B1582" s="248"/>
      <c r="C1582" s="249"/>
      <c r="D1582" s="248"/>
      <c r="E1582" s="250"/>
      <c r="F1582" s="248"/>
      <c r="G1582" s="56"/>
      <c r="H1582" s="251">
        <v>0.0</v>
      </c>
      <c r="I1582" s="251">
        <v>0.0</v>
      </c>
      <c r="J1582" s="251"/>
      <c r="K1582" s="252"/>
    </row>
    <row r="1583" ht="27.75" customHeight="1">
      <c r="A1583" s="247"/>
      <c r="B1583" s="248"/>
      <c r="C1583" s="249"/>
      <c r="D1583" s="248"/>
      <c r="E1583" s="250"/>
      <c r="F1583" s="248"/>
      <c r="G1583" s="56"/>
      <c r="H1583" s="251">
        <v>0.0</v>
      </c>
      <c r="I1583" s="251">
        <v>0.0</v>
      </c>
      <c r="J1583" s="251"/>
      <c r="K1583" s="252"/>
    </row>
    <row r="1584" ht="27.75" customHeight="1">
      <c r="A1584" s="247"/>
      <c r="B1584" s="248"/>
      <c r="C1584" s="249"/>
      <c r="D1584" s="248"/>
      <c r="E1584" s="250"/>
      <c r="F1584" s="248"/>
      <c r="G1584" s="56"/>
      <c r="H1584" s="251">
        <v>0.0</v>
      </c>
      <c r="I1584" s="251">
        <v>0.0</v>
      </c>
      <c r="J1584" s="251"/>
      <c r="K1584" s="252"/>
    </row>
    <row r="1585" ht="27.75" customHeight="1">
      <c r="A1585" s="247"/>
      <c r="B1585" s="248"/>
      <c r="C1585" s="249"/>
      <c r="D1585" s="248"/>
      <c r="E1585" s="250"/>
      <c r="F1585" s="248"/>
      <c r="G1585" s="56"/>
      <c r="H1585" s="251">
        <v>0.0</v>
      </c>
      <c r="I1585" s="251">
        <v>0.0</v>
      </c>
      <c r="J1585" s="251"/>
      <c r="K1585" s="252"/>
    </row>
    <row r="1586" ht="27.75" customHeight="1">
      <c r="A1586" s="247"/>
      <c r="B1586" s="248"/>
      <c r="C1586" s="249"/>
      <c r="D1586" s="248"/>
      <c r="E1586" s="250"/>
      <c r="F1586" s="248"/>
      <c r="G1586" s="56"/>
      <c r="H1586" s="251">
        <v>0.0</v>
      </c>
      <c r="I1586" s="251">
        <v>0.0</v>
      </c>
      <c r="J1586" s="251"/>
      <c r="K1586" s="252"/>
    </row>
    <row r="1587" ht="27.75" customHeight="1">
      <c r="A1587" s="247"/>
      <c r="B1587" s="248"/>
      <c r="C1587" s="249"/>
      <c r="D1587" s="248"/>
      <c r="E1587" s="250"/>
      <c r="F1587" s="248"/>
      <c r="G1587" s="56"/>
      <c r="H1587" s="251">
        <v>0.0</v>
      </c>
      <c r="I1587" s="251">
        <v>0.0</v>
      </c>
      <c r="J1587" s="251"/>
      <c r="K1587" s="252"/>
    </row>
    <row r="1588" ht="27.75" customHeight="1">
      <c r="A1588" s="247"/>
      <c r="B1588" s="248"/>
      <c r="C1588" s="249"/>
      <c r="D1588" s="248"/>
      <c r="E1588" s="250"/>
      <c r="F1588" s="248"/>
      <c r="G1588" s="56"/>
      <c r="H1588" s="251">
        <v>0.0</v>
      </c>
      <c r="I1588" s="251">
        <v>0.0</v>
      </c>
      <c r="J1588" s="251"/>
      <c r="K1588" s="252"/>
    </row>
    <row r="1589" ht="27.75" customHeight="1">
      <c r="A1589" s="247"/>
      <c r="B1589" s="248"/>
      <c r="C1589" s="249"/>
      <c r="D1589" s="248"/>
      <c r="E1589" s="250"/>
      <c r="F1589" s="248"/>
      <c r="G1589" s="56"/>
      <c r="H1589" s="251">
        <v>0.0</v>
      </c>
      <c r="I1589" s="251">
        <v>0.0</v>
      </c>
      <c r="J1589" s="251"/>
      <c r="K1589" s="252"/>
    </row>
    <row r="1590" ht="27.75" customHeight="1">
      <c r="A1590" s="247"/>
      <c r="B1590" s="248"/>
      <c r="C1590" s="249"/>
      <c r="D1590" s="248"/>
      <c r="E1590" s="250"/>
      <c r="F1590" s="248"/>
      <c r="G1590" s="56"/>
      <c r="H1590" s="251">
        <v>0.0</v>
      </c>
      <c r="I1590" s="251">
        <v>0.0</v>
      </c>
      <c r="J1590" s="251"/>
      <c r="K1590" s="252"/>
    </row>
    <row r="1591" ht="27.75" customHeight="1">
      <c r="A1591" s="247"/>
      <c r="B1591" s="248"/>
      <c r="C1591" s="249"/>
      <c r="D1591" s="248"/>
      <c r="E1591" s="250"/>
      <c r="F1591" s="248"/>
      <c r="G1591" s="56"/>
      <c r="H1591" s="251">
        <v>0.0</v>
      </c>
      <c r="I1591" s="251">
        <v>0.0</v>
      </c>
      <c r="J1591" s="251"/>
      <c r="K1591" s="252"/>
    </row>
    <row r="1592" ht="27.75" customHeight="1">
      <c r="A1592" s="247"/>
      <c r="B1592" s="248"/>
      <c r="C1592" s="249"/>
      <c r="D1592" s="248"/>
      <c r="E1592" s="250"/>
      <c r="F1592" s="248"/>
      <c r="G1592" s="56"/>
      <c r="H1592" s="251">
        <v>0.0</v>
      </c>
      <c r="I1592" s="251">
        <v>0.0</v>
      </c>
      <c r="J1592" s="251"/>
      <c r="K1592" s="252"/>
    </row>
    <row r="1593" ht="27.75" customHeight="1">
      <c r="A1593" s="247"/>
      <c r="B1593" s="248"/>
      <c r="C1593" s="249"/>
      <c r="D1593" s="248"/>
      <c r="E1593" s="250"/>
      <c r="F1593" s="248"/>
      <c r="G1593" s="56"/>
      <c r="H1593" s="251">
        <v>0.0</v>
      </c>
      <c r="I1593" s="251">
        <v>0.0</v>
      </c>
      <c r="J1593" s="251"/>
      <c r="K1593" s="252"/>
    </row>
    <row r="1594" ht="27.75" customHeight="1">
      <c r="A1594" s="247"/>
      <c r="B1594" s="248"/>
      <c r="C1594" s="249"/>
      <c r="D1594" s="248"/>
      <c r="E1594" s="250"/>
      <c r="F1594" s="248"/>
      <c r="G1594" s="56"/>
      <c r="H1594" s="251">
        <v>0.0</v>
      </c>
      <c r="I1594" s="251">
        <v>0.0</v>
      </c>
      <c r="J1594" s="251"/>
      <c r="K1594" s="252"/>
    </row>
    <row r="1595" ht="27.75" customHeight="1">
      <c r="A1595" s="247"/>
      <c r="B1595" s="248"/>
      <c r="C1595" s="249"/>
      <c r="D1595" s="248"/>
      <c r="E1595" s="250"/>
      <c r="F1595" s="248"/>
      <c r="G1595" s="56"/>
      <c r="H1595" s="251">
        <v>0.0</v>
      </c>
      <c r="I1595" s="251">
        <v>0.0</v>
      </c>
      <c r="J1595" s="251"/>
      <c r="K1595" s="252"/>
    </row>
    <row r="1596" ht="27.75" customHeight="1">
      <c r="A1596" s="247"/>
      <c r="B1596" s="248"/>
      <c r="C1596" s="249"/>
      <c r="D1596" s="248"/>
      <c r="E1596" s="250"/>
      <c r="F1596" s="248"/>
      <c r="G1596" s="56"/>
      <c r="H1596" s="251">
        <v>0.0</v>
      </c>
      <c r="I1596" s="251">
        <v>0.0</v>
      </c>
      <c r="J1596" s="251"/>
      <c r="K1596" s="252"/>
    </row>
    <row r="1597" ht="27.75" customHeight="1">
      <c r="A1597" s="247"/>
      <c r="B1597" s="248"/>
      <c r="C1597" s="249"/>
      <c r="D1597" s="248"/>
      <c r="E1597" s="250"/>
      <c r="F1597" s="248"/>
      <c r="G1597" s="56"/>
      <c r="H1597" s="251">
        <v>0.0</v>
      </c>
      <c r="I1597" s="251">
        <v>0.0</v>
      </c>
      <c r="J1597" s="251"/>
      <c r="K1597" s="252"/>
    </row>
    <row r="1598" ht="27.75" customHeight="1">
      <c r="A1598" s="247"/>
      <c r="B1598" s="248"/>
      <c r="C1598" s="249"/>
      <c r="D1598" s="248"/>
      <c r="E1598" s="250"/>
      <c r="F1598" s="248"/>
      <c r="G1598" s="56"/>
      <c r="H1598" s="251">
        <v>0.0</v>
      </c>
      <c r="I1598" s="251">
        <v>0.0</v>
      </c>
      <c r="J1598" s="251"/>
      <c r="K1598" s="252"/>
    </row>
    <row r="1599" ht="27.75" customHeight="1">
      <c r="A1599" s="247"/>
      <c r="B1599" s="248"/>
      <c r="C1599" s="249"/>
      <c r="D1599" s="248"/>
      <c r="E1599" s="250"/>
      <c r="F1599" s="248"/>
      <c r="G1599" s="56"/>
      <c r="H1599" s="251">
        <v>0.0</v>
      </c>
      <c r="I1599" s="251">
        <v>0.0</v>
      </c>
      <c r="J1599" s="251"/>
      <c r="K1599" s="252"/>
    </row>
    <row r="1600" ht="27.75" customHeight="1">
      <c r="A1600" s="247"/>
      <c r="B1600" s="248"/>
      <c r="C1600" s="249"/>
      <c r="D1600" s="248"/>
      <c r="E1600" s="250"/>
      <c r="F1600" s="248"/>
      <c r="G1600" s="56"/>
      <c r="H1600" s="251">
        <v>0.0</v>
      </c>
      <c r="I1600" s="251">
        <v>0.0</v>
      </c>
      <c r="J1600" s="251"/>
      <c r="K1600" s="252"/>
    </row>
    <row r="1601" ht="27.75" customHeight="1">
      <c r="A1601" s="247"/>
      <c r="B1601" s="248"/>
      <c r="C1601" s="249"/>
      <c r="D1601" s="248"/>
      <c r="E1601" s="250"/>
      <c r="F1601" s="248"/>
      <c r="G1601" s="56"/>
      <c r="H1601" s="251">
        <v>0.0</v>
      </c>
      <c r="I1601" s="251">
        <v>0.0</v>
      </c>
      <c r="J1601" s="251"/>
      <c r="K1601" s="252"/>
    </row>
    <row r="1602" ht="27.75" customHeight="1">
      <c r="A1602" s="247"/>
      <c r="B1602" s="248"/>
      <c r="C1602" s="249"/>
      <c r="D1602" s="248"/>
      <c r="E1602" s="250"/>
      <c r="F1602" s="248"/>
      <c r="G1602" s="56"/>
      <c r="H1602" s="251">
        <v>0.0</v>
      </c>
      <c r="I1602" s="251">
        <v>0.0</v>
      </c>
      <c r="J1602" s="251"/>
      <c r="K1602" s="252"/>
    </row>
    <row r="1603" ht="27.75" customHeight="1">
      <c r="A1603" s="247"/>
      <c r="B1603" s="248"/>
      <c r="C1603" s="249"/>
      <c r="D1603" s="248"/>
      <c r="E1603" s="250"/>
      <c r="F1603" s="248"/>
      <c r="G1603" s="56"/>
      <c r="H1603" s="251">
        <v>0.0</v>
      </c>
      <c r="I1603" s="251">
        <v>0.0</v>
      </c>
      <c r="J1603" s="251"/>
      <c r="K1603" s="252"/>
    </row>
    <row r="1604" ht="27.75" customHeight="1">
      <c r="A1604" s="247"/>
      <c r="B1604" s="248"/>
      <c r="C1604" s="249"/>
      <c r="D1604" s="248"/>
      <c r="E1604" s="250"/>
      <c r="F1604" s="248"/>
      <c r="G1604" s="56"/>
      <c r="H1604" s="251">
        <v>0.0</v>
      </c>
      <c r="I1604" s="251">
        <v>0.0</v>
      </c>
      <c r="J1604" s="251"/>
      <c r="K1604" s="252"/>
    </row>
    <row r="1605" ht="27.75" customHeight="1">
      <c r="A1605" s="247"/>
      <c r="B1605" s="248"/>
      <c r="C1605" s="249"/>
      <c r="D1605" s="248"/>
      <c r="E1605" s="250"/>
      <c r="F1605" s="248"/>
      <c r="G1605" s="56"/>
      <c r="H1605" s="251">
        <v>0.0</v>
      </c>
      <c r="I1605" s="251">
        <v>0.0</v>
      </c>
      <c r="J1605" s="251"/>
      <c r="K1605" s="252"/>
    </row>
    <row r="1606" ht="27.75" customHeight="1">
      <c r="A1606" s="247"/>
      <c r="B1606" s="248"/>
      <c r="C1606" s="249"/>
      <c r="D1606" s="248"/>
      <c r="E1606" s="250"/>
      <c r="F1606" s="248"/>
      <c r="G1606" s="56"/>
      <c r="H1606" s="251">
        <v>0.0</v>
      </c>
      <c r="I1606" s="251">
        <v>0.0</v>
      </c>
      <c r="J1606" s="251"/>
      <c r="K1606" s="252"/>
    </row>
    <row r="1607" ht="27.75" customHeight="1">
      <c r="A1607" s="247"/>
      <c r="B1607" s="248"/>
      <c r="C1607" s="249"/>
      <c r="D1607" s="248"/>
      <c r="E1607" s="250"/>
      <c r="F1607" s="248"/>
      <c r="G1607" s="56"/>
      <c r="H1607" s="251">
        <v>0.0</v>
      </c>
      <c r="I1607" s="251">
        <v>0.0</v>
      </c>
      <c r="J1607" s="251"/>
      <c r="K1607" s="252"/>
    </row>
    <row r="1608" ht="27.75" customHeight="1">
      <c r="A1608" s="247"/>
      <c r="B1608" s="248"/>
      <c r="C1608" s="249"/>
      <c r="D1608" s="248"/>
      <c r="E1608" s="250"/>
      <c r="F1608" s="248"/>
      <c r="G1608" s="56"/>
      <c r="H1608" s="251">
        <v>0.0</v>
      </c>
      <c r="I1608" s="251">
        <v>0.0</v>
      </c>
      <c r="J1608" s="251"/>
      <c r="K1608" s="252"/>
    </row>
    <row r="1609" ht="27.75" customHeight="1">
      <c r="A1609" s="247"/>
      <c r="B1609" s="248"/>
      <c r="C1609" s="249"/>
      <c r="D1609" s="248"/>
      <c r="E1609" s="250"/>
      <c r="F1609" s="248"/>
      <c r="G1609" s="56"/>
      <c r="H1609" s="251">
        <v>0.0</v>
      </c>
      <c r="I1609" s="251">
        <v>0.0</v>
      </c>
      <c r="J1609" s="251"/>
      <c r="K1609" s="252"/>
    </row>
    <row r="1610" ht="27.75" customHeight="1">
      <c r="A1610" s="247"/>
      <c r="B1610" s="248"/>
      <c r="C1610" s="249"/>
      <c r="D1610" s="248"/>
      <c r="E1610" s="250"/>
      <c r="F1610" s="248"/>
      <c r="G1610" s="56"/>
      <c r="H1610" s="251">
        <v>0.0</v>
      </c>
      <c r="I1610" s="251">
        <v>0.0</v>
      </c>
      <c r="J1610" s="251"/>
      <c r="K1610" s="252"/>
    </row>
    <row r="1611" ht="27.75" customHeight="1">
      <c r="A1611" s="247"/>
      <c r="B1611" s="248"/>
      <c r="C1611" s="249"/>
      <c r="D1611" s="248"/>
      <c r="E1611" s="250"/>
      <c r="F1611" s="248"/>
      <c r="G1611" s="56"/>
      <c r="H1611" s="251">
        <v>0.0</v>
      </c>
      <c r="I1611" s="251">
        <v>0.0</v>
      </c>
      <c r="J1611" s="251"/>
      <c r="K1611" s="252"/>
    </row>
    <row r="1612" ht="27.75" customHeight="1">
      <c r="A1612" s="247"/>
      <c r="B1612" s="248"/>
      <c r="C1612" s="249"/>
      <c r="D1612" s="248"/>
      <c r="E1612" s="250"/>
      <c r="F1612" s="248"/>
      <c r="G1612" s="56"/>
      <c r="H1612" s="251">
        <v>0.0</v>
      </c>
      <c r="I1612" s="251">
        <v>0.0</v>
      </c>
      <c r="J1612" s="251"/>
      <c r="K1612" s="252"/>
    </row>
    <row r="1613" ht="27.75" customHeight="1">
      <c r="A1613" s="247"/>
      <c r="B1613" s="248"/>
      <c r="C1613" s="249"/>
      <c r="D1613" s="248"/>
      <c r="E1613" s="250"/>
      <c r="F1613" s="248"/>
      <c r="G1613" s="56"/>
      <c r="H1613" s="251">
        <v>0.0</v>
      </c>
      <c r="I1613" s="251">
        <v>0.0</v>
      </c>
      <c r="J1613" s="251"/>
      <c r="K1613" s="252"/>
    </row>
    <row r="1614" ht="27.75" customHeight="1">
      <c r="A1614" s="247"/>
      <c r="B1614" s="248"/>
      <c r="C1614" s="249"/>
      <c r="D1614" s="248"/>
      <c r="E1614" s="250"/>
      <c r="F1614" s="248"/>
      <c r="G1614" s="56"/>
      <c r="H1614" s="251">
        <v>0.0</v>
      </c>
      <c r="I1614" s="251">
        <v>0.0</v>
      </c>
      <c r="J1614" s="251"/>
      <c r="K1614" s="252"/>
    </row>
    <row r="1615" ht="27.75" customHeight="1">
      <c r="A1615" s="247"/>
      <c r="B1615" s="248"/>
      <c r="C1615" s="249"/>
      <c r="D1615" s="248"/>
      <c r="E1615" s="250"/>
      <c r="F1615" s="248"/>
      <c r="G1615" s="56"/>
      <c r="H1615" s="251">
        <v>0.0</v>
      </c>
      <c r="I1615" s="251">
        <v>0.0</v>
      </c>
      <c r="J1615" s="251"/>
      <c r="K1615" s="252"/>
    </row>
    <row r="1616" ht="27.75" customHeight="1">
      <c r="A1616" s="247"/>
      <c r="B1616" s="248"/>
      <c r="C1616" s="249"/>
      <c r="D1616" s="248"/>
      <c r="E1616" s="250"/>
      <c r="F1616" s="248"/>
      <c r="G1616" s="56"/>
      <c r="H1616" s="251">
        <v>0.0</v>
      </c>
      <c r="I1616" s="251">
        <v>0.0</v>
      </c>
      <c r="J1616" s="251"/>
      <c r="K1616" s="252"/>
    </row>
    <row r="1617" ht="27.75" customHeight="1">
      <c r="A1617" s="247"/>
      <c r="B1617" s="248"/>
      <c r="C1617" s="249"/>
      <c r="D1617" s="248"/>
      <c r="E1617" s="250"/>
      <c r="F1617" s="248"/>
      <c r="G1617" s="56"/>
      <c r="H1617" s="251">
        <v>0.0</v>
      </c>
      <c r="I1617" s="251">
        <v>0.0</v>
      </c>
      <c r="J1617" s="251"/>
      <c r="K1617" s="252"/>
    </row>
    <row r="1618" ht="27.75" customHeight="1">
      <c r="A1618" s="247"/>
      <c r="B1618" s="248"/>
      <c r="C1618" s="249"/>
      <c r="D1618" s="248"/>
      <c r="E1618" s="250"/>
      <c r="F1618" s="248"/>
      <c r="G1618" s="56"/>
      <c r="H1618" s="251">
        <v>0.0</v>
      </c>
      <c r="I1618" s="251">
        <v>0.0</v>
      </c>
      <c r="J1618" s="251"/>
      <c r="K1618" s="252"/>
    </row>
    <row r="1619" ht="27.75" customHeight="1">
      <c r="A1619" s="247"/>
      <c r="B1619" s="248"/>
      <c r="C1619" s="249"/>
      <c r="D1619" s="248"/>
      <c r="E1619" s="250"/>
      <c r="F1619" s="248"/>
      <c r="G1619" s="56"/>
      <c r="H1619" s="251">
        <v>0.0</v>
      </c>
      <c r="I1619" s="251">
        <v>0.0</v>
      </c>
      <c r="J1619" s="251"/>
      <c r="K1619" s="252"/>
    </row>
    <row r="1620" ht="27.75" customHeight="1">
      <c r="A1620" s="247"/>
      <c r="B1620" s="248"/>
      <c r="C1620" s="249"/>
      <c r="D1620" s="248"/>
      <c r="E1620" s="250"/>
      <c r="F1620" s="248"/>
      <c r="G1620" s="56"/>
      <c r="H1620" s="251">
        <v>0.0</v>
      </c>
      <c r="I1620" s="251">
        <v>0.0</v>
      </c>
      <c r="J1620" s="251"/>
      <c r="K1620" s="252"/>
    </row>
    <row r="1621" ht="27.75" customHeight="1">
      <c r="A1621" s="247"/>
      <c r="B1621" s="248"/>
      <c r="C1621" s="249"/>
      <c r="D1621" s="248"/>
      <c r="E1621" s="250"/>
      <c r="F1621" s="248"/>
      <c r="G1621" s="56"/>
      <c r="H1621" s="251">
        <v>0.0</v>
      </c>
      <c r="I1621" s="251">
        <v>0.0</v>
      </c>
      <c r="J1621" s="251"/>
      <c r="K1621" s="252"/>
    </row>
    <row r="1622" ht="27.75" customHeight="1">
      <c r="A1622" s="247"/>
      <c r="B1622" s="248"/>
      <c r="C1622" s="249"/>
      <c r="D1622" s="248"/>
      <c r="E1622" s="250"/>
      <c r="F1622" s="248"/>
      <c r="G1622" s="56"/>
      <c r="H1622" s="251">
        <v>0.0</v>
      </c>
      <c r="I1622" s="251">
        <v>0.0</v>
      </c>
      <c r="J1622" s="251"/>
      <c r="K1622" s="252"/>
    </row>
    <row r="1623" ht="27.75" customHeight="1">
      <c r="A1623" s="247"/>
      <c r="B1623" s="248"/>
      <c r="C1623" s="249"/>
      <c r="D1623" s="248"/>
      <c r="E1623" s="250"/>
      <c r="F1623" s="248"/>
      <c r="G1623" s="56"/>
      <c r="H1623" s="251">
        <v>0.0</v>
      </c>
      <c r="I1623" s="251">
        <v>0.0</v>
      </c>
      <c r="J1623" s="251"/>
      <c r="K1623" s="252"/>
    </row>
    <row r="1624" ht="27.75" customHeight="1">
      <c r="A1624" s="247"/>
      <c r="B1624" s="248"/>
      <c r="C1624" s="249"/>
      <c r="D1624" s="248"/>
      <c r="E1624" s="250"/>
      <c r="F1624" s="248"/>
      <c r="G1624" s="56"/>
      <c r="H1624" s="251">
        <v>0.0</v>
      </c>
      <c r="I1624" s="251">
        <v>0.0</v>
      </c>
      <c r="J1624" s="251"/>
      <c r="K1624" s="252"/>
    </row>
    <row r="1625" ht="27.75" customHeight="1">
      <c r="A1625" s="247"/>
      <c r="B1625" s="248"/>
      <c r="C1625" s="249"/>
      <c r="D1625" s="248"/>
      <c r="E1625" s="250"/>
      <c r="F1625" s="248"/>
      <c r="G1625" s="56"/>
      <c r="H1625" s="251">
        <v>0.0</v>
      </c>
      <c r="I1625" s="251">
        <v>0.0</v>
      </c>
      <c r="J1625" s="251"/>
      <c r="K1625" s="252"/>
    </row>
    <row r="1626" ht="27.75" customHeight="1">
      <c r="A1626" s="247"/>
      <c r="B1626" s="248"/>
      <c r="C1626" s="249"/>
      <c r="D1626" s="248"/>
      <c r="E1626" s="250"/>
      <c r="F1626" s="248"/>
      <c r="G1626" s="56"/>
      <c r="H1626" s="251">
        <v>0.0</v>
      </c>
      <c r="I1626" s="251">
        <v>0.0</v>
      </c>
      <c r="J1626" s="251"/>
      <c r="K1626" s="252"/>
    </row>
    <row r="1627" ht="27.75" customHeight="1">
      <c r="A1627" s="247"/>
      <c r="B1627" s="248"/>
      <c r="C1627" s="249"/>
      <c r="D1627" s="248"/>
      <c r="E1627" s="250"/>
      <c r="F1627" s="248"/>
      <c r="G1627" s="56"/>
      <c r="H1627" s="251">
        <v>0.0</v>
      </c>
      <c r="I1627" s="251">
        <v>0.0</v>
      </c>
      <c r="J1627" s="251"/>
      <c r="K1627" s="252"/>
    </row>
    <row r="1628" ht="27.75" customHeight="1">
      <c r="A1628" s="247"/>
      <c r="B1628" s="248"/>
      <c r="C1628" s="249"/>
      <c r="D1628" s="248"/>
      <c r="E1628" s="250"/>
      <c r="F1628" s="248"/>
      <c r="G1628" s="56"/>
      <c r="H1628" s="251">
        <v>0.0</v>
      </c>
      <c r="I1628" s="251">
        <v>0.0</v>
      </c>
      <c r="J1628" s="251"/>
      <c r="K1628" s="252"/>
    </row>
    <row r="1629" ht="27.75" customHeight="1">
      <c r="A1629" s="247"/>
      <c r="B1629" s="248"/>
      <c r="C1629" s="249"/>
      <c r="D1629" s="248"/>
      <c r="E1629" s="250"/>
      <c r="F1629" s="248"/>
      <c r="G1629" s="56"/>
      <c r="H1629" s="251">
        <v>0.0</v>
      </c>
      <c r="I1629" s="251">
        <v>0.0</v>
      </c>
      <c r="J1629" s="251"/>
      <c r="K1629" s="252"/>
    </row>
    <row r="1630" ht="27.75" customHeight="1">
      <c r="A1630" s="247"/>
      <c r="B1630" s="248"/>
      <c r="C1630" s="249"/>
      <c r="D1630" s="248"/>
      <c r="E1630" s="250"/>
      <c r="F1630" s="248"/>
      <c r="G1630" s="56"/>
      <c r="H1630" s="251">
        <v>0.0</v>
      </c>
      <c r="I1630" s="251">
        <v>0.0</v>
      </c>
      <c r="J1630" s="251"/>
      <c r="K1630" s="252"/>
    </row>
    <row r="1631" ht="27.75" customHeight="1">
      <c r="A1631" s="247"/>
      <c r="B1631" s="248"/>
      <c r="C1631" s="249"/>
      <c r="D1631" s="248"/>
      <c r="E1631" s="250"/>
      <c r="F1631" s="248"/>
      <c r="G1631" s="56"/>
      <c r="H1631" s="251">
        <v>0.0</v>
      </c>
      <c r="I1631" s="251">
        <v>0.0</v>
      </c>
      <c r="J1631" s="251"/>
      <c r="K1631" s="252"/>
    </row>
    <row r="1632" ht="27.75" customHeight="1">
      <c r="A1632" s="247"/>
      <c r="B1632" s="248"/>
      <c r="C1632" s="249"/>
      <c r="D1632" s="248"/>
      <c r="E1632" s="250"/>
      <c r="F1632" s="248"/>
      <c r="G1632" s="56"/>
      <c r="H1632" s="251">
        <v>0.0</v>
      </c>
      <c r="I1632" s="251">
        <v>0.0</v>
      </c>
      <c r="J1632" s="251"/>
      <c r="K1632" s="252"/>
    </row>
    <row r="1633" ht="27.75" customHeight="1">
      <c r="A1633" s="247"/>
      <c r="B1633" s="248"/>
      <c r="C1633" s="249"/>
      <c r="D1633" s="248"/>
      <c r="E1633" s="250"/>
      <c r="F1633" s="248"/>
      <c r="G1633" s="56"/>
      <c r="H1633" s="251">
        <v>0.0</v>
      </c>
      <c r="I1633" s="251">
        <v>0.0</v>
      </c>
      <c r="J1633" s="251"/>
      <c r="K1633" s="252"/>
    </row>
    <row r="1634" ht="27.75" customHeight="1">
      <c r="A1634" s="247"/>
      <c r="B1634" s="248"/>
      <c r="C1634" s="249"/>
      <c r="D1634" s="248"/>
      <c r="E1634" s="250"/>
      <c r="F1634" s="248"/>
      <c r="G1634" s="56"/>
      <c r="H1634" s="251">
        <v>0.0</v>
      </c>
      <c r="I1634" s="251">
        <v>0.0</v>
      </c>
      <c r="J1634" s="251"/>
      <c r="K1634" s="252"/>
    </row>
    <row r="1635" ht="27.75" customHeight="1">
      <c r="A1635" s="247"/>
      <c r="B1635" s="248"/>
      <c r="C1635" s="249"/>
      <c r="D1635" s="248"/>
      <c r="E1635" s="250"/>
      <c r="F1635" s="248"/>
      <c r="G1635" s="56"/>
      <c r="H1635" s="251">
        <v>0.0</v>
      </c>
      <c r="I1635" s="251">
        <v>0.0</v>
      </c>
      <c r="J1635" s="251"/>
      <c r="K1635" s="252"/>
    </row>
    <row r="1636" ht="27.75" customHeight="1">
      <c r="A1636" s="247"/>
      <c r="B1636" s="248"/>
      <c r="C1636" s="249"/>
      <c r="D1636" s="248"/>
      <c r="E1636" s="250"/>
      <c r="F1636" s="248"/>
      <c r="G1636" s="56"/>
      <c r="H1636" s="251">
        <v>0.0</v>
      </c>
      <c r="I1636" s="251">
        <v>0.0</v>
      </c>
      <c r="J1636" s="251"/>
      <c r="K1636" s="252"/>
    </row>
    <row r="1637" ht="27.75" customHeight="1">
      <c r="A1637" s="247"/>
      <c r="B1637" s="248"/>
      <c r="C1637" s="249"/>
      <c r="D1637" s="248"/>
      <c r="E1637" s="250"/>
      <c r="F1637" s="248"/>
      <c r="G1637" s="56"/>
      <c r="H1637" s="251">
        <v>0.0</v>
      </c>
      <c r="I1637" s="251">
        <v>0.0</v>
      </c>
      <c r="J1637" s="251"/>
      <c r="K1637" s="252"/>
    </row>
    <row r="1638" ht="27.75" customHeight="1">
      <c r="A1638" s="247"/>
      <c r="B1638" s="248"/>
      <c r="C1638" s="249"/>
      <c r="D1638" s="248"/>
      <c r="E1638" s="250"/>
      <c r="F1638" s="248"/>
      <c r="G1638" s="56"/>
      <c r="H1638" s="251">
        <v>0.0</v>
      </c>
      <c r="I1638" s="251">
        <v>0.0</v>
      </c>
      <c r="J1638" s="251"/>
      <c r="K1638" s="252"/>
    </row>
    <row r="1639" ht="27.75" customHeight="1">
      <c r="A1639" s="247"/>
      <c r="B1639" s="248"/>
      <c r="C1639" s="249"/>
      <c r="D1639" s="248"/>
      <c r="E1639" s="250"/>
      <c r="F1639" s="248"/>
      <c r="G1639" s="56"/>
      <c r="H1639" s="251">
        <v>0.0</v>
      </c>
      <c r="I1639" s="251">
        <v>0.0</v>
      </c>
      <c r="J1639" s="251"/>
      <c r="K1639" s="252"/>
    </row>
    <row r="1640" ht="27.75" customHeight="1">
      <c r="A1640" s="247"/>
      <c r="B1640" s="248"/>
      <c r="C1640" s="249"/>
      <c r="D1640" s="248"/>
      <c r="E1640" s="250"/>
      <c r="F1640" s="248"/>
      <c r="G1640" s="56"/>
      <c r="H1640" s="251">
        <v>0.0</v>
      </c>
      <c r="I1640" s="251">
        <v>0.0</v>
      </c>
      <c r="J1640" s="251"/>
      <c r="K1640" s="252"/>
    </row>
    <row r="1641" ht="27.75" customHeight="1">
      <c r="A1641" s="247"/>
      <c r="B1641" s="248"/>
      <c r="C1641" s="249"/>
      <c r="D1641" s="248"/>
      <c r="E1641" s="250"/>
      <c r="F1641" s="248"/>
      <c r="G1641" s="56"/>
      <c r="H1641" s="251">
        <v>0.0</v>
      </c>
      <c r="I1641" s="251">
        <v>0.0</v>
      </c>
      <c r="J1641" s="251"/>
      <c r="K1641" s="252"/>
    </row>
    <row r="1642" ht="27.75" customHeight="1">
      <c r="A1642" s="247"/>
      <c r="B1642" s="248"/>
      <c r="C1642" s="249"/>
      <c r="D1642" s="248"/>
      <c r="E1642" s="250"/>
      <c r="F1642" s="248"/>
      <c r="G1642" s="56"/>
      <c r="H1642" s="251">
        <v>0.0</v>
      </c>
      <c r="I1642" s="251">
        <v>0.0</v>
      </c>
      <c r="J1642" s="251"/>
      <c r="K1642" s="252"/>
    </row>
    <row r="1643" ht="27.75" customHeight="1">
      <c r="A1643" s="247"/>
      <c r="B1643" s="248"/>
      <c r="C1643" s="249"/>
      <c r="D1643" s="248"/>
      <c r="E1643" s="250"/>
      <c r="F1643" s="248"/>
      <c r="G1643" s="56"/>
      <c r="H1643" s="251">
        <v>0.0</v>
      </c>
      <c r="I1643" s="251">
        <v>0.0</v>
      </c>
      <c r="J1643" s="251"/>
      <c r="K1643" s="252"/>
    </row>
    <row r="1644" ht="27.75" customHeight="1">
      <c r="A1644" s="247"/>
      <c r="B1644" s="248"/>
      <c r="C1644" s="249"/>
      <c r="D1644" s="248"/>
      <c r="E1644" s="250"/>
      <c r="F1644" s="248"/>
      <c r="G1644" s="56"/>
      <c r="H1644" s="251">
        <v>0.0</v>
      </c>
      <c r="I1644" s="251">
        <v>0.0</v>
      </c>
      <c r="J1644" s="251"/>
      <c r="K1644" s="252"/>
    </row>
    <row r="1645" ht="27.75" customHeight="1">
      <c r="A1645" s="247"/>
      <c r="B1645" s="248"/>
      <c r="C1645" s="249"/>
      <c r="D1645" s="248"/>
      <c r="E1645" s="250"/>
      <c r="F1645" s="248"/>
      <c r="G1645" s="56"/>
      <c r="H1645" s="251">
        <v>0.0</v>
      </c>
      <c r="I1645" s="251">
        <v>0.0</v>
      </c>
      <c r="J1645" s="251"/>
      <c r="K1645" s="252"/>
    </row>
    <row r="1646" ht="27.75" customHeight="1">
      <c r="A1646" s="247"/>
      <c r="B1646" s="248"/>
      <c r="C1646" s="249"/>
      <c r="D1646" s="248"/>
      <c r="E1646" s="250"/>
      <c r="F1646" s="248"/>
      <c r="G1646" s="56"/>
      <c r="H1646" s="251">
        <v>0.0</v>
      </c>
      <c r="I1646" s="251">
        <v>0.0</v>
      </c>
      <c r="J1646" s="251"/>
      <c r="K1646" s="252"/>
    </row>
    <row r="1647" ht="27.75" customHeight="1">
      <c r="A1647" s="247"/>
      <c r="B1647" s="248"/>
      <c r="C1647" s="249"/>
      <c r="D1647" s="248"/>
      <c r="E1647" s="250"/>
      <c r="F1647" s="248"/>
      <c r="G1647" s="56"/>
      <c r="H1647" s="251">
        <v>0.0</v>
      </c>
      <c r="I1647" s="251">
        <v>0.0</v>
      </c>
      <c r="J1647" s="251"/>
      <c r="K1647" s="252"/>
    </row>
    <row r="1648" ht="27.75" customHeight="1">
      <c r="A1648" s="247"/>
      <c r="B1648" s="248"/>
      <c r="C1648" s="249"/>
      <c r="D1648" s="248"/>
      <c r="E1648" s="250"/>
      <c r="F1648" s="248"/>
      <c r="G1648" s="56"/>
      <c r="H1648" s="251">
        <v>0.0</v>
      </c>
      <c r="I1648" s="251">
        <v>0.0</v>
      </c>
      <c r="J1648" s="251"/>
      <c r="K1648" s="252"/>
    </row>
    <row r="1649" ht="27.75" customHeight="1">
      <c r="A1649" s="247"/>
      <c r="B1649" s="248"/>
      <c r="C1649" s="249"/>
      <c r="D1649" s="248"/>
      <c r="E1649" s="250"/>
      <c r="F1649" s="248"/>
      <c r="G1649" s="56"/>
      <c r="H1649" s="251">
        <v>0.0</v>
      </c>
      <c r="I1649" s="251">
        <v>0.0</v>
      </c>
      <c r="J1649" s="251"/>
      <c r="K1649" s="252"/>
    </row>
    <row r="1650" ht="27.75" customHeight="1">
      <c r="A1650" s="247"/>
      <c r="B1650" s="248"/>
      <c r="C1650" s="249"/>
      <c r="D1650" s="248"/>
      <c r="E1650" s="250"/>
      <c r="F1650" s="248"/>
      <c r="G1650" s="56"/>
      <c r="H1650" s="251">
        <v>0.0</v>
      </c>
      <c r="I1650" s="251">
        <v>0.0</v>
      </c>
      <c r="J1650" s="251"/>
      <c r="K1650" s="252"/>
    </row>
    <row r="1651" ht="27.75" customHeight="1">
      <c r="A1651" s="247"/>
      <c r="B1651" s="248"/>
      <c r="C1651" s="249"/>
      <c r="D1651" s="248"/>
      <c r="E1651" s="250"/>
      <c r="F1651" s="248"/>
      <c r="G1651" s="56"/>
      <c r="H1651" s="251">
        <v>0.0</v>
      </c>
      <c r="I1651" s="251">
        <v>0.0</v>
      </c>
      <c r="J1651" s="251"/>
      <c r="K1651" s="252"/>
    </row>
    <row r="1652" ht="27.75" customHeight="1">
      <c r="A1652" s="247"/>
      <c r="B1652" s="248"/>
      <c r="C1652" s="249"/>
      <c r="D1652" s="248"/>
      <c r="E1652" s="250"/>
      <c r="F1652" s="248"/>
      <c r="G1652" s="56"/>
      <c r="H1652" s="251">
        <v>0.0</v>
      </c>
      <c r="I1652" s="251">
        <v>0.0</v>
      </c>
      <c r="J1652" s="251"/>
      <c r="K1652" s="252"/>
    </row>
    <row r="1653" ht="27.75" customHeight="1">
      <c r="A1653" s="247"/>
      <c r="B1653" s="248"/>
      <c r="C1653" s="249"/>
      <c r="D1653" s="248"/>
      <c r="E1653" s="250"/>
      <c r="F1653" s="248"/>
      <c r="G1653" s="56"/>
      <c r="H1653" s="251">
        <v>0.0</v>
      </c>
      <c r="I1653" s="251">
        <v>0.0</v>
      </c>
      <c r="J1653" s="251"/>
      <c r="K1653" s="252"/>
    </row>
    <row r="1654" ht="27.75" customHeight="1">
      <c r="A1654" s="247"/>
      <c r="B1654" s="248"/>
      <c r="C1654" s="249"/>
      <c r="D1654" s="248"/>
      <c r="E1654" s="250"/>
      <c r="F1654" s="248"/>
      <c r="G1654" s="56"/>
      <c r="H1654" s="251">
        <v>0.0</v>
      </c>
      <c r="I1654" s="251">
        <v>0.0</v>
      </c>
      <c r="J1654" s="251"/>
      <c r="K1654" s="252"/>
    </row>
    <row r="1655" ht="27.75" customHeight="1">
      <c r="A1655" s="247"/>
      <c r="B1655" s="248"/>
      <c r="C1655" s="249"/>
      <c r="D1655" s="248"/>
      <c r="E1655" s="250"/>
      <c r="F1655" s="248"/>
      <c r="G1655" s="56"/>
      <c r="H1655" s="251">
        <v>0.0</v>
      </c>
      <c r="I1655" s="251">
        <v>0.0</v>
      </c>
      <c r="J1655" s="251"/>
      <c r="K1655" s="252"/>
    </row>
    <row r="1656" ht="27.75" customHeight="1">
      <c r="A1656" s="247"/>
      <c r="B1656" s="248"/>
      <c r="C1656" s="249"/>
      <c r="D1656" s="248"/>
      <c r="E1656" s="250"/>
      <c r="F1656" s="248"/>
      <c r="G1656" s="56"/>
      <c r="H1656" s="251">
        <v>0.0</v>
      </c>
      <c r="I1656" s="251">
        <v>0.0</v>
      </c>
      <c r="J1656" s="251"/>
      <c r="K1656" s="252"/>
    </row>
    <row r="1657" ht="27.75" customHeight="1">
      <c r="A1657" s="247"/>
      <c r="B1657" s="248"/>
      <c r="C1657" s="249"/>
      <c r="D1657" s="248"/>
      <c r="E1657" s="250"/>
      <c r="F1657" s="248"/>
      <c r="G1657" s="56"/>
      <c r="H1657" s="251">
        <v>0.0</v>
      </c>
      <c r="I1657" s="251">
        <v>0.0</v>
      </c>
      <c r="J1657" s="251"/>
      <c r="K1657" s="252"/>
    </row>
    <row r="1658" ht="27.75" customHeight="1">
      <c r="A1658" s="247"/>
      <c r="B1658" s="248"/>
      <c r="C1658" s="249"/>
      <c r="D1658" s="248"/>
      <c r="E1658" s="250"/>
      <c r="F1658" s="248"/>
      <c r="G1658" s="56"/>
      <c r="H1658" s="251">
        <v>0.0</v>
      </c>
      <c r="I1658" s="251">
        <v>0.0</v>
      </c>
      <c r="J1658" s="251"/>
      <c r="K1658" s="252"/>
    </row>
    <row r="1659" ht="27.75" customHeight="1">
      <c r="A1659" s="247"/>
      <c r="B1659" s="248"/>
      <c r="C1659" s="249"/>
      <c r="D1659" s="248"/>
      <c r="E1659" s="250"/>
      <c r="F1659" s="248"/>
      <c r="G1659" s="56"/>
      <c r="H1659" s="251">
        <v>0.0</v>
      </c>
      <c r="I1659" s="251">
        <v>0.0</v>
      </c>
      <c r="J1659" s="251"/>
      <c r="K1659" s="252"/>
    </row>
    <row r="1660" ht="27.75" customHeight="1">
      <c r="A1660" s="247"/>
      <c r="B1660" s="248"/>
      <c r="C1660" s="249"/>
      <c r="D1660" s="248"/>
      <c r="E1660" s="250"/>
      <c r="F1660" s="248"/>
      <c r="G1660" s="56"/>
      <c r="H1660" s="251">
        <v>0.0</v>
      </c>
      <c r="I1660" s="251">
        <v>0.0</v>
      </c>
      <c r="J1660" s="251"/>
      <c r="K1660" s="252"/>
    </row>
    <row r="1661" ht="27.75" customHeight="1">
      <c r="A1661" s="247"/>
      <c r="B1661" s="248"/>
      <c r="C1661" s="249"/>
      <c r="D1661" s="248"/>
      <c r="E1661" s="250"/>
      <c r="F1661" s="248"/>
      <c r="G1661" s="56"/>
      <c r="H1661" s="251">
        <v>0.0</v>
      </c>
      <c r="I1661" s="251">
        <v>0.0</v>
      </c>
      <c r="J1661" s="251"/>
      <c r="K1661" s="252"/>
    </row>
    <row r="1662" ht="27.75" customHeight="1">
      <c r="A1662" s="247"/>
      <c r="B1662" s="248"/>
      <c r="C1662" s="249"/>
      <c r="D1662" s="248"/>
      <c r="E1662" s="250"/>
      <c r="F1662" s="248"/>
      <c r="G1662" s="56"/>
      <c r="H1662" s="251">
        <v>0.0</v>
      </c>
      <c r="I1662" s="251">
        <v>0.0</v>
      </c>
      <c r="J1662" s="251"/>
      <c r="K1662" s="252"/>
    </row>
    <row r="1663" ht="27.75" customHeight="1">
      <c r="A1663" s="247"/>
      <c r="B1663" s="248"/>
      <c r="C1663" s="249"/>
      <c r="D1663" s="248"/>
      <c r="E1663" s="250"/>
      <c r="F1663" s="248"/>
      <c r="G1663" s="56"/>
      <c r="H1663" s="251">
        <v>0.0</v>
      </c>
      <c r="I1663" s="251">
        <v>0.0</v>
      </c>
      <c r="J1663" s="251"/>
      <c r="K1663" s="252"/>
    </row>
    <row r="1664" ht="27.75" customHeight="1">
      <c r="A1664" s="247"/>
      <c r="B1664" s="248"/>
      <c r="C1664" s="249"/>
      <c r="D1664" s="248"/>
      <c r="E1664" s="250"/>
      <c r="F1664" s="248"/>
      <c r="G1664" s="56"/>
      <c r="H1664" s="251">
        <v>0.0</v>
      </c>
      <c r="I1664" s="251">
        <v>0.0</v>
      </c>
      <c r="J1664" s="251"/>
      <c r="K1664" s="252"/>
    </row>
    <row r="1665" ht="27.75" customHeight="1">
      <c r="A1665" s="247"/>
      <c r="B1665" s="248"/>
      <c r="C1665" s="249"/>
      <c r="D1665" s="248"/>
      <c r="E1665" s="250"/>
      <c r="F1665" s="248"/>
      <c r="G1665" s="56"/>
      <c r="H1665" s="251">
        <v>0.0</v>
      </c>
      <c r="I1665" s="251">
        <v>0.0</v>
      </c>
      <c r="J1665" s="251"/>
      <c r="K1665" s="252"/>
    </row>
    <row r="1666" ht="27.75" customHeight="1">
      <c r="A1666" s="247"/>
      <c r="B1666" s="248"/>
      <c r="C1666" s="249"/>
      <c r="D1666" s="248"/>
      <c r="E1666" s="250"/>
      <c r="F1666" s="248"/>
      <c r="G1666" s="56"/>
      <c r="H1666" s="251">
        <v>0.0</v>
      </c>
      <c r="I1666" s="251">
        <v>0.0</v>
      </c>
      <c r="J1666" s="251"/>
      <c r="K1666" s="252"/>
    </row>
    <row r="1667" ht="27.75" customHeight="1">
      <c r="A1667" s="247"/>
      <c r="B1667" s="248"/>
      <c r="C1667" s="249"/>
      <c r="D1667" s="248"/>
      <c r="E1667" s="250"/>
      <c r="F1667" s="248"/>
      <c r="G1667" s="56"/>
      <c r="H1667" s="251">
        <v>0.0</v>
      </c>
      <c r="I1667" s="251">
        <v>0.0</v>
      </c>
      <c r="J1667" s="251"/>
      <c r="K1667" s="252"/>
    </row>
    <row r="1668" ht="27.75" customHeight="1">
      <c r="A1668" s="247"/>
      <c r="B1668" s="248"/>
      <c r="C1668" s="249"/>
      <c r="D1668" s="248"/>
      <c r="E1668" s="250"/>
      <c r="F1668" s="248"/>
      <c r="G1668" s="56"/>
      <c r="H1668" s="251">
        <v>0.0</v>
      </c>
      <c r="I1668" s="251">
        <v>0.0</v>
      </c>
      <c r="J1668" s="251"/>
      <c r="K1668" s="252"/>
    </row>
    <row r="1669" ht="27.75" customHeight="1">
      <c r="A1669" s="247"/>
      <c r="B1669" s="248"/>
      <c r="C1669" s="249"/>
      <c r="D1669" s="248"/>
      <c r="E1669" s="250"/>
      <c r="F1669" s="248"/>
      <c r="G1669" s="56"/>
      <c r="H1669" s="251">
        <v>0.0</v>
      </c>
      <c r="I1669" s="251">
        <v>0.0</v>
      </c>
      <c r="J1669" s="251"/>
      <c r="K1669" s="252"/>
    </row>
    <row r="1670" ht="27.75" customHeight="1">
      <c r="A1670" s="247"/>
      <c r="B1670" s="248"/>
      <c r="C1670" s="249"/>
      <c r="D1670" s="248"/>
      <c r="E1670" s="250"/>
      <c r="F1670" s="248"/>
      <c r="G1670" s="56"/>
      <c r="H1670" s="251">
        <v>0.0</v>
      </c>
      <c r="I1670" s="251">
        <v>0.0</v>
      </c>
      <c r="J1670" s="251"/>
      <c r="K1670" s="252"/>
    </row>
    <row r="1671" ht="27.75" customHeight="1">
      <c r="A1671" s="247"/>
      <c r="B1671" s="248"/>
      <c r="C1671" s="249"/>
      <c r="D1671" s="248"/>
      <c r="E1671" s="250"/>
      <c r="F1671" s="248"/>
      <c r="G1671" s="56"/>
      <c r="H1671" s="251">
        <v>0.0</v>
      </c>
      <c r="I1671" s="251">
        <v>0.0</v>
      </c>
      <c r="J1671" s="251"/>
      <c r="K1671" s="252"/>
    </row>
    <row r="1672" ht="27.75" customHeight="1">
      <c r="A1672" s="247"/>
      <c r="B1672" s="248"/>
      <c r="C1672" s="249"/>
      <c r="D1672" s="248"/>
      <c r="E1672" s="250"/>
      <c r="F1672" s="248"/>
      <c r="G1672" s="56"/>
      <c r="H1672" s="251">
        <v>0.0</v>
      </c>
      <c r="I1672" s="251">
        <v>0.0</v>
      </c>
      <c r="J1672" s="251"/>
      <c r="K1672" s="252"/>
    </row>
    <row r="1673" ht="27.75" customHeight="1">
      <c r="A1673" s="247"/>
      <c r="B1673" s="248"/>
      <c r="C1673" s="249"/>
      <c r="D1673" s="248"/>
      <c r="E1673" s="250"/>
      <c r="F1673" s="248"/>
      <c r="G1673" s="56"/>
      <c r="H1673" s="251">
        <v>0.0</v>
      </c>
      <c r="I1673" s="251">
        <v>0.0</v>
      </c>
      <c r="J1673" s="251"/>
      <c r="K1673" s="252"/>
    </row>
    <row r="1674" ht="27.75" customHeight="1">
      <c r="A1674" s="247"/>
      <c r="B1674" s="248"/>
      <c r="C1674" s="249"/>
      <c r="D1674" s="248"/>
      <c r="E1674" s="250"/>
      <c r="F1674" s="248"/>
      <c r="G1674" s="56"/>
      <c r="H1674" s="251">
        <v>0.0</v>
      </c>
      <c r="I1674" s="251">
        <v>0.0</v>
      </c>
      <c r="J1674" s="251"/>
      <c r="K1674" s="252"/>
    </row>
    <row r="1675" ht="27.75" customHeight="1">
      <c r="A1675" s="247"/>
      <c r="B1675" s="248"/>
      <c r="C1675" s="249"/>
      <c r="D1675" s="248"/>
      <c r="E1675" s="250"/>
      <c r="F1675" s="248"/>
      <c r="G1675" s="56"/>
      <c r="H1675" s="251">
        <v>0.0</v>
      </c>
      <c r="I1675" s="251">
        <v>0.0</v>
      </c>
      <c r="J1675" s="251"/>
      <c r="K1675" s="252"/>
    </row>
    <row r="1676" ht="27.75" customHeight="1">
      <c r="A1676" s="247"/>
      <c r="B1676" s="248"/>
      <c r="C1676" s="249"/>
      <c r="D1676" s="248"/>
      <c r="E1676" s="250"/>
      <c r="F1676" s="248"/>
      <c r="G1676" s="56"/>
      <c r="H1676" s="251">
        <v>0.0</v>
      </c>
      <c r="I1676" s="251">
        <v>0.0</v>
      </c>
      <c r="J1676" s="251"/>
      <c r="K1676" s="252"/>
    </row>
    <row r="1677" ht="27.75" customHeight="1">
      <c r="A1677" s="247"/>
      <c r="B1677" s="248"/>
      <c r="C1677" s="249"/>
      <c r="D1677" s="248"/>
      <c r="E1677" s="250"/>
      <c r="F1677" s="248"/>
      <c r="G1677" s="56"/>
      <c r="H1677" s="251">
        <v>0.0</v>
      </c>
      <c r="I1677" s="251">
        <v>0.0</v>
      </c>
      <c r="J1677" s="251"/>
      <c r="K1677" s="252"/>
    </row>
    <row r="1678" ht="27.75" customHeight="1">
      <c r="A1678" s="247"/>
      <c r="B1678" s="248"/>
      <c r="C1678" s="249"/>
      <c r="D1678" s="248"/>
      <c r="E1678" s="250"/>
      <c r="F1678" s="248"/>
      <c r="G1678" s="56"/>
      <c r="H1678" s="251">
        <v>0.0</v>
      </c>
      <c r="I1678" s="251">
        <v>0.0</v>
      </c>
      <c r="J1678" s="251"/>
      <c r="K1678" s="252"/>
    </row>
    <row r="1679" ht="27.75" customHeight="1">
      <c r="A1679" s="247"/>
      <c r="B1679" s="248"/>
      <c r="C1679" s="249"/>
      <c r="D1679" s="248"/>
      <c r="E1679" s="250"/>
      <c r="F1679" s="248"/>
      <c r="G1679" s="56"/>
      <c r="H1679" s="251">
        <v>0.0</v>
      </c>
      <c r="I1679" s="251">
        <v>0.0</v>
      </c>
      <c r="J1679" s="251"/>
      <c r="K1679" s="252"/>
    </row>
    <row r="1680" ht="27.75" customHeight="1">
      <c r="A1680" s="247"/>
      <c r="B1680" s="248"/>
      <c r="C1680" s="249"/>
      <c r="D1680" s="248"/>
      <c r="E1680" s="250"/>
      <c r="F1680" s="248"/>
      <c r="G1680" s="56"/>
      <c r="H1680" s="251">
        <v>0.0</v>
      </c>
      <c r="I1680" s="251">
        <v>0.0</v>
      </c>
      <c r="J1680" s="251"/>
      <c r="K1680" s="252"/>
    </row>
    <row r="1681" ht="27.75" customHeight="1">
      <c r="A1681" s="247"/>
      <c r="B1681" s="248"/>
      <c r="C1681" s="249"/>
      <c r="D1681" s="248"/>
      <c r="E1681" s="250"/>
      <c r="F1681" s="248"/>
      <c r="G1681" s="56"/>
      <c r="H1681" s="251">
        <v>0.0</v>
      </c>
      <c r="I1681" s="251">
        <v>0.0</v>
      </c>
      <c r="J1681" s="251"/>
      <c r="K1681" s="252"/>
    </row>
    <row r="1682" ht="27.75" customHeight="1">
      <c r="A1682" s="247"/>
      <c r="B1682" s="248"/>
      <c r="C1682" s="249"/>
      <c r="D1682" s="248"/>
      <c r="E1682" s="250"/>
      <c r="F1682" s="248"/>
      <c r="G1682" s="56"/>
      <c r="H1682" s="251">
        <v>0.0</v>
      </c>
      <c r="I1682" s="251">
        <v>0.0</v>
      </c>
      <c r="J1682" s="251"/>
      <c r="K1682" s="252"/>
    </row>
    <row r="1683" ht="27.75" customHeight="1">
      <c r="A1683" s="247"/>
      <c r="B1683" s="248"/>
      <c r="C1683" s="249"/>
      <c r="D1683" s="248"/>
      <c r="E1683" s="250"/>
      <c r="F1683" s="248"/>
      <c r="G1683" s="56"/>
      <c r="H1683" s="251">
        <v>0.0</v>
      </c>
      <c r="I1683" s="251">
        <v>0.0</v>
      </c>
      <c r="J1683" s="251"/>
      <c r="K1683" s="252"/>
    </row>
    <row r="1684" ht="27.75" customHeight="1">
      <c r="A1684" s="247"/>
      <c r="B1684" s="248"/>
      <c r="C1684" s="249"/>
      <c r="D1684" s="248"/>
      <c r="E1684" s="250"/>
      <c r="F1684" s="248"/>
      <c r="G1684" s="56"/>
      <c r="H1684" s="251">
        <v>0.0</v>
      </c>
      <c r="I1684" s="251">
        <v>0.0</v>
      </c>
      <c r="J1684" s="251"/>
      <c r="K1684" s="252"/>
    </row>
    <row r="1685" ht="27.75" customHeight="1">
      <c r="A1685" s="247"/>
      <c r="B1685" s="248"/>
      <c r="C1685" s="249"/>
      <c r="D1685" s="248"/>
      <c r="E1685" s="250"/>
      <c r="F1685" s="248"/>
      <c r="G1685" s="56"/>
      <c r="H1685" s="251">
        <v>0.0</v>
      </c>
      <c r="I1685" s="251">
        <v>0.0</v>
      </c>
      <c r="J1685" s="251"/>
      <c r="K1685" s="252"/>
    </row>
    <row r="1686" ht="27.75" customHeight="1">
      <c r="A1686" s="247"/>
      <c r="B1686" s="248"/>
      <c r="C1686" s="249"/>
      <c r="D1686" s="248"/>
      <c r="E1686" s="250"/>
      <c r="F1686" s="248"/>
      <c r="G1686" s="56"/>
      <c r="H1686" s="251">
        <v>0.0</v>
      </c>
      <c r="I1686" s="251">
        <v>0.0</v>
      </c>
      <c r="J1686" s="251"/>
      <c r="K1686" s="252"/>
    </row>
    <row r="1687" ht="27.75" customHeight="1">
      <c r="A1687" s="247"/>
      <c r="B1687" s="248"/>
      <c r="C1687" s="249"/>
      <c r="D1687" s="248"/>
      <c r="E1687" s="250"/>
      <c r="F1687" s="248"/>
      <c r="G1687" s="56"/>
      <c r="H1687" s="251">
        <v>0.0</v>
      </c>
      <c r="I1687" s="251">
        <v>0.0</v>
      </c>
      <c r="J1687" s="251"/>
      <c r="K1687" s="252"/>
    </row>
    <row r="1688" ht="27.75" customHeight="1">
      <c r="A1688" s="247"/>
      <c r="B1688" s="248"/>
      <c r="C1688" s="249"/>
      <c r="D1688" s="248"/>
      <c r="E1688" s="250"/>
      <c r="F1688" s="248"/>
      <c r="G1688" s="56"/>
      <c r="H1688" s="251">
        <v>0.0</v>
      </c>
      <c r="I1688" s="251">
        <v>0.0</v>
      </c>
      <c r="J1688" s="251"/>
      <c r="K1688" s="252"/>
    </row>
    <row r="1689" ht="27.75" customHeight="1">
      <c r="A1689" s="247"/>
      <c r="B1689" s="248"/>
      <c r="C1689" s="249"/>
      <c r="D1689" s="248"/>
      <c r="E1689" s="250"/>
      <c r="F1689" s="248"/>
      <c r="G1689" s="56"/>
      <c r="H1689" s="251">
        <v>0.0</v>
      </c>
      <c r="I1689" s="251">
        <v>0.0</v>
      </c>
      <c r="J1689" s="251"/>
      <c r="K1689" s="252"/>
    </row>
    <row r="1690" ht="27.75" customHeight="1">
      <c r="A1690" s="247"/>
      <c r="B1690" s="248"/>
      <c r="C1690" s="249"/>
      <c r="D1690" s="248"/>
      <c r="E1690" s="250"/>
      <c r="F1690" s="248"/>
      <c r="G1690" s="56"/>
      <c r="H1690" s="251">
        <v>0.0</v>
      </c>
      <c r="I1690" s="251">
        <v>0.0</v>
      </c>
      <c r="J1690" s="251"/>
      <c r="K1690" s="252"/>
    </row>
    <row r="1691" ht="27.75" customHeight="1">
      <c r="A1691" s="247"/>
      <c r="B1691" s="248"/>
      <c r="C1691" s="249"/>
      <c r="D1691" s="248"/>
      <c r="E1691" s="250"/>
      <c r="F1691" s="248"/>
      <c r="G1691" s="56"/>
      <c r="H1691" s="251">
        <v>0.0</v>
      </c>
      <c r="I1691" s="251">
        <v>0.0</v>
      </c>
      <c r="J1691" s="251"/>
      <c r="K1691" s="252"/>
    </row>
    <row r="1692" ht="27.75" customHeight="1">
      <c r="A1692" s="247"/>
      <c r="B1692" s="248"/>
      <c r="C1692" s="249"/>
      <c r="D1692" s="248"/>
      <c r="E1692" s="250"/>
      <c r="F1692" s="248"/>
      <c r="G1692" s="56"/>
      <c r="H1692" s="251">
        <v>0.0</v>
      </c>
      <c r="I1692" s="251">
        <v>0.0</v>
      </c>
      <c r="J1692" s="251"/>
      <c r="K1692" s="252"/>
    </row>
    <row r="1693" ht="27.75" customHeight="1">
      <c r="A1693" s="247"/>
      <c r="B1693" s="248"/>
      <c r="C1693" s="249"/>
      <c r="D1693" s="248"/>
      <c r="E1693" s="250"/>
      <c r="F1693" s="248"/>
      <c r="G1693" s="56"/>
      <c r="H1693" s="251">
        <v>0.0</v>
      </c>
      <c r="I1693" s="251">
        <v>0.0</v>
      </c>
      <c r="J1693" s="251"/>
      <c r="K1693" s="252"/>
    </row>
    <row r="1694" ht="27.75" customHeight="1">
      <c r="A1694" s="247"/>
      <c r="B1694" s="248"/>
      <c r="C1694" s="249"/>
      <c r="D1694" s="248"/>
      <c r="E1694" s="250"/>
      <c r="F1694" s="248"/>
      <c r="G1694" s="56"/>
      <c r="H1694" s="251">
        <v>0.0</v>
      </c>
      <c r="I1694" s="251">
        <v>0.0</v>
      </c>
      <c r="J1694" s="251"/>
      <c r="K1694" s="252"/>
    </row>
    <row r="1695" ht="27.75" customHeight="1">
      <c r="A1695" s="247"/>
      <c r="B1695" s="248"/>
      <c r="C1695" s="249"/>
      <c r="D1695" s="248"/>
      <c r="E1695" s="250"/>
      <c r="F1695" s="248"/>
      <c r="G1695" s="56"/>
      <c r="H1695" s="251">
        <v>0.0</v>
      </c>
      <c r="I1695" s="251">
        <v>0.0</v>
      </c>
      <c r="J1695" s="251"/>
      <c r="K1695" s="252"/>
    </row>
    <row r="1696" ht="27.75" customHeight="1">
      <c r="A1696" s="247"/>
      <c r="B1696" s="248"/>
      <c r="C1696" s="249"/>
      <c r="D1696" s="248"/>
      <c r="E1696" s="250"/>
      <c r="F1696" s="248"/>
      <c r="G1696" s="56"/>
      <c r="H1696" s="251">
        <v>0.0</v>
      </c>
      <c r="I1696" s="251">
        <v>0.0</v>
      </c>
      <c r="J1696" s="251"/>
      <c r="K1696" s="252"/>
    </row>
    <row r="1697" ht="27.75" customHeight="1">
      <c r="A1697" s="247"/>
      <c r="B1697" s="248"/>
      <c r="C1697" s="249"/>
      <c r="D1697" s="248"/>
      <c r="E1697" s="250"/>
      <c r="F1697" s="248"/>
      <c r="G1697" s="56"/>
      <c r="H1697" s="251">
        <v>0.0</v>
      </c>
      <c r="I1697" s="251">
        <v>0.0</v>
      </c>
      <c r="J1697" s="251"/>
      <c r="K1697" s="252"/>
    </row>
    <row r="1698" ht="27.75" customHeight="1">
      <c r="A1698" s="247"/>
      <c r="B1698" s="248"/>
      <c r="C1698" s="249"/>
      <c r="D1698" s="248"/>
      <c r="E1698" s="250"/>
      <c r="F1698" s="248"/>
      <c r="G1698" s="56"/>
      <c r="H1698" s="251">
        <v>0.0</v>
      </c>
      <c r="I1698" s="251">
        <v>0.0</v>
      </c>
      <c r="J1698" s="251"/>
      <c r="K1698" s="252"/>
    </row>
    <row r="1699" ht="27.75" customHeight="1">
      <c r="A1699" s="247"/>
      <c r="B1699" s="248"/>
      <c r="C1699" s="249"/>
      <c r="D1699" s="248"/>
      <c r="E1699" s="250"/>
      <c r="F1699" s="248"/>
      <c r="G1699" s="56"/>
      <c r="H1699" s="251">
        <v>0.0</v>
      </c>
      <c r="I1699" s="251">
        <v>0.0</v>
      </c>
      <c r="J1699" s="251"/>
      <c r="K1699" s="252"/>
    </row>
    <row r="1700" ht="27.75" customHeight="1">
      <c r="A1700" s="247"/>
      <c r="B1700" s="248"/>
      <c r="C1700" s="249"/>
      <c r="D1700" s="248"/>
      <c r="E1700" s="250"/>
      <c r="F1700" s="248"/>
      <c r="G1700" s="56"/>
      <c r="H1700" s="251">
        <v>0.0</v>
      </c>
      <c r="I1700" s="251">
        <v>0.0</v>
      </c>
      <c r="J1700" s="251"/>
      <c r="K1700" s="252"/>
    </row>
    <row r="1701" ht="27.75" customHeight="1">
      <c r="A1701" s="247"/>
      <c r="B1701" s="248"/>
      <c r="C1701" s="249"/>
      <c r="D1701" s="248"/>
      <c r="E1701" s="250"/>
      <c r="F1701" s="248"/>
      <c r="G1701" s="56"/>
      <c r="H1701" s="251">
        <v>0.0</v>
      </c>
      <c r="I1701" s="251">
        <v>0.0</v>
      </c>
      <c r="J1701" s="251"/>
      <c r="K1701" s="252"/>
    </row>
    <row r="1702" ht="27.75" customHeight="1">
      <c r="A1702" s="247"/>
      <c r="B1702" s="248"/>
      <c r="C1702" s="249"/>
      <c r="D1702" s="248"/>
      <c r="E1702" s="250"/>
      <c r="F1702" s="248"/>
      <c r="G1702" s="56"/>
      <c r="H1702" s="251">
        <v>0.0</v>
      </c>
      <c r="I1702" s="251">
        <v>0.0</v>
      </c>
      <c r="J1702" s="251"/>
      <c r="K1702" s="252"/>
    </row>
    <row r="1703" ht="27.75" customHeight="1">
      <c r="A1703" s="247"/>
      <c r="B1703" s="248"/>
      <c r="C1703" s="249"/>
      <c r="D1703" s="248"/>
      <c r="E1703" s="250"/>
      <c r="F1703" s="248"/>
      <c r="G1703" s="56"/>
      <c r="H1703" s="251">
        <v>0.0</v>
      </c>
      <c r="I1703" s="251">
        <v>0.0</v>
      </c>
      <c r="J1703" s="251"/>
      <c r="K1703" s="252"/>
    </row>
    <row r="1704" ht="27.75" customHeight="1">
      <c r="A1704" s="247"/>
      <c r="B1704" s="248"/>
      <c r="C1704" s="249"/>
      <c r="D1704" s="248"/>
      <c r="E1704" s="250"/>
      <c r="F1704" s="248"/>
      <c r="G1704" s="56"/>
      <c r="H1704" s="251">
        <v>0.0</v>
      </c>
      <c r="I1704" s="251">
        <v>0.0</v>
      </c>
      <c r="J1704" s="251"/>
      <c r="K1704" s="252"/>
    </row>
    <row r="1705" ht="27.75" customHeight="1">
      <c r="A1705" s="247"/>
      <c r="B1705" s="248"/>
      <c r="C1705" s="249"/>
      <c r="D1705" s="248"/>
      <c r="E1705" s="250"/>
      <c r="F1705" s="248"/>
      <c r="G1705" s="56"/>
      <c r="H1705" s="251">
        <v>0.0</v>
      </c>
      <c r="I1705" s="251">
        <v>0.0</v>
      </c>
      <c r="J1705" s="251"/>
      <c r="K1705" s="252"/>
    </row>
    <row r="1706" ht="27.75" customHeight="1">
      <c r="A1706" s="247"/>
      <c r="B1706" s="248"/>
      <c r="C1706" s="249"/>
      <c r="D1706" s="248"/>
      <c r="E1706" s="250"/>
      <c r="F1706" s="248"/>
      <c r="G1706" s="56"/>
      <c r="H1706" s="251">
        <v>0.0</v>
      </c>
      <c r="I1706" s="251">
        <v>0.0</v>
      </c>
      <c r="J1706" s="251"/>
      <c r="K1706" s="252"/>
    </row>
    <row r="1707" ht="27.75" customHeight="1">
      <c r="A1707" s="247"/>
      <c r="B1707" s="248"/>
      <c r="C1707" s="249"/>
      <c r="D1707" s="248"/>
      <c r="E1707" s="250"/>
      <c r="F1707" s="248"/>
      <c r="G1707" s="56"/>
      <c r="H1707" s="251">
        <v>0.0</v>
      </c>
      <c r="I1707" s="251">
        <v>0.0</v>
      </c>
      <c r="J1707" s="251"/>
      <c r="K1707" s="252"/>
    </row>
    <row r="1708" ht="27.75" customHeight="1">
      <c r="A1708" s="247"/>
      <c r="B1708" s="248"/>
      <c r="C1708" s="249"/>
      <c r="D1708" s="248"/>
      <c r="E1708" s="250"/>
      <c r="F1708" s="248"/>
      <c r="G1708" s="56"/>
      <c r="H1708" s="251">
        <v>0.0</v>
      </c>
      <c r="I1708" s="251">
        <v>0.0</v>
      </c>
      <c r="J1708" s="251"/>
      <c r="K1708" s="252"/>
    </row>
    <row r="1709" ht="27.75" customHeight="1">
      <c r="A1709" s="247"/>
      <c r="B1709" s="248"/>
      <c r="C1709" s="249"/>
      <c r="D1709" s="248"/>
      <c r="E1709" s="250"/>
      <c r="F1709" s="248"/>
      <c r="G1709" s="56"/>
      <c r="H1709" s="251">
        <v>0.0</v>
      </c>
      <c r="I1709" s="251">
        <v>0.0</v>
      </c>
      <c r="J1709" s="251"/>
      <c r="K1709" s="252"/>
    </row>
    <row r="1710" ht="27.75" customHeight="1">
      <c r="A1710" s="247"/>
      <c r="B1710" s="248"/>
      <c r="C1710" s="249"/>
      <c r="D1710" s="248"/>
      <c r="E1710" s="250"/>
      <c r="F1710" s="248"/>
      <c r="G1710" s="56"/>
      <c r="H1710" s="251">
        <v>0.0</v>
      </c>
      <c r="I1710" s="251">
        <v>0.0</v>
      </c>
      <c r="J1710" s="251"/>
      <c r="K1710" s="252"/>
    </row>
    <row r="1711" ht="27.75" customHeight="1">
      <c r="A1711" s="247"/>
      <c r="B1711" s="248"/>
      <c r="C1711" s="249"/>
      <c r="D1711" s="248"/>
      <c r="E1711" s="250"/>
      <c r="F1711" s="248"/>
      <c r="G1711" s="56"/>
      <c r="H1711" s="251">
        <v>0.0</v>
      </c>
      <c r="I1711" s="251">
        <v>0.0</v>
      </c>
      <c r="J1711" s="251"/>
      <c r="K1711" s="252"/>
    </row>
    <row r="1712" ht="27.75" customHeight="1">
      <c r="A1712" s="247"/>
      <c r="B1712" s="248"/>
      <c r="C1712" s="249"/>
      <c r="D1712" s="248"/>
      <c r="E1712" s="250"/>
      <c r="F1712" s="248"/>
      <c r="G1712" s="56"/>
      <c r="H1712" s="251">
        <v>0.0</v>
      </c>
      <c r="I1712" s="251">
        <v>0.0</v>
      </c>
      <c r="J1712" s="251"/>
      <c r="K1712" s="252"/>
    </row>
    <row r="1713" ht="27.75" customHeight="1">
      <c r="A1713" s="247"/>
      <c r="B1713" s="248"/>
      <c r="C1713" s="249"/>
      <c r="D1713" s="248"/>
      <c r="E1713" s="250"/>
      <c r="F1713" s="248"/>
      <c r="G1713" s="56"/>
      <c r="H1713" s="251">
        <v>0.0</v>
      </c>
      <c r="I1713" s="251">
        <v>0.0</v>
      </c>
      <c r="J1713" s="251"/>
      <c r="K1713" s="252"/>
    </row>
    <row r="1714" ht="27.75" customHeight="1">
      <c r="A1714" s="247"/>
      <c r="B1714" s="248"/>
      <c r="C1714" s="249"/>
      <c r="D1714" s="248"/>
      <c r="E1714" s="250"/>
      <c r="F1714" s="248"/>
      <c r="G1714" s="56"/>
      <c r="H1714" s="251">
        <v>0.0</v>
      </c>
      <c r="I1714" s="251">
        <v>0.0</v>
      </c>
      <c r="J1714" s="251"/>
      <c r="K1714" s="252"/>
    </row>
    <row r="1715" ht="27.75" customHeight="1">
      <c r="A1715" s="247"/>
      <c r="B1715" s="248"/>
      <c r="C1715" s="249"/>
      <c r="D1715" s="248"/>
      <c r="E1715" s="250"/>
      <c r="F1715" s="248"/>
      <c r="G1715" s="56"/>
      <c r="H1715" s="251">
        <v>0.0</v>
      </c>
      <c r="I1715" s="251">
        <v>0.0</v>
      </c>
      <c r="J1715" s="251"/>
      <c r="K1715" s="252"/>
    </row>
    <row r="1716" ht="27.75" customHeight="1">
      <c r="A1716" s="247"/>
      <c r="B1716" s="248"/>
      <c r="C1716" s="249"/>
      <c r="D1716" s="248"/>
      <c r="E1716" s="250"/>
      <c r="F1716" s="248"/>
      <c r="G1716" s="56"/>
      <c r="H1716" s="251">
        <v>0.0</v>
      </c>
      <c r="I1716" s="251">
        <v>0.0</v>
      </c>
      <c r="J1716" s="251"/>
      <c r="K1716" s="252"/>
    </row>
    <row r="1717" ht="27.75" customHeight="1">
      <c r="A1717" s="247"/>
      <c r="B1717" s="248"/>
      <c r="C1717" s="249"/>
      <c r="D1717" s="248"/>
      <c r="E1717" s="250"/>
      <c r="F1717" s="248"/>
      <c r="G1717" s="56"/>
      <c r="H1717" s="251">
        <v>0.0</v>
      </c>
      <c r="I1717" s="251">
        <v>0.0</v>
      </c>
      <c r="J1717" s="251"/>
      <c r="K1717" s="252"/>
    </row>
    <row r="1718" ht="27.75" customHeight="1">
      <c r="A1718" s="247"/>
      <c r="B1718" s="248"/>
      <c r="C1718" s="249"/>
      <c r="D1718" s="248"/>
      <c r="E1718" s="250"/>
      <c r="F1718" s="248"/>
      <c r="G1718" s="56"/>
      <c r="H1718" s="251">
        <v>0.0</v>
      </c>
      <c r="I1718" s="251">
        <v>0.0</v>
      </c>
      <c r="J1718" s="251"/>
      <c r="K1718" s="252"/>
    </row>
    <row r="1719" ht="27.75" customHeight="1">
      <c r="A1719" s="247"/>
      <c r="B1719" s="248"/>
      <c r="C1719" s="249"/>
      <c r="D1719" s="248"/>
      <c r="E1719" s="250"/>
      <c r="F1719" s="248"/>
      <c r="G1719" s="56"/>
      <c r="H1719" s="251">
        <v>0.0</v>
      </c>
      <c r="I1719" s="251">
        <v>0.0</v>
      </c>
      <c r="J1719" s="251"/>
      <c r="K1719" s="252"/>
    </row>
    <row r="1720" ht="27.75" customHeight="1">
      <c r="A1720" s="247"/>
      <c r="B1720" s="248"/>
      <c r="C1720" s="249"/>
      <c r="D1720" s="248"/>
      <c r="E1720" s="250"/>
      <c r="F1720" s="248"/>
      <c r="G1720" s="56"/>
      <c r="H1720" s="251">
        <v>0.0</v>
      </c>
      <c r="I1720" s="251">
        <v>0.0</v>
      </c>
      <c r="J1720" s="251"/>
      <c r="K1720" s="252"/>
    </row>
    <row r="1721" ht="27.75" customHeight="1">
      <c r="A1721" s="247"/>
      <c r="B1721" s="248"/>
      <c r="C1721" s="249"/>
      <c r="D1721" s="248"/>
      <c r="E1721" s="250"/>
      <c r="F1721" s="248"/>
      <c r="G1721" s="56"/>
      <c r="H1721" s="251">
        <v>0.0</v>
      </c>
      <c r="I1721" s="251">
        <v>0.0</v>
      </c>
      <c r="J1721" s="251"/>
      <c r="K1721" s="252"/>
    </row>
    <row r="1722" ht="27.75" customHeight="1">
      <c r="A1722" s="247"/>
      <c r="B1722" s="248"/>
      <c r="C1722" s="249"/>
      <c r="D1722" s="248"/>
      <c r="E1722" s="250"/>
      <c r="F1722" s="248"/>
      <c r="G1722" s="56"/>
      <c r="H1722" s="251">
        <v>0.0</v>
      </c>
      <c r="I1722" s="251">
        <v>0.0</v>
      </c>
      <c r="J1722" s="251"/>
      <c r="K1722" s="252"/>
    </row>
    <row r="1723" ht="27.75" customHeight="1">
      <c r="A1723" s="247"/>
      <c r="B1723" s="248"/>
      <c r="C1723" s="249"/>
      <c r="D1723" s="248"/>
      <c r="E1723" s="250"/>
      <c r="F1723" s="248"/>
      <c r="G1723" s="56"/>
      <c r="H1723" s="251">
        <v>0.0</v>
      </c>
      <c r="I1723" s="251">
        <v>0.0</v>
      </c>
      <c r="J1723" s="251"/>
      <c r="K1723" s="252"/>
    </row>
    <row r="1724" ht="27.75" customHeight="1">
      <c r="A1724" s="247"/>
      <c r="B1724" s="248"/>
      <c r="C1724" s="249"/>
      <c r="D1724" s="248"/>
      <c r="E1724" s="250"/>
      <c r="F1724" s="248"/>
      <c r="G1724" s="56"/>
      <c r="H1724" s="251">
        <v>0.0</v>
      </c>
      <c r="I1724" s="251">
        <v>0.0</v>
      </c>
      <c r="J1724" s="251"/>
      <c r="K1724" s="252"/>
    </row>
    <row r="1725" ht="27.75" customHeight="1">
      <c r="A1725" s="247"/>
      <c r="B1725" s="248"/>
      <c r="C1725" s="249"/>
      <c r="D1725" s="248"/>
      <c r="E1725" s="250"/>
      <c r="F1725" s="248"/>
      <c r="G1725" s="56"/>
      <c r="H1725" s="251">
        <v>0.0</v>
      </c>
      <c r="I1725" s="251">
        <v>0.0</v>
      </c>
      <c r="J1725" s="251"/>
      <c r="K1725" s="252"/>
    </row>
    <row r="1726" ht="27.75" customHeight="1">
      <c r="A1726" s="247"/>
      <c r="B1726" s="248"/>
      <c r="C1726" s="249"/>
      <c r="D1726" s="248"/>
      <c r="E1726" s="250"/>
      <c r="F1726" s="248"/>
      <c r="G1726" s="56"/>
      <c r="H1726" s="251">
        <v>0.0</v>
      </c>
      <c r="I1726" s="251">
        <v>0.0</v>
      </c>
      <c r="J1726" s="251"/>
      <c r="K1726" s="252"/>
    </row>
    <row r="1727" ht="27.75" customHeight="1">
      <c r="A1727" s="247"/>
      <c r="B1727" s="248"/>
      <c r="C1727" s="249"/>
      <c r="D1727" s="248"/>
      <c r="E1727" s="250"/>
      <c r="F1727" s="248"/>
      <c r="G1727" s="56"/>
      <c r="H1727" s="251">
        <v>0.0</v>
      </c>
      <c r="I1727" s="251">
        <v>0.0</v>
      </c>
      <c r="J1727" s="251"/>
      <c r="K1727" s="252"/>
    </row>
    <row r="1728" ht="27.75" customHeight="1">
      <c r="A1728" s="247"/>
      <c r="B1728" s="248"/>
      <c r="C1728" s="249"/>
      <c r="D1728" s="248"/>
      <c r="E1728" s="250"/>
      <c r="F1728" s="248"/>
      <c r="G1728" s="56"/>
      <c r="H1728" s="251">
        <v>0.0</v>
      </c>
      <c r="I1728" s="251">
        <v>0.0</v>
      </c>
      <c r="J1728" s="251"/>
      <c r="K1728" s="252"/>
    </row>
    <row r="1729" ht="27.75" customHeight="1">
      <c r="A1729" s="247"/>
      <c r="B1729" s="248"/>
      <c r="C1729" s="249"/>
      <c r="D1729" s="248"/>
      <c r="E1729" s="250"/>
      <c r="F1729" s="248"/>
      <c r="G1729" s="56"/>
      <c r="H1729" s="251">
        <v>0.0</v>
      </c>
      <c r="I1729" s="251">
        <v>0.0</v>
      </c>
      <c r="J1729" s="251"/>
      <c r="K1729" s="252"/>
    </row>
    <row r="1730" ht="27.75" customHeight="1">
      <c r="A1730" s="247"/>
      <c r="B1730" s="248"/>
      <c r="C1730" s="249"/>
      <c r="D1730" s="248"/>
      <c r="E1730" s="250"/>
      <c r="F1730" s="248"/>
      <c r="G1730" s="56"/>
      <c r="H1730" s="251">
        <v>0.0</v>
      </c>
      <c r="I1730" s="251">
        <v>0.0</v>
      </c>
      <c r="J1730" s="251"/>
      <c r="K1730" s="252"/>
    </row>
    <row r="1731" ht="27.75" customHeight="1">
      <c r="A1731" s="247"/>
      <c r="B1731" s="248"/>
      <c r="C1731" s="249"/>
      <c r="D1731" s="248"/>
      <c r="E1731" s="250"/>
      <c r="F1731" s="248"/>
      <c r="G1731" s="56"/>
      <c r="H1731" s="251">
        <v>0.0</v>
      </c>
      <c r="I1731" s="251">
        <v>0.0</v>
      </c>
      <c r="J1731" s="251"/>
      <c r="K1731" s="252"/>
    </row>
    <row r="1732" ht="27.75" customHeight="1">
      <c r="A1732" s="247"/>
      <c r="B1732" s="248"/>
      <c r="C1732" s="249"/>
      <c r="D1732" s="248"/>
      <c r="E1732" s="250"/>
      <c r="F1732" s="248"/>
      <c r="G1732" s="56"/>
      <c r="H1732" s="251">
        <v>0.0</v>
      </c>
      <c r="I1732" s="251">
        <v>0.0</v>
      </c>
      <c r="J1732" s="251"/>
      <c r="K1732" s="252"/>
    </row>
    <row r="1733" ht="27.75" customHeight="1">
      <c r="A1733" s="247"/>
      <c r="B1733" s="248"/>
      <c r="C1733" s="249"/>
      <c r="D1733" s="248"/>
      <c r="E1733" s="250"/>
      <c r="F1733" s="248"/>
      <c r="G1733" s="56"/>
      <c r="H1733" s="251">
        <v>0.0</v>
      </c>
      <c r="I1733" s="251">
        <v>0.0</v>
      </c>
      <c r="J1733" s="251"/>
      <c r="K1733" s="252"/>
    </row>
    <row r="1734" ht="27.75" customHeight="1">
      <c r="A1734" s="247"/>
      <c r="B1734" s="248"/>
      <c r="C1734" s="249"/>
      <c r="D1734" s="248"/>
      <c r="E1734" s="250"/>
      <c r="F1734" s="248"/>
      <c r="G1734" s="56"/>
      <c r="H1734" s="251">
        <v>0.0</v>
      </c>
      <c r="I1734" s="251">
        <v>0.0</v>
      </c>
      <c r="J1734" s="251"/>
      <c r="K1734" s="252"/>
    </row>
    <row r="1735" ht="27.75" customHeight="1">
      <c r="A1735" s="247"/>
      <c r="B1735" s="248"/>
      <c r="C1735" s="249"/>
      <c r="D1735" s="248"/>
      <c r="E1735" s="250"/>
      <c r="F1735" s="248"/>
      <c r="G1735" s="56"/>
      <c r="H1735" s="251">
        <v>0.0</v>
      </c>
      <c r="I1735" s="251">
        <v>0.0</v>
      </c>
      <c r="J1735" s="251"/>
      <c r="K1735" s="252"/>
    </row>
    <row r="1736" ht="27.75" customHeight="1">
      <c r="A1736" s="247"/>
      <c r="B1736" s="248"/>
      <c r="C1736" s="249"/>
      <c r="D1736" s="248"/>
      <c r="E1736" s="250"/>
      <c r="F1736" s="248"/>
      <c r="G1736" s="56"/>
      <c r="H1736" s="251">
        <v>0.0</v>
      </c>
      <c r="I1736" s="251">
        <v>0.0</v>
      </c>
      <c r="J1736" s="251"/>
      <c r="K1736" s="252"/>
    </row>
    <row r="1737" ht="27.75" customHeight="1">
      <c r="A1737" s="247"/>
      <c r="B1737" s="248"/>
      <c r="C1737" s="249"/>
      <c r="D1737" s="248"/>
      <c r="E1737" s="250"/>
      <c r="F1737" s="248"/>
      <c r="G1737" s="56"/>
      <c r="H1737" s="251">
        <v>0.0</v>
      </c>
      <c r="I1737" s="251">
        <v>0.0</v>
      </c>
      <c r="J1737" s="251"/>
      <c r="K1737" s="252"/>
    </row>
    <row r="1738" ht="27.75" customHeight="1">
      <c r="A1738" s="247"/>
      <c r="B1738" s="248"/>
      <c r="C1738" s="249"/>
      <c r="D1738" s="248"/>
      <c r="E1738" s="250"/>
      <c r="F1738" s="248"/>
      <c r="G1738" s="56"/>
      <c r="H1738" s="251">
        <v>0.0</v>
      </c>
      <c r="I1738" s="251">
        <v>0.0</v>
      </c>
      <c r="J1738" s="251"/>
      <c r="K1738" s="252"/>
    </row>
    <row r="1739" ht="27.75" customHeight="1">
      <c r="A1739" s="247"/>
      <c r="B1739" s="248"/>
      <c r="C1739" s="249"/>
      <c r="D1739" s="248"/>
      <c r="E1739" s="250"/>
      <c r="F1739" s="248"/>
      <c r="G1739" s="56"/>
      <c r="H1739" s="251">
        <v>0.0</v>
      </c>
      <c r="I1739" s="251">
        <v>0.0</v>
      </c>
      <c r="J1739" s="251"/>
      <c r="K1739" s="252"/>
    </row>
    <row r="1740" ht="27.75" customHeight="1">
      <c r="A1740" s="247"/>
      <c r="B1740" s="248"/>
      <c r="C1740" s="249"/>
      <c r="D1740" s="248"/>
      <c r="E1740" s="250"/>
      <c r="F1740" s="248"/>
      <c r="G1740" s="56"/>
      <c r="H1740" s="251">
        <v>0.0</v>
      </c>
      <c r="I1740" s="251">
        <v>0.0</v>
      </c>
      <c r="J1740" s="251"/>
      <c r="K1740" s="252"/>
    </row>
    <row r="1741" ht="27.75" customHeight="1">
      <c r="A1741" s="247"/>
      <c r="B1741" s="248"/>
      <c r="C1741" s="249"/>
      <c r="D1741" s="248"/>
      <c r="E1741" s="250"/>
      <c r="F1741" s="248"/>
      <c r="G1741" s="56"/>
      <c r="H1741" s="251">
        <v>0.0</v>
      </c>
      <c r="I1741" s="251">
        <v>0.0</v>
      </c>
      <c r="J1741" s="251"/>
      <c r="K1741" s="252"/>
    </row>
    <row r="1742" ht="27.75" customHeight="1">
      <c r="A1742" s="247"/>
      <c r="B1742" s="248"/>
      <c r="C1742" s="249"/>
      <c r="D1742" s="248"/>
      <c r="E1742" s="250"/>
      <c r="F1742" s="248"/>
      <c r="G1742" s="56"/>
      <c r="H1742" s="251">
        <v>0.0</v>
      </c>
      <c r="I1742" s="251">
        <v>0.0</v>
      </c>
      <c r="J1742" s="251"/>
      <c r="K1742" s="252"/>
    </row>
    <row r="1743" ht="27.75" customHeight="1">
      <c r="A1743" s="247"/>
      <c r="B1743" s="248"/>
      <c r="C1743" s="249"/>
      <c r="D1743" s="248"/>
      <c r="E1743" s="250"/>
      <c r="F1743" s="248"/>
      <c r="G1743" s="56"/>
      <c r="H1743" s="251">
        <v>0.0</v>
      </c>
      <c r="I1743" s="251">
        <v>0.0</v>
      </c>
      <c r="J1743" s="251"/>
      <c r="K1743" s="252"/>
    </row>
    <row r="1744" ht="27.75" customHeight="1">
      <c r="A1744" s="247"/>
      <c r="B1744" s="248"/>
      <c r="C1744" s="249"/>
      <c r="D1744" s="248"/>
      <c r="E1744" s="250"/>
      <c r="F1744" s="248"/>
      <c r="G1744" s="56"/>
      <c r="H1744" s="251">
        <v>0.0</v>
      </c>
      <c r="I1744" s="251">
        <v>0.0</v>
      </c>
      <c r="J1744" s="251"/>
      <c r="K1744" s="252"/>
    </row>
    <row r="1745" ht="27.75" customHeight="1">
      <c r="A1745" s="247"/>
      <c r="B1745" s="248"/>
      <c r="C1745" s="249"/>
      <c r="D1745" s="248"/>
      <c r="E1745" s="250"/>
      <c r="F1745" s="248"/>
      <c r="G1745" s="56"/>
      <c r="H1745" s="251">
        <v>0.0</v>
      </c>
      <c r="I1745" s="251">
        <v>0.0</v>
      </c>
      <c r="J1745" s="251"/>
      <c r="K1745" s="252"/>
    </row>
    <row r="1746" ht="27.75" customHeight="1">
      <c r="A1746" s="247"/>
      <c r="B1746" s="248"/>
      <c r="C1746" s="249"/>
      <c r="D1746" s="248"/>
      <c r="E1746" s="250"/>
      <c r="F1746" s="248"/>
      <c r="G1746" s="56"/>
      <c r="H1746" s="251">
        <v>0.0</v>
      </c>
      <c r="I1746" s="251">
        <v>0.0</v>
      </c>
      <c r="J1746" s="251"/>
      <c r="K1746" s="252"/>
    </row>
    <row r="1747" ht="27.75" customHeight="1">
      <c r="A1747" s="247"/>
      <c r="B1747" s="248"/>
      <c r="C1747" s="249"/>
      <c r="D1747" s="248"/>
      <c r="E1747" s="250"/>
      <c r="F1747" s="248"/>
      <c r="G1747" s="56"/>
      <c r="H1747" s="251">
        <v>0.0</v>
      </c>
      <c r="I1747" s="251">
        <v>0.0</v>
      </c>
      <c r="J1747" s="251"/>
      <c r="K1747" s="252"/>
    </row>
    <row r="1748" ht="27.75" customHeight="1">
      <c r="A1748" s="247"/>
      <c r="B1748" s="248"/>
      <c r="C1748" s="249"/>
      <c r="D1748" s="248"/>
      <c r="E1748" s="250"/>
      <c r="F1748" s="248"/>
      <c r="G1748" s="56"/>
      <c r="H1748" s="251">
        <v>0.0</v>
      </c>
      <c r="I1748" s="251">
        <v>0.0</v>
      </c>
      <c r="J1748" s="251"/>
      <c r="K1748" s="252"/>
    </row>
    <row r="1749" ht="27.75" customHeight="1">
      <c r="A1749" s="247"/>
      <c r="B1749" s="248"/>
      <c r="C1749" s="249"/>
      <c r="D1749" s="248"/>
      <c r="E1749" s="250"/>
      <c r="F1749" s="248"/>
      <c r="G1749" s="56"/>
      <c r="H1749" s="251">
        <v>0.0</v>
      </c>
      <c r="I1749" s="251">
        <v>0.0</v>
      </c>
      <c r="J1749" s="251"/>
      <c r="K1749" s="252"/>
    </row>
    <row r="1750" ht="27.75" customHeight="1">
      <c r="A1750" s="247"/>
      <c r="B1750" s="248"/>
      <c r="C1750" s="249"/>
      <c r="D1750" s="248"/>
      <c r="E1750" s="250"/>
      <c r="F1750" s="248"/>
      <c r="G1750" s="56"/>
      <c r="H1750" s="251">
        <v>0.0</v>
      </c>
      <c r="I1750" s="251">
        <v>0.0</v>
      </c>
      <c r="J1750" s="251"/>
      <c r="K1750" s="252"/>
    </row>
    <row r="1751" ht="27.75" customHeight="1">
      <c r="A1751" s="247"/>
      <c r="B1751" s="248"/>
      <c r="C1751" s="249"/>
      <c r="D1751" s="248"/>
      <c r="E1751" s="250"/>
      <c r="F1751" s="248"/>
      <c r="G1751" s="56"/>
      <c r="H1751" s="251">
        <v>0.0</v>
      </c>
      <c r="I1751" s="251">
        <v>0.0</v>
      </c>
      <c r="J1751" s="251"/>
      <c r="K1751" s="252"/>
    </row>
    <row r="1752" ht="27.75" customHeight="1">
      <c r="A1752" s="247"/>
      <c r="B1752" s="248"/>
      <c r="C1752" s="249"/>
      <c r="D1752" s="248"/>
      <c r="E1752" s="250"/>
      <c r="F1752" s="248"/>
      <c r="G1752" s="56"/>
      <c r="H1752" s="251">
        <v>0.0</v>
      </c>
      <c r="I1752" s="251">
        <v>0.0</v>
      </c>
      <c r="J1752" s="251"/>
      <c r="K1752" s="252"/>
    </row>
    <row r="1753" ht="27.75" customHeight="1">
      <c r="A1753" s="247"/>
      <c r="B1753" s="248"/>
      <c r="C1753" s="249"/>
      <c r="D1753" s="248"/>
      <c r="E1753" s="250"/>
      <c r="F1753" s="248"/>
      <c r="G1753" s="56"/>
      <c r="H1753" s="251">
        <v>0.0</v>
      </c>
      <c r="I1753" s="251">
        <v>0.0</v>
      </c>
      <c r="J1753" s="251"/>
      <c r="K1753" s="252"/>
    </row>
    <row r="1754" ht="27.75" customHeight="1">
      <c r="A1754" s="247"/>
      <c r="B1754" s="248"/>
      <c r="C1754" s="249"/>
      <c r="D1754" s="248"/>
      <c r="E1754" s="250"/>
      <c r="F1754" s="248"/>
      <c r="G1754" s="56"/>
      <c r="H1754" s="251">
        <v>0.0</v>
      </c>
      <c r="I1754" s="251">
        <v>0.0</v>
      </c>
      <c r="J1754" s="251"/>
      <c r="K1754" s="252"/>
    </row>
    <row r="1755" ht="27.75" customHeight="1">
      <c r="A1755" s="247"/>
      <c r="B1755" s="248"/>
      <c r="C1755" s="249"/>
      <c r="D1755" s="248"/>
      <c r="E1755" s="250"/>
      <c r="F1755" s="248"/>
      <c r="G1755" s="56"/>
      <c r="H1755" s="251">
        <v>0.0</v>
      </c>
      <c r="I1755" s="251">
        <v>0.0</v>
      </c>
      <c r="J1755" s="251"/>
      <c r="K1755" s="252"/>
    </row>
    <row r="1756" ht="27.75" customHeight="1">
      <c r="A1756" s="247"/>
      <c r="B1756" s="248"/>
      <c r="C1756" s="249"/>
      <c r="D1756" s="248"/>
      <c r="E1756" s="250"/>
      <c r="F1756" s="248"/>
      <c r="G1756" s="56"/>
      <c r="H1756" s="251">
        <v>0.0</v>
      </c>
      <c r="I1756" s="251">
        <v>0.0</v>
      </c>
      <c r="J1756" s="251"/>
      <c r="K1756" s="252"/>
    </row>
    <row r="1757" ht="27.75" customHeight="1">
      <c r="A1757" s="247"/>
      <c r="B1757" s="248"/>
      <c r="C1757" s="249"/>
      <c r="D1757" s="248"/>
      <c r="E1757" s="250"/>
      <c r="F1757" s="248"/>
      <c r="G1757" s="56"/>
      <c r="H1757" s="251">
        <v>0.0</v>
      </c>
      <c r="I1757" s="251">
        <v>0.0</v>
      </c>
      <c r="J1757" s="251"/>
      <c r="K1757" s="252"/>
    </row>
    <row r="1758" ht="27.75" customHeight="1">
      <c r="A1758" s="247"/>
      <c r="B1758" s="248"/>
      <c r="C1758" s="249"/>
      <c r="D1758" s="248"/>
      <c r="E1758" s="250"/>
      <c r="F1758" s="248"/>
      <c r="G1758" s="56"/>
      <c r="H1758" s="251">
        <v>0.0</v>
      </c>
      <c r="I1758" s="251">
        <v>0.0</v>
      </c>
      <c r="J1758" s="251"/>
      <c r="K1758" s="252"/>
    </row>
    <row r="1759" ht="27.75" customHeight="1">
      <c r="A1759" s="247"/>
      <c r="B1759" s="248"/>
      <c r="C1759" s="249"/>
      <c r="D1759" s="248"/>
      <c r="E1759" s="250"/>
      <c r="F1759" s="248"/>
      <c r="G1759" s="56"/>
      <c r="H1759" s="251">
        <v>0.0</v>
      </c>
      <c r="I1759" s="251">
        <v>0.0</v>
      </c>
      <c r="J1759" s="251"/>
      <c r="K1759" s="252"/>
    </row>
    <row r="1760" ht="27.75" customHeight="1">
      <c r="A1760" s="247"/>
      <c r="B1760" s="248"/>
      <c r="C1760" s="249"/>
      <c r="D1760" s="248"/>
      <c r="E1760" s="250"/>
      <c r="F1760" s="248"/>
      <c r="G1760" s="56"/>
      <c r="H1760" s="251">
        <v>0.0</v>
      </c>
      <c r="I1760" s="251">
        <v>0.0</v>
      </c>
      <c r="J1760" s="251"/>
      <c r="K1760" s="252"/>
    </row>
    <row r="1761" ht="27.75" customHeight="1">
      <c r="A1761" s="247"/>
      <c r="B1761" s="248"/>
      <c r="C1761" s="249"/>
      <c r="D1761" s="248"/>
      <c r="E1761" s="250"/>
      <c r="F1761" s="248"/>
      <c r="G1761" s="56"/>
      <c r="H1761" s="251">
        <v>0.0</v>
      </c>
      <c r="I1761" s="251">
        <v>0.0</v>
      </c>
      <c r="J1761" s="251"/>
      <c r="K1761" s="252"/>
    </row>
    <row r="1762" ht="27.75" customHeight="1">
      <c r="A1762" s="247"/>
      <c r="B1762" s="248"/>
      <c r="C1762" s="249"/>
      <c r="D1762" s="248"/>
      <c r="E1762" s="250"/>
      <c r="F1762" s="248"/>
      <c r="G1762" s="56"/>
      <c r="H1762" s="251">
        <v>0.0</v>
      </c>
      <c r="I1762" s="251">
        <v>0.0</v>
      </c>
      <c r="J1762" s="251"/>
      <c r="K1762" s="252"/>
    </row>
    <row r="1763" ht="27.75" customHeight="1">
      <c r="A1763" s="247"/>
      <c r="B1763" s="248"/>
      <c r="C1763" s="249"/>
      <c r="D1763" s="248"/>
      <c r="E1763" s="250"/>
      <c r="F1763" s="248"/>
      <c r="G1763" s="56"/>
      <c r="H1763" s="251">
        <v>0.0</v>
      </c>
      <c r="I1763" s="251">
        <v>0.0</v>
      </c>
      <c r="J1763" s="251"/>
      <c r="K1763" s="252"/>
    </row>
    <row r="1764" ht="27.75" customHeight="1">
      <c r="A1764" s="247"/>
      <c r="B1764" s="248"/>
      <c r="C1764" s="249"/>
      <c r="D1764" s="248"/>
      <c r="E1764" s="250"/>
      <c r="F1764" s="248"/>
      <c r="G1764" s="56"/>
      <c r="H1764" s="251">
        <v>0.0</v>
      </c>
      <c r="I1764" s="251">
        <v>0.0</v>
      </c>
      <c r="J1764" s="251"/>
      <c r="K1764" s="252"/>
    </row>
    <row r="1765" ht="27.75" customHeight="1">
      <c r="A1765" s="247"/>
      <c r="B1765" s="248"/>
      <c r="C1765" s="249"/>
      <c r="D1765" s="248"/>
      <c r="E1765" s="250"/>
      <c r="F1765" s="248"/>
      <c r="G1765" s="56"/>
      <c r="H1765" s="251">
        <v>0.0</v>
      </c>
      <c r="I1765" s="251">
        <v>0.0</v>
      </c>
      <c r="J1765" s="251"/>
      <c r="K1765" s="252"/>
    </row>
    <row r="1766" ht="27.75" customHeight="1">
      <c r="A1766" s="247"/>
      <c r="B1766" s="248"/>
      <c r="C1766" s="249"/>
      <c r="D1766" s="248"/>
      <c r="E1766" s="250"/>
      <c r="F1766" s="248"/>
      <c r="G1766" s="56"/>
      <c r="H1766" s="251">
        <v>0.0</v>
      </c>
      <c r="I1766" s="251">
        <v>0.0</v>
      </c>
      <c r="J1766" s="251"/>
      <c r="K1766" s="252"/>
    </row>
    <row r="1767" ht="27.75" customHeight="1">
      <c r="A1767" s="247"/>
      <c r="B1767" s="248"/>
      <c r="C1767" s="249"/>
      <c r="D1767" s="248"/>
      <c r="E1767" s="250"/>
      <c r="F1767" s="248"/>
      <c r="G1767" s="56"/>
      <c r="H1767" s="251">
        <v>0.0</v>
      </c>
      <c r="I1767" s="251">
        <v>0.0</v>
      </c>
      <c r="J1767" s="251"/>
      <c r="K1767" s="252"/>
    </row>
    <row r="1768" ht="27.75" customHeight="1">
      <c r="A1768" s="247"/>
      <c r="B1768" s="248"/>
      <c r="C1768" s="249"/>
      <c r="D1768" s="248"/>
      <c r="E1768" s="250"/>
      <c r="F1768" s="248"/>
      <c r="G1768" s="56"/>
      <c r="H1768" s="251">
        <v>0.0</v>
      </c>
      <c r="I1768" s="251">
        <v>0.0</v>
      </c>
      <c r="J1768" s="251"/>
      <c r="K1768" s="252"/>
    </row>
    <row r="1769" ht="27.75" customHeight="1">
      <c r="A1769" s="247"/>
      <c r="B1769" s="248"/>
      <c r="C1769" s="249"/>
      <c r="D1769" s="248"/>
      <c r="E1769" s="250"/>
      <c r="F1769" s="248"/>
      <c r="G1769" s="56"/>
      <c r="H1769" s="251">
        <v>0.0</v>
      </c>
      <c r="I1769" s="251">
        <v>0.0</v>
      </c>
      <c r="J1769" s="251"/>
      <c r="K1769" s="252"/>
    </row>
    <row r="1770" ht="27.75" customHeight="1">
      <c r="A1770" s="247"/>
      <c r="B1770" s="248"/>
      <c r="C1770" s="249"/>
      <c r="D1770" s="248"/>
      <c r="E1770" s="250"/>
      <c r="F1770" s="248"/>
      <c r="G1770" s="56"/>
      <c r="H1770" s="251">
        <v>0.0</v>
      </c>
      <c r="I1770" s="251">
        <v>0.0</v>
      </c>
      <c r="J1770" s="251"/>
      <c r="K1770" s="252"/>
    </row>
    <row r="1771" ht="27.75" customHeight="1">
      <c r="A1771" s="247"/>
      <c r="B1771" s="248"/>
      <c r="C1771" s="249"/>
      <c r="D1771" s="248"/>
      <c r="E1771" s="250"/>
      <c r="F1771" s="248"/>
      <c r="G1771" s="56"/>
      <c r="H1771" s="251">
        <v>0.0</v>
      </c>
      <c r="I1771" s="251">
        <v>0.0</v>
      </c>
      <c r="J1771" s="251"/>
      <c r="K1771" s="252"/>
    </row>
    <row r="1772" ht="27.75" customHeight="1">
      <c r="A1772" s="247"/>
      <c r="B1772" s="248"/>
      <c r="C1772" s="249"/>
      <c r="D1772" s="248"/>
      <c r="E1772" s="250"/>
      <c r="F1772" s="248"/>
      <c r="G1772" s="56"/>
      <c r="H1772" s="251">
        <v>0.0</v>
      </c>
      <c r="I1772" s="251">
        <v>0.0</v>
      </c>
      <c r="J1772" s="251"/>
      <c r="K1772" s="252"/>
    </row>
    <row r="1773" ht="27.75" customHeight="1">
      <c r="A1773" s="247"/>
      <c r="B1773" s="248"/>
      <c r="C1773" s="249"/>
      <c r="D1773" s="248"/>
      <c r="E1773" s="250"/>
      <c r="F1773" s="248"/>
      <c r="G1773" s="56"/>
      <c r="H1773" s="251">
        <v>0.0</v>
      </c>
      <c r="I1773" s="251">
        <v>0.0</v>
      </c>
      <c r="J1773" s="251"/>
      <c r="K1773" s="252"/>
    </row>
    <row r="1774" ht="27.75" customHeight="1">
      <c r="A1774" s="247"/>
      <c r="B1774" s="248"/>
      <c r="C1774" s="249"/>
      <c r="D1774" s="248"/>
      <c r="E1774" s="250"/>
      <c r="F1774" s="248"/>
      <c r="G1774" s="56"/>
      <c r="H1774" s="251">
        <v>0.0</v>
      </c>
      <c r="I1774" s="251">
        <v>0.0</v>
      </c>
      <c r="J1774" s="251"/>
      <c r="K1774" s="252"/>
    </row>
    <row r="1775" ht="27.75" customHeight="1">
      <c r="A1775" s="247"/>
      <c r="B1775" s="248"/>
      <c r="C1775" s="249"/>
      <c r="D1775" s="248"/>
      <c r="E1775" s="250"/>
      <c r="F1775" s="248"/>
      <c r="G1775" s="56"/>
      <c r="H1775" s="251">
        <v>0.0</v>
      </c>
      <c r="I1775" s="251">
        <v>0.0</v>
      </c>
      <c r="J1775" s="251"/>
      <c r="K1775" s="252"/>
    </row>
    <row r="1776" ht="27.75" customHeight="1">
      <c r="A1776" s="247"/>
      <c r="B1776" s="248"/>
      <c r="C1776" s="249"/>
      <c r="D1776" s="248"/>
      <c r="E1776" s="250"/>
      <c r="F1776" s="248"/>
      <c r="G1776" s="56"/>
      <c r="H1776" s="251">
        <v>0.0</v>
      </c>
      <c r="I1776" s="251">
        <v>0.0</v>
      </c>
      <c r="J1776" s="251"/>
      <c r="K1776" s="252"/>
    </row>
    <row r="1777" ht="27.75" customHeight="1">
      <c r="A1777" s="247"/>
      <c r="B1777" s="248"/>
      <c r="C1777" s="249"/>
      <c r="D1777" s="248"/>
      <c r="E1777" s="250"/>
      <c r="F1777" s="248"/>
      <c r="G1777" s="56"/>
      <c r="H1777" s="251">
        <v>0.0</v>
      </c>
      <c r="I1777" s="251">
        <v>0.0</v>
      </c>
      <c r="J1777" s="251"/>
      <c r="K1777" s="252"/>
    </row>
    <row r="1778" ht="27.75" customHeight="1">
      <c r="A1778" s="247"/>
      <c r="B1778" s="248"/>
      <c r="C1778" s="249"/>
      <c r="D1778" s="248"/>
      <c r="E1778" s="250"/>
      <c r="F1778" s="248"/>
      <c r="G1778" s="56"/>
      <c r="H1778" s="251">
        <v>0.0</v>
      </c>
      <c r="I1778" s="251">
        <v>0.0</v>
      </c>
      <c r="J1778" s="251"/>
      <c r="K1778" s="252"/>
    </row>
    <row r="1779" ht="27.75" customHeight="1">
      <c r="A1779" s="247"/>
      <c r="B1779" s="248"/>
      <c r="C1779" s="249"/>
      <c r="D1779" s="248"/>
      <c r="E1779" s="250"/>
      <c r="F1779" s="248"/>
      <c r="G1779" s="56"/>
      <c r="H1779" s="251">
        <v>0.0</v>
      </c>
      <c r="I1779" s="251">
        <v>0.0</v>
      </c>
      <c r="J1779" s="251"/>
      <c r="K1779" s="252"/>
    </row>
    <row r="1780" ht="27.75" customHeight="1">
      <c r="A1780" s="247"/>
      <c r="B1780" s="248"/>
      <c r="C1780" s="249"/>
      <c r="D1780" s="248"/>
      <c r="E1780" s="250"/>
      <c r="F1780" s="248"/>
      <c r="G1780" s="56"/>
      <c r="H1780" s="251">
        <v>0.0</v>
      </c>
      <c r="I1780" s="251">
        <v>0.0</v>
      </c>
      <c r="J1780" s="251"/>
      <c r="K1780" s="252"/>
    </row>
    <row r="1781" ht="27.75" customHeight="1">
      <c r="A1781" s="247"/>
      <c r="B1781" s="248"/>
      <c r="C1781" s="249"/>
      <c r="D1781" s="248"/>
      <c r="E1781" s="250"/>
      <c r="F1781" s="248"/>
      <c r="G1781" s="56"/>
      <c r="H1781" s="251">
        <v>0.0</v>
      </c>
      <c r="I1781" s="251">
        <v>0.0</v>
      </c>
      <c r="J1781" s="251"/>
      <c r="K1781" s="252"/>
    </row>
    <row r="1782" ht="27.75" customHeight="1">
      <c r="A1782" s="247"/>
      <c r="B1782" s="248"/>
      <c r="C1782" s="249"/>
      <c r="D1782" s="248"/>
      <c r="E1782" s="250"/>
      <c r="F1782" s="248"/>
      <c r="G1782" s="56"/>
      <c r="H1782" s="251">
        <v>0.0</v>
      </c>
      <c r="I1782" s="251">
        <v>0.0</v>
      </c>
      <c r="J1782" s="251"/>
      <c r="K1782" s="252"/>
    </row>
    <row r="1783" ht="27.75" customHeight="1">
      <c r="A1783" s="247"/>
      <c r="B1783" s="248"/>
      <c r="C1783" s="249"/>
      <c r="D1783" s="248"/>
      <c r="E1783" s="250"/>
      <c r="F1783" s="248"/>
      <c r="G1783" s="56"/>
      <c r="H1783" s="251">
        <v>0.0</v>
      </c>
      <c r="I1783" s="251">
        <v>0.0</v>
      </c>
      <c r="J1783" s="251"/>
      <c r="K1783" s="252"/>
    </row>
    <row r="1784" ht="27.75" customHeight="1">
      <c r="A1784" s="247"/>
      <c r="B1784" s="248"/>
      <c r="C1784" s="249"/>
      <c r="D1784" s="248"/>
      <c r="E1784" s="250"/>
      <c r="F1784" s="248"/>
      <c r="G1784" s="56"/>
      <c r="H1784" s="251">
        <v>0.0</v>
      </c>
      <c r="I1784" s="251">
        <v>0.0</v>
      </c>
      <c r="J1784" s="251"/>
      <c r="K1784" s="252"/>
    </row>
    <row r="1785" ht="27.75" customHeight="1">
      <c r="A1785" s="247"/>
      <c r="B1785" s="248"/>
      <c r="C1785" s="249"/>
      <c r="D1785" s="248"/>
      <c r="E1785" s="250"/>
      <c r="F1785" s="248"/>
      <c r="G1785" s="56"/>
      <c r="H1785" s="251">
        <v>0.0</v>
      </c>
      <c r="I1785" s="251">
        <v>0.0</v>
      </c>
      <c r="J1785" s="251"/>
      <c r="K1785" s="252"/>
    </row>
    <row r="1786" ht="27.75" customHeight="1">
      <c r="A1786" s="247"/>
      <c r="B1786" s="248"/>
      <c r="C1786" s="249"/>
      <c r="D1786" s="248"/>
      <c r="E1786" s="250"/>
      <c r="F1786" s="248"/>
      <c r="G1786" s="56"/>
      <c r="H1786" s="251">
        <v>0.0</v>
      </c>
      <c r="I1786" s="251">
        <v>0.0</v>
      </c>
      <c r="J1786" s="251"/>
      <c r="K1786" s="252"/>
    </row>
    <row r="1787" ht="27.75" customHeight="1">
      <c r="A1787" s="247"/>
      <c r="B1787" s="248"/>
      <c r="C1787" s="249"/>
      <c r="D1787" s="248"/>
      <c r="E1787" s="250"/>
      <c r="F1787" s="248"/>
      <c r="G1787" s="56"/>
      <c r="H1787" s="251">
        <v>0.0</v>
      </c>
      <c r="I1787" s="251">
        <v>0.0</v>
      </c>
      <c r="J1787" s="251"/>
      <c r="K1787" s="252"/>
    </row>
    <row r="1788" ht="27.75" customHeight="1">
      <c r="A1788" s="247"/>
      <c r="B1788" s="248"/>
      <c r="C1788" s="249"/>
      <c r="D1788" s="248"/>
      <c r="E1788" s="250"/>
      <c r="F1788" s="248"/>
      <c r="G1788" s="56"/>
      <c r="H1788" s="251">
        <v>0.0</v>
      </c>
      <c r="I1788" s="251">
        <v>0.0</v>
      </c>
      <c r="J1788" s="251"/>
      <c r="K1788" s="252"/>
    </row>
    <row r="1789" ht="27.75" customHeight="1">
      <c r="A1789" s="247"/>
      <c r="B1789" s="248"/>
      <c r="C1789" s="249"/>
      <c r="D1789" s="248"/>
      <c r="E1789" s="250"/>
      <c r="F1789" s="248"/>
      <c r="G1789" s="56"/>
      <c r="H1789" s="251">
        <v>0.0</v>
      </c>
      <c r="I1789" s="251">
        <v>0.0</v>
      </c>
      <c r="J1789" s="251"/>
      <c r="K1789" s="252"/>
    </row>
    <row r="1790" ht="27.75" customHeight="1">
      <c r="A1790" s="247"/>
      <c r="B1790" s="248"/>
      <c r="C1790" s="249"/>
      <c r="D1790" s="248"/>
      <c r="E1790" s="250"/>
      <c r="F1790" s="248"/>
      <c r="G1790" s="56"/>
      <c r="H1790" s="251">
        <v>0.0</v>
      </c>
      <c r="I1790" s="251">
        <v>0.0</v>
      </c>
      <c r="J1790" s="251"/>
      <c r="K1790" s="252"/>
    </row>
    <row r="1791" ht="27.75" customHeight="1">
      <c r="A1791" s="247"/>
      <c r="B1791" s="248"/>
      <c r="C1791" s="249"/>
      <c r="D1791" s="248"/>
      <c r="E1791" s="250"/>
      <c r="F1791" s="248"/>
      <c r="G1791" s="56"/>
      <c r="H1791" s="251">
        <v>0.0</v>
      </c>
      <c r="I1791" s="251">
        <v>0.0</v>
      </c>
      <c r="J1791" s="251"/>
      <c r="K1791" s="252"/>
    </row>
    <row r="1792" ht="27.75" customHeight="1">
      <c r="A1792" s="247"/>
      <c r="B1792" s="248"/>
      <c r="C1792" s="249"/>
      <c r="D1792" s="248"/>
      <c r="E1792" s="250"/>
      <c r="F1792" s="248"/>
      <c r="G1792" s="56"/>
      <c r="H1792" s="251">
        <v>0.0</v>
      </c>
      <c r="I1792" s="251">
        <v>0.0</v>
      </c>
      <c r="J1792" s="251"/>
      <c r="K1792" s="252"/>
    </row>
    <row r="1793" ht="27.75" customHeight="1">
      <c r="A1793" s="247"/>
      <c r="B1793" s="248"/>
      <c r="C1793" s="249"/>
      <c r="D1793" s="248"/>
      <c r="E1793" s="250"/>
      <c r="F1793" s="248"/>
      <c r="G1793" s="56"/>
      <c r="H1793" s="251">
        <v>0.0</v>
      </c>
      <c r="I1793" s="251">
        <v>0.0</v>
      </c>
      <c r="J1793" s="251"/>
      <c r="K1793" s="252"/>
    </row>
    <row r="1794" ht="27.75" customHeight="1">
      <c r="A1794" s="247"/>
      <c r="B1794" s="248"/>
      <c r="C1794" s="249"/>
      <c r="D1794" s="248"/>
      <c r="E1794" s="250"/>
      <c r="F1794" s="248"/>
      <c r="G1794" s="56"/>
      <c r="H1794" s="251">
        <v>0.0</v>
      </c>
      <c r="I1794" s="251">
        <v>0.0</v>
      </c>
      <c r="J1794" s="251"/>
      <c r="K1794" s="252"/>
    </row>
    <row r="1795" ht="27.75" customHeight="1">
      <c r="A1795" s="247"/>
      <c r="B1795" s="248"/>
      <c r="C1795" s="249"/>
      <c r="D1795" s="248"/>
      <c r="E1795" s="250"/>
      <c r="F1795" s="248"/>
      <c r="G1795" s="56"/>
      <c r="H1795" s="251">
        <v>0.0</v>
      </c>
      <c r="I1795" s="251">
        <v>0.0</v>
      </c>
      <c r="J1795" s="251"/>
      <c r="K1795" s="252"/>
    </row>
    <row r="1796" ht="27.75" customHeight="1">
      <c r="A1796" s="247"/>
      <c r="B1796" s="248"/>
      <c r="C1796" s="249"/>
      <c r="D1796" s="248"/>
      <c r="E1796" s="250"/>
      <c r="F1796" s="248"/>
      <c r="G1796" s="56"/>
      <c r="H1796" s="251">
        <v>0.0</v>
      </c>
      <c r="I1796" s="251">
        <v>0.0</v>
      </c>
      <c r="J1796" s="251"/>
      <c r="K1796" s="252"/>
    </row>
    <row r="1797" ht="27.75" customHeight="1">
      <c r="A1797" s="247"/>
      <c r="B1797" s="248"/>
      <c r="C1797" s="249"/>
      <c r="D1797" s="248"/>
      <c r="E1797" s="250"/>
      <c r="F1797" s="248"/>
      <c r="G1797" s="56"/>
      <c r="H1797" s="251">
        <v>0.0</v>
      </c>
      <c r="I1797" s="251">
        <v>0.0</v>
      </c>
      <c r="J1797" s="251"/>
      <c r="K1797" s="252"/>
    </row>
    <row r="1798" ht="27.75" customHeight="1">
      <c r="A1798" s="247"/>
      <c r="B1798" s="248"/>
      <c r="C1798" s="249"/>
      <c r="D1798" s="248"/>
      <c r="E1798" s="250"/>
      <c r="F1798" s="248"/>
      <c r="G1798" s="56"/>
      <c r="H1798" s="251">
        <v>0.0</v>
      </c>
      <c r="I1798" s="251">
        <v>0.0</v>
      </c>
      <c r="J1798" s="251"/>
      <c r="K1798" s="252"/>
    </row>
    <row r="1799" ht="27.75" customHeight="1">
      <c r="A1799" s="247"/>
      <c r="B1799" s="248"/>
      <c r="C1799" s="249"/>
      <c r="D1799" s="248"/>
      <c r="E1799" s="250"/>
      <c r="F1799" s="248"/>
      <c r="G1799" s="56"/>
      <c r="H1799" s="251">
        <v>0.0</v>
      </c>
      <c r="I1799" s="251">
        <v>0.0</v>
      </c>
      <c r="J1799" s="251"/>
      <c r="K1799" s="252"/>
    </row>
    <row r="1800" ht="27.75" customHeight="1">
      <c r="A1800" s="247"/>
      <c r="B1800" s="248"/>
      <c r="C1800" s="249"/>
      <c r="D1800" s="248"/>
      <c r="E1800" s="250"/>
      <c r="F1800" s="248"/>
      <c r="G1800" s="56"/>
      <c r="H1800" s="251">
        <v>0.0</v>
      </c>
      <c r="I1800" s="251">
        <v>0.0</v>
      </c>
      <c r="J1800" s="251"/>
      <c r="K1800" s="252"/>
    </row>
    <row r="1801" ht="27.75" customHeight="1">
      <c r="A1801" s="247"/>
      <c r="B1801" s="248"/>
      <c r="C1801" s="249"/>
      <c r="D1801" s="248"/>
      <c r="E1801" s="250"/>
      <c r="F1801" s="248"/>
      <c r="G1801" s="56"/>
      <c r="H1801" s="251">
        <v>0.0</v>
      </c>
      <c r="I1801" s="251">
        <v>0.0</v>
      </c>
      <c r="J1801" s="251"/>
      <c r="K1801" s="252"/>
    </row>
    <row r="1802" ht="27.75" customHeight="1">
      <c r="A1802" s="247"/>
      <c r="B1802" s="248"/>
      <c r="C1802" s="249"/>
      <c r="D1802" s="248"/>
      <c r="E1802" s="250"/>
      <c r="F1802" s="248"/>
      <c r="G1802" s="56"/>
      <c r="H1802" s="251">
        <v>0.0</v>
      </c>
      <c r="I1802" s="251">
        <v>0.0</v>
      </c>
      <c r="J1802" s="251"/>
      <c r="K1802" s="252"/>
    </row>
    <row r="1803" ht="27.75" customHeight="1">
      <c r="A1803" s="247"/>
      <c r="B1803" s="248"/>
      <c r="C1803" s="249"/>
      <c r="D1803" s="248"/>
      <c r="E1803" s="250"/>
      <c r="F1803" s="248"/>
      <c r="G1803" s="56"/>
      <c r="H1803" s="251">
        <v>0.0</v>
      </c>
      <c r="I1803" s="251">
        <v>0.0</v>
      </c>
      <c r="J1803" s="251"/>
      <c r="K1803" s="252"/>
    </row>
    <row r="1804" ht="27.75" customHeight="1">
      <c r="A1804" s="247"/>
      <c r="B1804" s="248"/>
      <c r="C1804" s="249"/>
      <c r="D1804" s="248"/>
      <c r="E1804" s="250"/>
      <c r="F1804" s="248"/>
      <c r="G1804" s="56"/>
      <c r="H1804" s="251">
        <v>0.0</v>
      </c>
      <c r="I1804" s="251">
        <v>0.0</v>
      </c>
      <c r="J1804" s="251"/>
      <c r="K1804" s="252"/>
    </row>
    <row r="1805" ht="27.75" customHeight="1">
      <c r="A1805" s="247"/>
      <c r="B1805" s="248"/>
      <c r="C1805" s="249"/>
      <c r="D1805" s="248"/>
      <c r="E1805" s="250"/>
      <c r="F1805" s="248"/>
      <c r="G1805" s="56"/>
      <c r="H1805" s="251">
        <v>0.0</v>
      </c>
      <c r="I1805" s="251">
        <v>0.0</v>
      </c>
      <c r="J1805" s="251"/>
      <c r="K1805" s="252"/>
    </row>
    <row r="1806" ht="27.75" customHeight="1">
      <c r="A1806" s="247"/>
      <c r="B1806" s="248"/>
      <c r="C1806" s="249"/>
      <c r="D1806" s="248"/>
      <c r="E1806" s="250"/>
      <c r="F1806" s="248"/>
      <c r="G1806" s="56"/>
      <c r="H1806" s="251">
        <v>0.0</v>
      </c>
      <c r="I1806" s="251">
        <v>0.0</v>
      </c>
      <c r="J1806" s="251"/>
      <c r="K1806" s="252"/>
    </row>
    <row r="1807" ht="27.75" customHeight="1">
      <c r="A1807" s="247"/>
      <c r="B1807" s="248"/>
      <c r="C1807" s="249"/>
      <c r="D1807" s="248"/>
      <c r="E1807" s="250"/>
      <c r="F1807" s="248"/>
      <c r="G1807" s="56"/>
      <c r="H1807" s="251">
        <v>0.0</v>
      </c>
      <c r="I1807" s="251">
        <v>0.0</v>
      </c>
      <c r="J1807" s="251"/>
      <c r="K1807" s="252"/>
    </row>
    <row r="1808" ht="27.75" customHeight="1">
      <c r="A1808" s="247"/>
      <c r="B1808" s="248"/>
      <c r="C1808" s="249"/>
      <c r="D1808" s="248"/>
      <c r="E1808" s="250"/>
      <c r="F1808" s="248"/>
      <c r="G1808" s="56"/>
      <c r="H1808" s="251">
        <v>0.0</v>
      </c>
      <c r="I1808" s="251">
        <v>0.0</v>
      </c>
      <c r="J1808" s="251"/>
      <c r="K1808" s="252"/>
    </row>
    <row r="1809" ht="27.75" customHeight="1">
      <c r="A1809" s="247"/>
      <c r="B1809" s="248"/>
      <c r="C1809" s="249"/>
      <c r="D1809" s="248"/>
      <c r="E1809" s="250"/>
      <c r="F1809" s="248"/>
      <c r="G1809" s="56"/>
      <c r="H1809" s="251">
        <v>0.0</v>
      </c>
      <c r="I1809" s="251">
        <v>0.0</v>
      </c>
      <c r="J1809" s="251"/>
      <c r="K1809" s="252"/>
    </row>
    <row r="1810" ht="27.75" customHeight="1">
      <c r="A1810" s="247"/>
      <c r="B1810" s="248"/>
      <c r="C1810" s="249"/>
      <c r="D1810" s="248"/>
      <c r="E1810" s="250"/>
      <c r="F1810" s="248"/>
      <c r="G1810" s="56"/>
      <c r="H1810" s="251">
        <v>0.0</v>
      </c>
      <c r="I1810" s="251">
        <v>0.0</v>
      </c>
      <c r="J1810" s="251"/>
      <c r="K1810" s="252"/>
    </row>
    <row r="1811" ht="27.75" customHeight="1">
      <c r="A1811" s="247"/>
      <c r="B1811" s="248"/>
      <c r="C1811" s="249"/>
      <c r="D1811" s="248"/>
      <c r="E1811" s="250"/>
      <c r="F1811" s="248"/>
      <c r="G1811" s="56"/>
      <c r="H1811" s="251">
        <v>0.0</v>
      </c>
      <c r="I1811" s="251">
        <v>0.0</v>
      </c>
      <c r="J1811" s="251"/>
      <c r="K1811" s="252"/>
    </row>
    <row r="1812" ht="27.75" customHeight="1">
      <c r="A1812" s="247"/>
      <c r="B1812" s="248"/>
      <c r="C1812" s="249"/>
      <c r="D1812" s="248"/>
      <c r="E1812" s="250"/>
      <c r="F1812" s="248"/>
      <c r="G1812" s="56"/>
      <c r="H1812" s="251">
        <v>0.0</v>
      </c>
      <c r="I1812" s="251">
        <v>0.0</v>
      </c>
      <c r="J1812" s="251"/>
      <c r="K1812" s="252"/>
    </row>
    <row r="1813" ht="27.75" customHeight="1">
      <c r="A1813" s="247"/>
      <c r="B1813" s="248"/>
      <c r="C1813" s="249"/>
      <c r="D1813" s="248"/>
      <c r="E1813" s="250"/>
      <c r="F1813" s="248"/>
      <c r="G1813" s="56"/>
      <c r="H1813" s="251">
        <v>0.0</v>
      </c>
      <c r="I1813" s="251">
        <v>0.0</v>
      </c>
      <c r="J1813" s="251"/>
      <c r="K1813" s="252"/>
    </row>
    <row r="1814" ht="27.75" customHeight="1">
      <c r="A1814" s="247"/>
      <c r="B1814" s="248"/>
      <c r="C1814" s="249"/>
      <c r="D1814" s="248"/>
      <c r="E1814" s="250"/>
      <c r="F1814" s="248"/>
      <c r="G1814" s="56"/>
      <c r="H1814" s="251">
        <v>0.0</v>
      </c>
      <c r="I1814" s="251">
        <v>0.0</v>
      </c>
      <c r="J1814" s="251"/>
      <c r="K1814" s="252"/>
    </row>
    <row r="1815" ht="27.75" customHeight="1">
      <c r="A1815" s="247"/>
      <c r="B1815" s="248"/>
      <c r="C1815" s="249"/>
      <c r="D1815" s="248"/>
      <c r="E1815" s="250"/>
      <c r="F1815" s="248"/>
      <c r="G1815" s="56"/>
      <c r="H1815" s="251">
        <v>0.0</v>
      </c>
      <c r="I1815" s="251">
        <v>0.0</v>
      </c>
      <c r="J1815" s="251"/>
      <c r="K1815" s="252"/>
    </row>
    <row r="1816" ht="27.75" customHeight="1">
      <c r="A1816" s="247"/>
      <c r="B1816" s="248"/>
      <c r="C1816" s="249"/>
      <c r="D1816" s="248"/>
      <c r="E1816" s="250"/>
      <c r="F1816" s="248"/>
      <c r="G1816" s="56"/>
      <c r="H1816" s="251">
        <v>0.0</v>
      </c>
      <c r="I1816" s="251">
        <v>0.0</v>
      </c>
      <c r="J1816" s="251"/>
      <c r="K1816" s="252"/>
    </row>
    <row r="1817" ht="27.75" customHeight="1">
      <c r="A1817" s="247"/>
      <c r="B1817" s="248"/>
      <c r="C1817" s="249"/>
      <c r="D1817" s="248"/>
      <c r="E1817" s="250"/>
      <c r="F1817" s="248"/>
      <c r="G1817" s="56"/>
      <c r="H1817" s="251">
        <v>0.0</v>
      </c>
      <c r="I1817" s="251">
        <v>0.0</v>
      </c>
      <c r="J1817" s="251"/>
      <c r="K1817" s="252"/>
    </row>
    <row r="1818" ht="27.75" customHeight="1">
      <c r="A1818" s="247"/>
      <c r="B1818" s="248"/>
      <c r="C1818" s="249"/>
      <c r="D1818" s="248"/>
      <c r="E1818" s="250"/>
      <c r="F1818" s="248"/>
      <c r="G1818" s="56"/>
      <c r="H1818" s="251">
        <v>0.0</v>
      </c>
      <c r="I1818" s="251">
        <v>0.0</v>
      </c>
      <c r="J1818" s="251"/>
      <c r="K1818" s="252"/>
    </row>
    <row r="1819" ht="27.75" customHeight="1">
      <c r="A1819" s="247"/>
      <c r="B1819" s="248"/>
      <c r="C1819" s="249"/>
      <c r="D1819" s="248"/>
      <c r="E1819" s="250"/>
      <c r="F1819" s="248"/>
      <c r="G1819" s="56"/>
      <c r="H1819" s="251">
        <v>0.0</v>
      </c>
      <c r="I1819" s="251">
        <v>0.0</v>
      </c>
      <c r="J1819" s="251"/>
      <c r="K1819" s="252"/>
    </row>
    <row r="1820" ht="27.75" customHeight="1">
      <c r="A1820" s="247"/>
      <c r="B1820" s="248"/>
      <c r="C1820" s="249"/>
      <c r="D1820" s="248"/>
      <c r="E1820" s="250"/>
      <c r="F1820" s="248"/>
      <c r="G1820" s="56"/>
      <c r="H1820" s="251">
        <v>0.0</v>
      </c>
      <c r="I1820" s="251">
        <v>0.0</v>
      </c>
      <c r="J1820" s="251"/>
      <c r="K1820" s="252"/>
    </row>
    <row r="1821" ht="27.75" customHeight="1">
      <c r="A1821" s="247"/>
      <c r="B1821" s="248"/>
      <c r="C1821" s="249"/>
      <c r="D1821" s="248"/>
      <c r="E1821" s="250"/>
      <c r="F1821" s="248"/>
      <c r="G1821" s="56"/>
      <c r="H1821" s="251">
        <v>0.0</v>
      </c>
      <c r="I1821" s="251">
        <v>0.0</v>
      </c>
      <c r="J1821" s="251"/>
      <c r="K1821" s="252"/>
    </row>
    <row r="1822" ht="27.75" customHeight="1">
      <c r="A1822" s="247"/>
      <c r="B1822" s="248"/>
      <c r="C1822" s="249"/>
      <c r="D1822" s="248"/>
      <c r="E1822" s="250"/>
      <c r="F1822" s="248"/>
      <c r="G1822" s="56"/>
      <c r="H1822" s="251">
        <v>0.0</v>
      </c>
      <c r="I1822" s="251">
        <v>0.0</v>
      </c>
      <c r="J1822" s="251"/>
      <c r="K1822" s="252"/>
    </row>
    <row r="1823" ht="27.75" customHeight="1">
      <c r="A1823" s="247"/>
      <c r="B1823" s="248"/>
      <c r="C1823" s="249"/>
      <c r="D1823" s="248"/>
      <c r="E1823" s="250"/>
      <c r="F1823" s="248"/>
      <c r="G1823" s="56"/>
      <c r="H1823" s="251">
        <v>0.0</v>
      </c>
      <c r="I1823" s="251">
        <v>0.0</v>
      </c>
      <c r="J1823" s="251"/>
      <c r="K1823" s="252"/>
    </row>
    <row r="1824" ht="27.75" customHeight="1">
      <c r="A1824" s="247"/>
      <c r="B1824" s="248"/>
      <c r="C1824" s="249"/>
      <c r="D1824" s="248"/>
      <c r="E1824" s="250"/>
      <c r="F1824" s="248"/>
      <c r="G1824" s="56"/>
      <c r="H1824" s="251">
        <v>0.0</v>
      </c>
      <c r="I1824" s="251">
        <v>0.0</v>
      </c>
      <c r="J1824" s="251"/>
      <c r="K1824" s="252"/>
    </row>
    <row r="1825" ht="27.75" customHeight="1">
      <c r="A1825" s="247"/>
      <c r="B1825" s="248"/>
      <c r="C1825" s="249"/>
      <c r="D1825" s="248"/>
      <c r="E1825" s="250"/>
      <c r="F1825" s="248"/>
      <c r="G1825" s="56"/>
      <c r="H1825" s="251">
        <v>0.0</v>
      </c>
      <c r="I1825" s="251">
        <v>0.0</v>
      </c>
      <c r="J1825" s="251"/>
      <c r="K1825" s="252"/>
    </row>
    <row r="1826" ht="27.75" customHeight="1">
      <c r="A1826" s="247"/>
      <c r="B1826" s="248"/>
      <c r="C1826" s="249"/>
      <c r="D1826" s="248"/>
      <c r="E1826" s="250"/>
      <c r="F1826" s="248"/>
      <c r="G1826" s="56"/>
      <c r="H1826" s="251">
        <v>0.0</v>
      </c>
      <c r="I1826" s="251">
        <v>0.0</v>
      </c>
      <c r="J1826" s="251"/>
      <c r="K1826" s="252"/>
    </row>
    <row r="1827" ht="27.75" customHeight="1">
      <c r="A1827" s="247"/>
      <c r="B1827" s="248"/>
      <c r="C1827" s="249"/>
      <c r="D1827" s="248"/>
      <c r="E1827" s="250"/>
      <c r="F1827" s="248"/>
      <c r="G1827" s="56"/>
      <c r="H1827" s="251">
        <v>0.0</v>
      </c>
      <c r="I1827" s="251">
        <v>0.0</v>
      </c>
      <c r="J1827" s="251"/>
      <c r="K1827" s="252"/>
    </row>
    <row r="1828" ht="27.75" customHeight="1">
      <c r="A1828" s="247"/>
      <c r="B1828" s="248"/>
      <c r="C1828" s="249"/>
      <c r="D1828" s="248"/>
      <c r="E1828" s="250"/>
      <c r="F1828" s="248"/>
      <c r="G1828" s="56"/>
      <c r="H1828" s="251">
        <v>0.0</v>
      </c>
      <c r="I1828" s="251">
        <v>0.0</v>
      </c>
      <c r="J1828" s="251"/>
      <c r="K1828" s="252"/>
    </row>
    <row r="1829" ht="27.75" customHeight="1">
      <c r="A1829" s="247"/>
      <c r="B1829" s="248"/>
      <c r="C1829" s="249"/>
      <c r="D1829" s="248"/>
      <c r="E1829" s="250"/>
      <c r="F1829" s="248"/>
      <c r="G1829" s="56"/>
      <c r="H1829" s="251">
        <v>0.0</v>
      </c>
      <c r="I1829" s="251">
        <v>0.0</v>
      </c>
      <c r="J1829" s="251"/>
      <c r="K1829" s="252"/>
    </row>
    <row r="1830" ht="27.75" customHeight="1">
      <c r="A1830" s="247"/>
      <c r="B1830" s="248"/>
      <c r="C1830" s="249"/>
      <c r="D1830" s="248"/>
      <c r="E1830" s="250"/>
      <c r="F1830" s="248"/>
      <c r="G1830" s="56"/>
      <c r="H1830" s="251">
        <v>0.0</v>
      </c>
      <c r="I1830" s="251">
        <v>0.0</v>
      </c>
      <c r="J1830" s="251"/>
      <c r="K1830" s="252"/>
    </row>
    <row r="1831" ht="27.75" customHeight="1">
      <c r="A1831" s="247"/>
      <c r="B1831" s="248"/>
      <c r="C1831" s="249"/>
      <c r="D1831" s="248"/>
      <c r="E1831" s="250"/>
      <c r="F1831" s="248"/>
      <c r="G1831" s="56"/>
      <c r="H1831" s="251">
        <v>0.0</v>
      </c>
      <c r="I1831" s="251">
        <v>0.0</v>
      </c>
      <c r="J1831" s="251"/>
      <c r="K1831" s="252"/>
    </row>
    <row r="1832" ht="27.75" customHeight="1">
      <c r="A1832" s="247"/>
      <c r="B1832" s="248"/>
      <c r="C1832" s="249"/>
      <c r="D1832" s="248"/>
      <c r="E1832" s="250"/>
      <c r="F1832" s="248"/>
      <c r="G1832" s="56"/>
      <c r="H1832" s="251">
        <v>0.0</v>
      </c>
      <c r="I1832" s="251">
        <v>0.0</v>
      </c>
      <c r="J1832" s="251"/>
      <c r="K1832" s="252"/>
    </row>
    <row r="1833" ht="27.75" customHeight="1">
      <c r="A1833" s="247"/>
      <c r="B1833" s="248"/>
      <c r="C1833" s="249"/>
      <c r="D1833" s="248"/>
      <c r="E1833" s="250"/>
      <c r="F1833" s="248"/>
      <c r="G1833" s="56"/>
      <c r="H1833" s="251">
        <v>0.0</v>
      </c>
      <c r="I1833" s="251">
        <v>0.0</v>
      </c>
      <c r="J1833" s="251"/>
      <c r="K1833" s="252"/>
    </row>
    <row r="1834" ht="27.75" customHeight="1">
      <c r="A1834" s="247"/>
      <c r="B1834" s="248"/>
      <c r="C1834" s="249"/>
      <c r="D1834" s="248"/>
      <c r="E1834" s="250"/>
      <c r="F1834" s="248"/>
      <c r="G1834" s="56"/>
      <c r="H1834" s="251">
        <v>0.0</v>
      </c>
      <c r="I1834" s="251">
        <v>0.0</v>
      </c>
      <c r="J1834" s="251"/>
      <c r="K1834" s="252"/>
    </row>
    <row r="1835" ht="27.75" customHeight="1">
      <c r="A1835" s="247"/>
      <c r="B1835" s="248"/>
      <c r="C1835" s="249"/>
      <c r="D1835" s="248"/>
      <c r="E1835" s="250"/>
      <c r="F1835" s="248"/>
      <c r="G1835" s="56"/>
      <c r="H1835" s="251">
        <v>0.0</v>
      </c>
      <c r="I1835" s="251">
        <v>0.0</v>
      </c>
      <c r="J1835" s="251"/>
      <c r="K1835" s="252"/>
    </row>
    <row r="1836" ht="27.75" customHeight="1">
      <c r="A1836" s="247"/>
      <c r="B1836" s="248"/>
      <c r="C1836" s="249"/>
      <c r="D1836" s="248"/>
      <c r="E1836" s="250"/>
      <c r="F1836" s="248"/>
      <c r="G1836" s="56"/>
      <c r="H1836" s="251">
        <v>0.0</v>
      </c>
      <c r="I1836" s="251">
        <v>0.0</v>
      </c>
      <c r="J1836" s="251"/>
      <c r="K1836" s="252"/>
    </row>
    <row r="1837" ht="27.75" customHeight="1">
      <c r="A1837" s="247"/>
      <c r="B1837" s="248"/>
      <c r="C1837" s="249"/>
      <c r="D1837" s="248"/>
      <c r="E1837" s="250"/>
      <c r="F1837" s="248"/>
      <c r="G1837" s="56"/>
      <c r="H1837" s="251">
        <v>0.0</v>
      </c>
      <c r="I1837" s="251">
        <v>0.0</v>
      </c>
      <c r="J1837" s="251"/>
      <c r="K1837" s="252"/>
    </row>
    <row r="1838" ht="27.75" customHeight="1">
      <c r="A1838" s="247"/>
      <c r="B1838" s="248"/>
      <c r="C1838" s="249"/>
      <c r="D1838" s="248"/>
      <c r="E1838" s="250"/>
      <c r="F1838" s="248"/>
      <c r="G1838" s="56"/>
      <c r="H1838" s="251">
        <v>0.0</v>
      </c>
      <c r="I1838" s="251">
        <v>0.0</v>
      </c>
      <c r="J1838" s="251"/>
      <c r="K1838" s="252"/>
    </row>
    <row r="1839" ht="27.75" customHeight="1">
      <c r="A1839" s="247"/>
      <c r="B1839" s="248"/>
      <c r="C1839" s="249"/>
      <c r="D1839" s="248"/>
      <c r="E1839" s="250"/>
      <c r="F1839" s="248"/>
      <c r="G1839" s="56"/>
      <c r="H1839" s="251">
        <v>0.0</v>
      </c>
      <c r="I1839" s="251">
        <v>0.0</v>
      </c>
      <c r="J1839" s="251"/>
      <c r="K1839" s="252"/>
    </row>
    <row r="1840" ht="27.75" customHeight="1">
      <c r="A1840" s="247"/>
      <c r="B1840" s="248"/>
      <c r="C1840" s="249"/>
      <c r="D1840" s="248"/>
      <c r="E1840" s="250"/>
      <c r="F1840" s="248"/>
      <c r="G1840" s="56"/>
      <c r="H1840" s="251">
        <v>0.0</v>
      </c>
      <c r="I1840" s="251">
        <v>0.0</v>
      </c>
      <c r="J1840" s="251"/>
      <c r="K1840" s="252"/>
    </row>
    <row r="1841" ht="27.75" customHeight="1">
      <c r="A1841" s="247"/>
      <c r="B1841" s="248"/>
      <c r="C1841" s="249"/>
      <c r="D1841" s="248"/>
      <c r="E1841" s="250"/>
      <c r="F1841" s="248"/>
      <c r="G1841" s="56"/>
      <c r="H1841" s="251">
        <v>0.0</v>
      </c>
      <c r="I1841" s="251">
        <v>0.0</v>
      </c>
      <c r="J1841" s="251"/>
      <c r="K1841" s="252"/>
    </row>
    <row r="1842" ht="27.75" customHeight="1">
      <c r="A1842" s="247"/>
      <c r="B1842" s="248"/>
      <c r="C1842" s="249"/>
      <c r="D1842" s="248"/>
      <c r="E1842" s="250"/>
      <c r="F1842" s="248"/>
      <c r="G1842" s="56"/>
      <c r="H1842" s="251">
        <v>0.0</v>
      </c>
      <c r="I1842" s="251">
        <v>0.0</v>
      </c>
      <c r="J1842" s="251"/>
      <c r="K1842" s="252"/>
    </row>
    <row r="1843" ht="27.75" customHeight="1">
      <c r="A1843" s="247"/>
      <c r="B1843" s="248"/>
      <c r="C1843" s="249"/>
      <c r="D1843" s="248"/>
      <c r="E1843" s="250"/>
      <c r="F1843" s="248"/>
      <c r="G1843" s="56"/>
      <c r="H1843" s="251">
        <v>0.0</v>
      </c>
      <c r="I1843" s="251">
        <v>0.0</v>
      </c>
      <c r="J1843" s="251"/>
      <c r="K1843" s="252"/>
    </row>
    <row r="1844" ht="27.75" customHeight="1">
      <c r="A1844" s="247"/>
      <c r="B1844" s="248"/>
      <c r="C1844" s="249"/>
      <c r="D1844" s="248"/>
      <c r="E1844" s="250"/>
      <c r="F1844" s="248"/>
      <c r="G1844" s="56"/>
      <c r="H1844" s="251">
        <v>0.0</v>
      </c>
      <c r="I1844" s="251">
        <v>0.0</v>
      </c>
      <c r="J1844" s="251"/>
      <c r="K1844" s="252"/>
    </row>
    <row r="1845" ht="27.75" customHeight="1">
      <c r="A1845" s="247"/>
      <c r="B1845" s="248"/>
      <c r="C1845" s="249"/>
      <c r="D1845" s="248"/>
      <c r="E1845" s="250"/>
      <c r="F1845" s="248"/>
      <c r="G1845" s="56"/>
      <c r="H1845" s="251">
        <v>0.0</v>
      </c>
      <c r="I1845" s="251">
        <v>0.0</v>
      </c>
      <c r="J1845" s="251"/>
      <c r="K1845" s="252"/>
    </row>
    <row r="1846" ht="27.75" customHeight="1">
      <c r="A1846" s="247"/>
      <c r="B1846" s="248"/>
      <c r="C1846" s="249"/>
      <c r="D1846" s="248"/>
      <c r="E1846" s="250"/>
      <c r="F1846" s="248"/>
      <c r="G1846" s="56"/>
      <c r="H1846" s="251">
        <v>0.0</v>
      </c>
      <c r="I1846" s="251">
        <v>0.0</v>
      </c>
      <c r="J1846" s="251"/>
      <c r="K1846" s="252"/>
    </row>
    <row r="1847" ht="27.75" customHeight="1">
      <c r="A1847" s="247"/>
      <c r="B1847" s="248"/>
      <c r="C1847" s="249"/>
      <c r="D1847" s="248"/>
      <c r="E1847" s="250"/>
      <c r="F1847" s="248"/>
      <c r="G1847" s="56"/>
      <c r="H1847" s="251">
        <v>0.0</v>
      </c>
      <c r="I1847" s="251">
        <v>0.0</v>
      </c>
      <c r="J1847" s="251"/>
      <c r="K1847" s="252"/>
    </row>
    <row r="1848" ht="27.75" customHeight="1">
      <c r="A1848" s="247"/>
      <c r="B1848" s="248"/>
      <c r="C1848" s="249"/>
      <c r="D1848" s="248"/>
      <c r="E1848" s="250"/>
      <c r="F1848" s="248"/>
      <c r="G1848" s="56"/>
      <c r="H1848" s="251">
        <v>0.0</v>
      </c>
      <c r="I1848" s="251">
        <v>0.0</v>
      </c>
      <c r="J1848" s="251"/>
      <c r="K1848" s="252"/>
    </row>
    <row r="1849" ht="27.75" customHeight="1">
      <c r="A1849" s="247"/>
      <c r="B1849" s="248"/>
      <c r="C1849" s="249"/>
      <c r="D1849" s="248"/>
      <c r="E1849" s="250"/>
      <c r="F1849" s="248"/>
      <c r="G1849" s="56"/>
      <c r="H1849" s="251">
        <v>0.0</v>
      </c>
      <c r="I1849" s="251">
        <v>0.0</v>
      </c>
      <c r="J1849" s="251"/>
      <c r="K1849" s="252"/>
    </row>
    <row r="1850" ht="27.75" customHeight="1">
      <c r="A1850" s="247"/>
      <c r="B1850" s="248"/>
      <c r="C1850" s="249"/>
      <c r="D1850" s="248"/>
      <c r="E1850" s="250"/>
      <c r="F1850" s="248"/>
      <c r="G1850" s="56"/>
      <c r="H1850" s="251">
        <v>0.0</v>
      </c>
      <c r="I1850" s="251">
        <v>0.0</v>
      </c>
      <c r="J1850" s="251"/>
      <c r="K1850" s="252"/>
    </row>
    <row r="1851" ht="27.75" customHeight="1">
      <c r="A1851" s="247"/>
      <c r="B1851" s="248"/>
      <c r="C1851" s="249"/>
      <c r="D1851" s="248"/>
      <c r="E1851" s="250"/>
      <c r="F1851" s="248"/>
      <c r="G1851" s="56"/>
      <c r="H1851" s="251">
        <v>0.0</v>
      </c>
      <c r="I1851" s="251">
        <v>0.0</v>
      </c>
      <c r="J1851" s="251"/>
      <c r="K1851" s="252"/>
    </row>
    <row r="1852" ht="27.75" customHeight="1">
      <c r="A1852" s="247"/>
      <c r="B1852" s="248"/>
      <c r="C1852" s="249"/>
      <c r="D1852" s="248"/>
      <c r="E1852" s="250"/>
      <c r="F1852" s="248"/>
      <c r="G1852" s="56"/>
      <c r="H1852" s="251">
        <v>0.0</v>
      </c>
      <c r="I1852" s="251">
        <v>0.0</v>
      </c>
      <c r="J1852" s="251"/>
      <c r="K1852" s="252"/>
    </row>
    <row r="1853" ht="27.75" customHeight="1">
      <c r="A1853" s="247"/>
      <c r="B1853" s="248"/>
      <c r="C1853" s="249"/>
      <c r="D1853" s="248"/>
      <c r="E1853" s="250"/>
      <c r="F1853" s="248"/>
      <c r="G1853" s="56"/>
      <c r="H1853" s="251">
        <v>0.0</v>
      </c>
      <c r="I1853" s="251">
        <v>0.0</v>
      </c>
      <c r="J1853" s="251"/>
      <c r="K1853" s="252"/>
    </row>
    <row r="1854" ht="27.75" customHeight="1">
      <c r="A1854" s="247"/>
      <c r="B1854" s="248"/>
      <c r="C1854" s="249"/>
      <c r="D1854" s="248"/>
      <c r="E1854" s="250"/>
      <c r="F1854" s="248"/>
      <c r="G1854" s="56"/>
      <c r="H1854" s="251">
        <v>0.0</v>
      </c>
      <c r="I1854" s="251">
        <v>0.0</v>
      </c>
      <c r="J1854" s="251"/>
      <c r="K1854" s="252"/>
    </row>
    <row r="1855" ht="27.75" customHeight="1">
      <c r="A1855" s="247"/>
      <c r="B1855" s="248"/>
      <c r="C1855" s="249"/>
      <c r="D1855" s="248"/>
      <c r="E1855" s="250"/>
      <c r="F1855" s="248"/>
      <c r="G1855" s="56"/>
      <c r="H1855" s="251">
        <v>0.0</v>
      </c>
      <c r="I1855" s="251">
        <v>0.0</v>
      </c>
      <c r="J1855" s="251"/>
      <c r="K1855" s="252"/>
    </row>
    <row r="1856" ht="27.75" customHeight="1">
      <c r="A1856" s="247"/>
      <c r="B1856" s="248"/>
      <c r="C1856" s="249"/>
      <c r="D1856" s="248"/>
      <c r="E1856" s="250"/>
      <c r="F1856" s="248"/>
      <c r="G1856" s="56"/>
      <c r="H1856" s="251">
        <v>0.0</v>
      </c>
      <c r="I1856" s="251">
        <v>0.0</v>
      </c>
      <c r="J1856" s="251"/>
      <c r="K1856" s="252"/>
    </row>
    <row r="1857" ht="27.75" customHeight="1">
      <c r="A1857" s="247"/>
      <c r="B1857" s="248"/>
      <c r="C1857" s="249"/>
      <c r="D1857" s="248"/>
      <c r="E1857" s="250"/>
      <c r="F1857" s="248"/>
      <c r="G1857" s="56"/>
      <c r="H1857" s="251">
        <v>0.0</v>
      </c>
      <c r="I1857" s="251">
        <v>0.0</v>
      </c>
      <c r="J1857" s="251"/>
      <c r="K1857" s="252"/>
    </row>
    <row r="1858" ht="27.75" customHeight="1">
      <c r="A1858" s="247"/>
      <c r="B1858" s="248"/>
      <c r="C1858" s="249"/>
      <c r="D1858" s="248"/>
      <c r="E1858" s="250"/>
      <c r="F1858" s="248"/>
      <c r="G1858" s="56"/>
      <c r="H1858" s="251">
        <v>0.0</v>
      </c>
      <c r="I1858" s="251">
        <v>0.0</v>
      </c>
      <c r="J1858" s="251"/>
      <c r="K1858" s="252"/>
    </row>
    <row r="1859" ht="27.75" customHeight="1">
      <c r="A1859" s="247"/>
      <c r="B1859" s="248"/>
      <c r="C1859" s="249"/>
      <c r="D1859" s="248"/>
      <c r="E1859" s="250"/>
      <c r="F1859" s="248"/>
      <c r="G1859" s="56"/>
      <c r="H1859" s="251">
        <v>0.0</v>
      </c>
      <c r="I1859" s="251">
        <v>0.0</v>
      </c>
      <c r="J1859" s="251"/>
      <c r="K1859" s="252"/>
    </row>
    <row r="1860" ht="27.75" customHeight="1">
      <c r="A1860" s="247"/>
      <c r="B1860" s="248"/>
      <c r="C1860" s="249"/>
      <c r="D1860" s="248"/>
      <c r="E1860" s="250"/>
      <c r="F1860" s="248"/>
      <c r="G1860" s="56"/>
      <c r="H1860" s="251">
        <v>0.0</v>
      </c>
      <c r="I1860" s="251">
        <v>0.0</v>
      </c>
      <c r="J1860" s="251"/>
      <c r="K1860" s="252"/>
    </row>
    <row r="1861" ht="27.75" customHeight="1">
      <c r="A1861" s="247"/>
      <c r="B1861" s="248"/>
      <c r="C1861" s="249"/>
      <c r="D1861" s="248"/>
      <c r="E1861" s="250"/>
      <c r="F1861" s="248"/>
      <c r="G1861" s="56"/>
      <c r="H1861" s="251">
        <v>0.0</v>
      </c>
      <c r="I1861" s="251">
        <v>0.0</v>
      </c>
      <c r="J1861" s="251"/>
      <c r="K1861" s="252"/>
    </row>
    <row r="1862" ht="27.75" customHeight="1">
      <c r="A1862" s="247"/>
      <c r="B1862" s="248"/>
      <c r="C1862" s="249"/>
      <c r="D1862" s="248"/>
      <c r="E1862" s="250"/>
      <c r="F1862" s="248"/>
      <c r="G1862" s="56"/>
      <c r="H1862" s="251">
        <v>0.0</v>
      </c>
      <c r="I1862" s="251">
        <v>0.0</v>
      </c>
      <c r="J1862" s="251"/>
      <c r="K1862" s="252"/>
    </row>
    <row r="1863" ht="27.75" customHeight="1">
      <c r="A1863" s="247"/>
      <c r="B1863" s="248"/>
      <c r="C1863" s="249"/>
      <c r="D1863" s="248"/>
      <c r="E1863" s="250"/>
      <c r="F1863" s="248"/>
      <c r="G1863" s="56"/>
      <c r="H1863" s="251">
        <v>0.0</v>
      </c>
      <c r="I1863" s="251">
        <v>0.0</v>
      </c>
      <c r="J1863" s="251"/>
      <c r="K1863" s="252"/>
    </row>
    <row r="1864" ht="27.75" customHeight="1">
      <c r="A1864" s="247"/>
      <c r="B1864" s="248"/>
      <c r="C1864" s="249"/>
      <c r="D1864" s="248"/>
      <c r="E1864" s="250"/>
      <c r="F1864" s="248"/>
      <c r="G1864" s="56"/>
      <c r="H1864" s="251">
        <v>0.0</v>
      </c>
      <c r="I1864" s="251">
        <v>0.0</v>
      </c>
      <c r="J1864" s="251"/>
      <c r="K1864" s="252"/>
    </row>
    <row r="1865" ht="27.75" customHeight="1">
      <c r="A1865" s="247"/>
      <c r="B1865" s="248"/>
      <c r="C1865" s="249"/>
      <c r="D1865" s="248"/>
      <c r="E1865" s="250"/>
      <c r="F1865" s="248"/>
      <c r="G1865" s="56"/>
      <c r="H1865" s="251">
        <v>0.0</v>
      </c>
      <c r="I1865" s="251">
        <v>0.0</v>
      </c>
      <c r="J1865" s="251"/>
      <c r="K1865" s="252"/>
    </row>
    <row r="1866" ht="27.75" customHeight="1">
      <c r="A1866" s="247"/>
      <c r="B1866" s="248"/>
      <c r="C1866" s="249"/>
      <c r="D1866" s="248"/>
      <c r="E1866" s="250"/>
      <c r="F1866" s="248"/>
      <c r="G1866" s="56"/>
      <c r="H1866" s="251">
        <v>0.0</v>
      </c>
      <c r="I1866" s="251">
        <v>0.0</v>
      </c>
      <c r="J1866" s="251"/>
      <c r="K1866" s="252"/>
    </row>
    <row r="1867" ht="27.75" customHeight="1">
      <c r="A1867" s="247"/>
      <c r="B1867" s="248"/>
      <c r="C1867" s="249"/>
      <c r="D1867" s="248"/>
      <c r="E1867" s="250"/>
      <c r="F1867" s="248"/>
      <c r="G1867" s="56"/>
      <c r="H1867" s="251">
        <v>0.0</v>
      </c>
      <c r="I1867" s="251">
        <v>0.0</v>
      </c>
      <c r="J1867" s="251"/>
      <c r="K1867" s="252"/>
    </row>
    <row r="1868" ht="27.75" customHeight="1">
      <c r="A1868" s="247"/>
      <c r="B1868" s="248"/>
      <c r="C1868" s="249"/>
      <c r="D1868" s="248"/>
      <c r="E1868" s="250"/>
      <c r="F1868" s="248"/>
      <c r="G1868" s="56"/>
      <c r="H1868" s="251">
        <v>0.0</v>
      </c>
      <c r="I1868" s="251">
        <v>0.0</v>
      </c>
      <c r="J1868" s="251"/>
      <c r="K1868" s="252"/>
    </row>
    <row r="1869" ht="27.75" customHeight="1">
      <c r="A1869" s="247"/>
      <c r="B1869" s="248"/>
      <c r="C1869" s="249"/>
      <c r="D1869" s="248"/>
      <c r="E1869" s="250"/>
      <c r="F1869" s="248"/>
      <c r="G1869" s="56"/>
      <c r="H1869" s="251">
        <v>0.0</v>
      </c>
      <c r="I1869" s="251">
        <v>0.0</v>
      </c>
      <c r="J1869" s="251"/>
      <c r="K1869" s="252"/>
    </row>
    <row r="1870" ht="27.75" customHeight="1">
      <c r="A1870" s="247"/>
      <c r="B1870" s="248"/>
      <c r="C1870" s="249"/>
      <c r="D1870" s="248"/>
      <c r="E1870" s="250"/>
      <c r="F1870" s="248"/>
      <c r="G1870" s="56"/>
      <c r="H1870" s="251">
        <v>0.0</v>
      </c>
      <c r="I1870" s="251">
        <v>0.0</v>
      </c>
      <c r="J1870" s="251"/>
      <c r="K1870" s="252"/>
    </row>
    <row r="1871" ht="27.75" customHeight="1">
      <c r="A1871" s="247"/>
      <c r="B1871" s="248"/>
      <c r="C1871" s="249"/>
      <c r="D1871" s="248"/>
      <c r="E1871" s="250"/>
      <c r="F1871" s="248"/>
      <c r="G1871" s="56"/>
      <c r="H1871" s="251">
        <v>0.0</v>
      </c>
      <c r="I1871" s="251">
        <v>0.0</v>
      </c>
      <c r="J1871" s="251"/>
      <c r="K1871" s="252"/>
    </row>
    <row r="1872" ht="27.75" customHeight="1">
      <c r="A1872" s="247"/>
      <c r="B1872" s="248"/>
      <c r="C1872" s="249"/>
      <c r="D1872" s="248"/>
      <c r="E1872" s="250"/>
      <c r="F1872" s="248"/>
      <c r="G1872" s="56"/>
      <c r="H1872" s="251">
        <v>0.0</v>
      </c>
      <c r="I1872" s="251">
        <v>0.0</v>
      </c>
      <c r="J1872" s="251"/>
      <c r="K1872" s="252"/>
    </row>
    <row r="1873" ht="27.75" customHeight="1">
      <c r="A1873" s="247"/>
      <c r="B1873" s="248"/>
      <c r="C1873" s="249"/>
      <c r="D1873" s="248"/>
      <c r="E1873" s="250"/>
      <c r="F1873" s="248"/>
      <c r="G1873" s="56"/>
      <c r="H1873" s="251">
        <v>0.0</v>
      </c>
      <c r="I1873" s="251">
        <v>0.0</v>
      </c>
      <c r="J1873" s="251"/>
      <c r="K1873" s="252"/>
    </row>
    <row r="1874" ht="27.75" customHeight="1">
      <c r="A1874" s="247"/>
      <c r="B1874" s="248"/>
      <c r="C1874" s="249"/>
      <c r="D1874" s="248"/>
      <c r="E1874" s="250"/>
      <c r="F1874" s="248"/>
      <c r="G1874" s="56"/>
      <c r="H1874" s="251">
        <v>0.0</v>
      </c>
      <c r="I1874" s="251">
        <v>0.0</v>
      </c>
      <c r="J1874" s="251"/>
      <c r="K1874" s="252"/>
    </row>
    <row r="1875" ht="27.75" customHeight="1">
      <c r="A1875" s="247"/>
      <c r="B1875" s="248"/>
      <c r="C1875" s="249"/>
      <c r="D1875" s="248"/>
      <c r="E1875" s="250"/>
      <c r="F1875" s="248"/>
      <c r="G1875" s="56"/>
      <c r="H1875" s="251">
        <v>0.0</v>
      </c>
      <c r="I1875" s="251">
        <v>0.0</v>
      </c>
      <c r="J1875" s="251"/>
      <c r="K1875" s="252"/>
    </row>
    <row r="1876" ht="27.75" customHeight="1">
      <c r="A1876" s="247"/>
      <c r="B1876" s="248"/>
      <c r="C1876" s="249"/>
      <c r="D1876" s="248"/>
      <c r="E1876" s="250"/>
      <c r="F1876" s="248"/>
      <c r="G1876" s="56"/>
      <c r="H1876" s="251">
        <v>0.0</v>
      </c>
      <c r="I1876" s="251">
        <v>0.0</v>
      </c>
      <c r="J1876" s="251"/>
      <c r="K1876" s="252"/>
    </row>
    <row r="1877" ht="27.75" customHeight="1">
      <c r="A1877" s="247"/>
      <c r="B1877" s="248"/>
      <c r="C1877" s="249"/>
      <c r="D1877" s="248"/>
      <c r="E1877" s="250"/>
      <c r="F1877" s="248"/>
      <c r="G1877" s="56"/>
      <c r="H1877" s="251">
        <v>0.0</v>
      </c>
      <c r="I1877" s="251">
        <v>0.0</v>
      </c>
      <c r="J1877" s="251"/>
      <c r="K1877" s="252"/>
    </row>
    <row r="1878" ht="27.75" customHeight="1">
      <c r="A1878" s="247"/>
      <c r="B1878" s="248"/>
      <c r="C1878" s="249"/>
      <c r="D1878" s="248"/>
      <c r="E1878" s="250"/>
      <c r="F1878" s="248"/>
      <c r="G1878" s="56"/>
      <c r="H1878" s="251">
        <v>0.0</v>
      </c>
      <c r="I1878" s="251">
        <v>0.0</v>
      </c>
      <c r="J1878" s="251"/>
      <c r="K1878" s="252"/>
    </row>
    <row r="1879" ht="27.75" customHeight="1">
      <c r="A1879" s="247"/>
      <c r="B1879" s="248"/>
      <c r="C1879" s="249"/>
      <c r="D1879" s="248"/>
      <c r="E1879" s="250"/>
      <c r="F1879" s="248"/>
      <c r="G1879" s="56"/>
      <c r="H1879" s="251">
        <v>0.0</v>
      </c>
      <c r="I1879" s="251">
        <v>0.0</v>
      </c>
      <c r="J1879" s="251"/>
      <c r="K1879" s="252"/>
    </row>
    <row r="1880" ht="27.75" customHeight="1">
      <c r="A1880" s="247"/>
      <c r="B1880" s="248"/>
      <c r="C1880" s="249"/>
      <c r="D1880" s="248"/>
      <c r="E1880" s="250"/>
      <c r="F1880" s="248"/>
      <c r="G1880" s="56"/>
      <c r="H1880" s="251">
        <v>0.0</v>
      </c>
      <c r="I1880" s="251">
        <v>0.0</v>
      </c>
      <c r="J1880" s="251"/>
      <c r="K1880" s="252"/>
    </row>
    <row r="1881" ht="27.75" customHeight="1">
      <c r="A1881" s="247"/>
      <c r="B1881" s="248"/>
      <c r="C1881" s="249"/>
      <c r="D1881" s="248"/>
      <c r="E1881" s="250"/>
      <c r="F1881" s="248"/>
      <c r="G1881" s="56"/>
      <c r="H1881" s="251">
        <v>0.0</v>
      </c>
      <c r="I1881" s="251">
        <v>0.0</v>
      </c>
      <c r="J1881" s="251"/>
      <c r="K1881" s="252"/>
    </row>
    <row r="1882" ht="27.75" customHeight="1">
      <c r="A1882" s="247"/>
      <c r="B1882" s="248"/>
      <c r="C1882" s="249"/>
      <c r="D1882" s="248"/>
      <c r="E1882" s="250"/>
      <c r="F1882" s="248"/>
      <c r="G1882" s="56"/>
      <c r="H1882" s="251">
        <v>0.0</v>
      </c>
      <c r="I1882" s="251">
        <v>0.0</v>
      </c>
      <c r="J1882" s="251"/>
      <c r="K1882" s="252"/>
    </row>
    <row r="1883" ht="27.75" customHeight="1">
      <c r="A1883" s="247"/>
      <c r="B1883" s="248"/>
      <c r="C1883" s="249"/>
      <c r="D1883" s="248"/>
      <c r="E1883" s="250"/>
      <c r="F1883" s="248"/>
      <c r="G1883" s="56"/>
      <c r="H1883" s="251">
        <v>0.0</v>
      </c>
      <c r="I1883" s="251">
        <v>0.0</v>
      </c>
      <c r="J1883" s="251"/>
      <c r="K1883" s="252"/>
    </row>
    <row r="1884" ht="27.75" customHeight="1">
      <c r="A1884" s="247"/>
      <c r="B1884" s="248"/>
      <c r="C1884" s="249"/>
      <c r="D1884" s="248"/>
      <c r="E1884" s="250"/>
      <c r="F1884" s="248"/>
      <c r="G1884" s="56"/>
      <c r="H1884" s="251">
        <v>0.0</v>
      </c>
      <c r="I1884" s="251">
        <v>0.0</v>
      </c>
      <c r="J1884" s="251"/>
      <c r="K1884" s="252"/>
    </row>
    <row r="1885" ht="27.75" customHeight="1">
      <c r="A1885" s="247"/>
      <c r="B1885" s="248"/>
      <c r="C1885" s="249"/>
      <c r="D1885" s="248"/>
      <c r="E1885" s="250"/>
      <c r="F1885" s="248"/>
      <c r="G1885" s="56"/>
      <c r="H1885" s="251">
        <v>0.0</v>
      </c>
      <c r="I1885" s="251">
        <v>0.0</v>
      </c>
      <c r="J1885" s="251"/>
      <c r="K1885" s="252"/>
    </row>
    <row r="1886" ht="27.75" customHeight="1">
      <c r="A1886" s="247"/>
      <c r="B1886" s="248"/>
      <c r="C1886" s="249"/>
      <c r="D1886" s="248"/>
      <c r="E1886" s="250"/>
      <c r="F1886" s="248"/>
      <c r="G1886" s="56"/>
      <c r="H1886" s="251">
        <v>0.0</v>
      </c>
      <c r="I1886" s="251">
        <v>0.0</v>
      </c>
      <c r="J1886" s="251"/>
      <c r="K1886" s="252"/>
    </row>
    <row r="1887" ht="27.75" customHeight="1">
      <c r="A1887" s="247"/>
      <c r="B1887" s="248"/>
      <c r="C1887" s="249"/>
      <c r="D1887" s="248"/>
      <c r="E1887" s="250"/>
      <c r="F1887" s="248"/>
      <c r="G1887" s="56"/>
      <c r="H1887" s="251">
        <v>0.0</v>
      </c>
      <c r="I1887" s="251">
        <v>0.0</v>
      </c>
      <c r="J1887" s="251"/>
      <c r="K1887" s="252"/>
    </row>
    <row r="1888" ht="27.75" customHeight="1">
      <c r="A1888" s="247"/>
      <c r="B1888" s="248"/>
      <c r="C1888" s="249"/>
      <c r="D1888" s="248"/>
      <c r="E1888" s="250"/>
      <c r="F1888" s="248"/>
      <c r="G1888" s="56"/>
      <c r="H1888" s="251">
        <v>0.0</v>
      </c>
      <c r="I1888" s="251">
        <v>0.0</v>
      </c>
      <c r="J1888" s="251"/>
      <c r="K1888" s="252"/>
    </row>
    <row r="1889" ht="27.75" customHeight="1">
      <c r="A1889" s="247"/>
      <c r="B1889" s="248"/>
      <c r="C1889" s="249"/>
      <c r="D1889" s="248"/>
      <c r="E1889" s="250"/>
      <c r="F1889" s="248"/>
      <c r="G1889" s="56"/>
      <c r="H1889" s="251">
        <v>0.0</v>
      </c>
      <c r="I1889" s="251">
        <v>0.0</v>
      </c>
      <c r="J1889" s="251"/>
      <c r="K1889" s="252"/>
    </row>
    <row r="1890" ht="27.75" customHeight="1">
      <c r="A1890" s="247"/>
      <c r="B1890" s="248"/>
      <c r="C1890" s="249"/>
      <c r="D1890" s="248"/>
      <c r="E1890" s="250"/>
      <c r="F1890" s="248"/>
      <c r="G1890" s="56"/>
      <c r="H1890" s="251">
        <v>0.0</v>
      </c>
      <c r="I1890" s="251">
        <v>0.0</v>
      </c>
      <c r="J1890" s="251"/>
      <c r="K1890" s="252"/>
    </row>
    <row r="1891" ht="27.75" customHeight="1">
      <c r="A1891" s="247"/>
      <c r="B1891" s="248"/>
      <c r="C1891" s="249"/>
      <c r="D1891" s="248"/>
      <c r="E1891" s="250"/>
      <c r="F1891" s="248"/>
      <c r="G1891" s="56"/>
      <c r="H1891" s="251">
        <v>0.0</v>
      </c>
      <c r="I1891" s="251">
        <v>0.0</v>
      </c>
      <c r="J1891" s="251"/>
      <c r="K1891" s="252"/>
    </row>
    <row r="1892" ht="27.75" customHeight="1">
      <c r="A1892" s="247"/>
      <c r="B1892" s="248"/>
      <c r="C1892" s="249"/>
      <c r="D1892" s="248"/>
      <c r="E1892" s="250"/>
      <c r="F1892" s="248"/>
      <c r="G1892" s="56"/>
      <c r="H1892" s="251">
        <v>0.0</v>
      </c>
      <c r="I1892" s="251">
        <v>0.0</v>
      </c>
      <c r="J1892" s="251"/>
      <c r="K1892" s="252"/>
    </row>
    <row r="1893" ht="27.75" customHeight="1">
      <c r="A1893" s="247"/>
      <c r="B1893" s="248"/>
      <c r="C1893" s="249"/>
      <c r="D1893" s="248"/>
      <c r="E1893" s="250"/>
      <c r="F1893" s="248"/>
      <c r="G1893" s="56"/>
      <c r="H1893" s="251">
        <v>0.0</v>
      </c>
      <c r="I1893" s="251">
        <v>0.0</v>
      </c>
      <c r="J1893" s="251"/>
      <c r="K1893" s="252"/>
    </row>
    <row r="1894" ht="27.75" customHeight="1">
      <c r="A1894" s="247"/>
      <c r="B1894" s="248"/>
      <c r="C1894" s="249"/>
      <c r="D1894" s="248"/>
      <c r="E1894" s="250"/>
      <c r="F1894" s="248"/>
      <c r="G1894" s="56"/>
      <c r="H1894" s="251">
        <v>0.0</v>
      </c>
      <c r="I1894" s="251">
        <v>0.0</v>
      </c>
      <c r="J1894" s="251"/>
      <c r="K1894" s="252"/>
    </row>
    <row r="1895" ht="27.75" customHeight="1">
      <c r="A1895" s="247"/>
      <c r="B1895" s="248"/>
      <c r="C1895" s="249"/>
      <c r="D1895" s="248"/>
      <c r="E1895" s="250"/>
      <c r="F1895" s="248"/>
      <c r="G1895" s="56"/>
      <c r="H1895" s="251">
        <v>0.0</v>
      </c>
      <c r="I1895" s="251">
        <v>0.0</v>
      </c>
      <c r="J1895" s="251"/>
      <c r="K1895" s="252"/>
    </row>
    <row r="1896" ht="27.75" customHeight="1">
      <c r="A1896" s="247"/>
      <c r="B1896" s="248"/>
      <c r="C1896" s="249"/>
      <c r="D1896" s="248"/>
      <c r="E1896" s="250"/>
      <c r="F1896" s="248"/>
      <c r="G1896" s="56"/>
      <c r="H1896" s="251">
        <v>0.0</v>
      </c>
      <c r="I1896" s="251">
        <v>0.0</v>
      </c>
      <c r="J1896" s="251"/>
      <c r="K1896" s="252"/>
    </row>
    <row r="1897" ht="27.75" customHeight="1">
      <c r="A1897" s="247"/>
      <c r="B1897" s="248"/>
      <c r="C1897" s="249"/>
      <c r="D1897" s="248"/>
      <c r="E1897" s="250"/>
      <c r="F1897" s="248"/>
      <c r="G1897" s="56"/>
      <c r="H1897" s="251">
        <v>0.0</v>
      </c>
      <c r="I1897" s="251">
        <v>0.0</v>
      </c>
      <c r="J1897" s="251"/>
      <c r="K1897" s="252"/>
    </row>
    <row r="1898" ht="27.75" customHeight="1">
      <c r="A1898" s="247"/>
      <c r="B1898" s="248"/>
      <c r="C1898" s="249"/>
      <c r="D1898" s="248"/>
      <c r="E1898" s="250"/>
      <c r="F1898" s="248"/>
      <c r="G1898" s="56"/>
      <c r="H1898" s="251">
        <v>0.0</v>
      </c>
      <c r="I1898" s="251">
        <v>0.0</v>
      </c>
      <c r="J1898" s="251"/>
      <c r="K1898" s="252"/>
    </row>
    <row r="1899" ht="27.75" customHeight="1">
      <c r="A1899" s="247"/>
      <c r="B1899" s="248"/>
      <c r="C1899" s="249"/>
      <c r="D1899" s="248"/>
      <c r="E1899" s="250"/>
      <c r="F1899" s="248"/>
      <c r="G1899" s="56"/>
      <c r="H1899" s="251">
        <v>0.0</v>
      </c>
      <c r="I1899" s="251">
        <v>0.0</v>
      </c>
      <c r="J1899" s="251"/>
      <c r="K1899" s="252"/>
    </row>
    <row r="1900" ht="27.75" customHeight="1">
      <c r="A1900" s="247"/>
      <c r="B1900" s="248"/>
      <c r="C1900" s="249"/>
      <c r="D1900" s="248"/>
      <c r="E1900" s="250"/>
      <c r="F1900" s="248"/>
      <c r="G1900" s="56"/>
      <c r="H1900" s="251">
        <v>0.0</v>
      </c>
      <c r="I1900" s="251">
        <v>0.0</v>
      </c>
      <c r="J1900" s="251"/>
      <c r="K1900" s="252"/>
    </row>
    <row r="1901" ht="27.75" customHeight="1">
      <c r="A1901" s="247"/>
      <c r="B1901" s="248"/>
      <c r="C1901" s="249"/>
      <c r="D1901" s="248"/>
      <c r="E1901" s="250"/>
      <c r="F1901" s="248"/>
      <c r="G1901" s="56"/>
      <c r="H1901" s="251">
        <v>0.0</v>
      </c>
      <c r="I1901" s="251">
        <v>0.0</v>
      </c>
      <c r="J1901" s="251"/>
      <c r="K1901" s="252"/>
    </row>
    <row r="1902" ht="27.75" customHeight="1">
      <c r="A1902" s="247"/>
      <c r="B1902" s="248"/>
      <c r="C1902" s="249"/>
      <c r="D1902" s="248"/>
      <c r="E1902" s="250"/>
      <c r="F1902" s="248"/>
      <c r="G1902" s="56"/>
      <c r="H1902" s="251">
        <v>0.0</v>
      </c>
      <c r="I1902" s="251">
        <v>0.0</v>
      </c>
      <c r="J1902" s="251"/>
      <c r="K1902" s="252"/>
    </row>
    <row r="1903" ht="27.75" customHeight="1">
      <c r="A1903" s="247"/>
      <c r="B1903" s="248"/>
      <c r="C1903" s="249"/>
      <c r="D1903" s="248"/>
      <c r="E1903" s="250"/>
      <c r="F1903" s="248"/>
      <c r="G1903" s="56"/>
      <c r="H1903" s="251">
        <v>0.0</v>
      </c>
      <c r="I1903" s="251">
        <v>0.0</v>
      </c>
      <c r="J1903" s="251"/>
      <c r="K1903" s="252"/>
    </row>
    <row r="1904" ht="27.75" customHeight="1">
      <c r="A1904" s="247"/>
      <c r="B1904" s="248"/>
      <c r="C1904" s="249"/>
      <c r="D1904" s="248"/>
      <c r="E1904" s="250"/>
      <c r="F1904" s="248"/>
      <c r="G1904" s="56"/>
      <c r="H1904" s="251">
        <v>0.0</v>
      </c>
      <c r="I1904" s="251">
        <v>0.0</v>
      </c>
      <c r="J1904" s="251"/>
      <c r="K1904" s="252"/>
    </row>
    <row r="1905" ht="27.75" customHeight="1">
      <c r="A1905" s="247"/>
      <c r="B1905" s="248"/>
      <c r="C1905" s="249"/>
      <c r="D1905" s="248"/>
      <c r="E1905" s="250"/>
      <c r="F1905" s="248"/>
      <c r="G1905" s="56"/>
      <c r="H1905" s="251">
        <v>0.0</v>
      </c>
      <c r="I1905" s="251">
        <v>0.0</v>
      </c>
      <c r="J1905" s="251"/>
      <c r="K1905" s="252"/>
    </row>
    <row r="1906" ht="27.75" customHeight="1">
      <c r="A1906" s="247"/>
      <c r="B1906" s="248"/>
      <c r="C1906" s="249"/>
      <c r="D1906" s="248"/>
      <c r="E1906" s="250"/>
      <c r="F1906" s="248"/>
      <c r="G1906" s="56"/>
      <c r="H1906" s="251">
        <v>0.0</v>
      </c>
      <c r="I1906" s="251">
        <v>0.0</v>
      </c>
      <c r="J1906" s="251"/>
      <c r="K1906" s="252"/>
    </row>
    <row r="1907" ht="27.75" customHeight="1">
      <c r="A1907" s="247"/>
      <c r="B1907" s="248"/>
      <c r="C1907" s="249"/>
      <c r="D1907" s="248"/>
      <c r="E1907" s="250"/>
      <c r="F1907" s="248"/>
      <c r="G1907" s="56"/>
      <c r="H1907" s="251">
        <v>0.0</v>
      </c>
      <c r="I1907" s="251">
        <v>0.0</v>
      </c>
      <c r="J1907" s="251"/>
      <c r="K1907" s="252"/>
    </row>
    <row r="1908" ht="27.75" customHeight="1">
      <c r="A1908" s="247"/>
      <c r="B1908" s="248"/>
      <c r="C1908" s="249"/>
      <c r="D1908" s="248"/>
      <c r="E1908" s="250"/>
      <c r="F1908" s="248"/>
      <c r="G1908" s="56"/>
      <c r="H1908" s="251">
        <v>0.0</v>
      </c>
      <c r="I1908" s="251">
        <v>0.0</v>
      </c>
      <c r="J1908" s="251"/>
      <c r="K1908" s="252"/>
    </row>
    <row r="1909" ht="27.75" customHeight="1">
      <c r="A1909" s="247"/>
      <c r="B1909" s="248"/>
      <c r="C1909" s="249"/>
      <c r="D1909" s="248"/>
      <c r="E1909" s="250"/>
      <c r="F1909" s="248"/>
      <c r="G1909" s="56"/>
      <c r="H1909" s="251">
        <v>0.0</v>
      </c>
      <c r="I1909" s="251">
        <v>0.0</v>
      </c>
      <c r="J1909" s="251"/>
      <c r="K1909" s="252"/>
    </row>
    <row r="1910" ht="27.75" customHeight="1">
      <c r="A1910" s="247"/>
      <c r="B1910" s="248"/>
      <c r="C1910" s="249"/>
      <c r="D1910" s="248"/>
      <c r="E1910" s="250"/>
      <c r="F1910" s="248"/>
      <c r="G1910" s="56"/>
      <c r="H1910" s="251">
        <v>0.0</v>
      </c>
      <c r="I1910" s="251">
        <v>0.0</v>
      </c>
      <c r="J1910" s="251"/>
      <c r="K1910" s="252"/>
    </row>
    <row r="1911" ht="27.75" customHeight="1">
      <c r="A1911" s="247"/>
      <c r="B1911" s="248"/>
      <c r="C1911" s="249"/>
      <c r="D1911" s="248"/>
      <c r="E1911" s="250"/>
      <c r="F1911" s="248"/>
      <c r="G1911" s="56"/>
      <c r="H1911" s="251">
        <v>0.0</v>
      </c>
      <c r="I1911" s="251">
        <v>0.0</v>
      </c>
      <c r="J1911" s="251"/>
      <c r="K1911" s="252"/>
    </row>
    <row r="1912" ht="27.75" customHeight="1">
      <c r="A1912" s="247"/>
      <c r="B1912" s="248"/>
      <c r="C1912" s="249"/>
      <c r="D1912" s="248"/>
      <c r="E1912" s="250"/>
      <c r="F1912" s="248"/>
      <c r="G1912" s="56"/>
      <c r="H1912" s="251">
        <v>0.0</v>
      </c>
      <c r="I1912" s="251">
        <v>0.0</v>
      </c>
      <c r="J1912" s="251"/>
      <c r="K1912" s="252"/>
    </row>
    <row r="1913" ht="27.75" customHeight="1">
      <c r="A1913" s="247"/>
      <c r="B1913" s="248"/>
      <c r="C1913" s="249"/>
      <c r="D1913" s="248"/>
      <c r="E1913" s="250"/>
      <c r="F1913" s="248"/>
      <c r="G1913" s="56"/>
      <c r="H1913" s="251">
        <v>0.0</v>
      </c>
      <c r="I1913" s="251">
        <v>0.0</v>
      </c>
      <c r="J1913" s="251"/>
      <c r="K1913" s="252"/>
    </row>
    <row r="1914" ht="27.75" customHeight="1">
      <c r="A1914" s="247"/>
      <c r="B1914" s="248"/>
      <c r="C1914" s="249"/>
      <c r="D1914" s="248"/>
      <c r="E1914" s="250"/>
      <c r="F1914" s="248"/>
      <c r="G1914" s="56"/>
      <c r="H1914" s="251">
        <v>0.0</v>
      </c>
      <c r="I1914" s="251">
        <v>0.0</v>
      </c>
      <c r="J1914" s="251"/>
      <c r="K1914" s="252"/>
    </row>
    <row r="1915" ht="27.75" customHeight="1">
      <c r="A1915" s="247"/>
      <c r="B1915" s="248"/>
      <c r="C1915" s="249"/>
      <c r="D1915" s="248"/>
      <c r="E1915" s="250"/>
      <c r="F1915" s="248"/>
      <c r="G1915" s="56"/>
      <c r="H1915" s="251">
        <v>0.0</v>
      </c>
      <c r="I1915" s="251">
        <v>0.0</v>
      </c>
      <c r="J1915" s="251"/>
      <c r="K1915" s="252"/>
    </row>
    <row r="1916" ht="27.75" customHeight="1">
      <c r="A1916" s="247"/>
      <c r="B1916" s="248"/>
      <c r="C1916" s="249"/>
      <c r="D1916" s="248"/>
      <c r="E1916" s="250"/>
      <c r="F1916" s="248"/>
      <c r="G1916" s="56"/>
      <c r="H1916" s="251">
        <v>0.0</v>
      </c>
      <c r="I1916" s="251">
        <v>0.0</v>
      </c>
      <c r="J1916" s="251"/>
      <c r="K1916" s="252"/>
    </row>
    <row r="1917" ht="27.75" customHeight="1">
      <c r="A1917" s="247"/>
      <c r="B1917" s="248"/>
      <c r="C1917" s="249"/>
      <c r="D1917" s="248"/>
      <c r="E1917" s="250"/>
      <c r="F1917" s="248"/>
      <c r="G1917" s="56"/>
      <c r="H1917" s="251">
        <v>0.0</v>
      </c>
      <c r="I1917" s="251">
        <v>0.0</v>
      </c>
      <c r="J1917" s="251"/>
      <c r="K1917" s="252"/>
    </row>
    <row r="1918" ht="27.75" customHeight="1">
      <c r="A1918" s="247"/>
      <c r="B1918" s="248"/>
      <c r="C1918" s="249"/>
      <c r="D1918" s="248"/>
      <c r="E1918" s="250"/>
      <c r="F1918" s="248"/>
      <c r="G1918" s="56"/>
      <c r="H1918" s="251">
        <v>0.0</v>
      </c>
      <c r="I1918" s="251">
        <v>0.0</v>
      </c>
      <c r="J1918" s="251"/>
      <c r="K1918" s="252"/>
    </row>
    <row r="1919" ht="27.75" customHeight="1">
      <c r="A1919" s="247"/>
      <c r="B1919" s="248"/>
      <c r="C1919" s="249"/>
      <c r="D1919" s="248"/>
      <c r="E1919" s="250"/>
      <c r="F1919" s="248"/>
      <c r="G1919" s="56"/>
      <c r="H1919" s="251">
        <v>0.0</v>
      </c>
      <c r="I1919" s="251">
        <v>0.0</v>
      </c>
      <c r="J1919" s="251"/>
      <c r="K1919" s="252"/>
    </row>
    <row r="1920" ht="27.75" customHeight="1">
      <c r="A1920" s="247"/>
      <c r="B1920" s="248"/>
      <c r="C1920" s="249"/>
      <c r="D1920" s="248"/>
      <c r="E1920" s="250"/>
      <c r="F1920" s="248"/>
      <c r="G1920" s="56"/>
      <c r="H1920" s="251">
        <v>0.0</v>
      </c>
      <c r="I1920" s="251">
        <v>0.0</v>
      </c>
      <c r="J1920" s="251"/>
      <c r="K1920" s="252"/>
    </row>
    <row r="1921" ht="27.75" customHeight="1">
      <c r="A1921" s="247"/>
      <c r="B1921" s="248"/>
      <c r="C1921" s="249"/>
      <c r="D1921" s="248"/>
      <c r="E1921" s="250"/>
      <c r="F1921" s="248"/>
      <c r="G1921" s="56"/>
      <c r="H1921" s="251">
        <v>0.0</v>
      </c>
      <c r="I1921" s="251">
        <v>0.0</v>
      </c>
      <c r="J1921" s="251"/>
      <c r="K1921" s="252"/>
    </row>
    <row r="1922" ht="27.75" customHeight="1">
      <c r="A1922" s="247"/>
      <c r="B1922" s="248"/>
      <c r="C1922" s="249"/>
      <c r="D1922" s="248"/>
      <c r="E1922" s="250"/>
      <c r="F1922" s="248"/>
      <c r="G1922" s="56"/>
      <c r="H1922" s="251">
        <v>0.0</v>
      </c>
      <c r="I1922" s="251">
        <v>0.0</v>
      </c>
      <c r="J1922" s="251"/>
      <c r="K1922" s="252"/>
    </row>
    <row r="1923" ht="27.75" customHeight="1">
      <c r="A1923" s="247"/>
      <c r="B1923" s="248"/>
      <c r="C1923" s="249"/>
      <c r="D1923" s="248"/>
      <c r="E1923" s="250"/>
      <c r="F1923" s="248"/>
      <c r="G1923" s="56"/>
      <c r="H1923" s="251">
        <v>0.0</v>
      </c>
      <c r="I1923" s="251">
        <v>0.0</v>
      </c>
      <c r="J1923" s="251"/>
      <c r="K1923" s="252"/>
    </row>
    <row r="1924" ht="27.75" customHeight="1">
      <c r="A1924" s="247"/>
      <c r="B1924" s="248"/>
      <c r="C1924" s="249"/>
      <c r="D1924" s="248"/>
      <c r="E1924" s="250"/>
      <c r="F1924" s="248"/>
      <c r="G1924" s="56"/>
      <c r="H1924" s="251">
        <v>0.0</v>
      </c>
      <c r="I1924" s="251">
        <v>0.0</v>
      </c>
      <c r="J1924" s="251"/>
      <c r="K1924" s="252"/>
    </row>
    <row r="1925" ht="27.75" customHeight="1">
      <c r="A1925" s="247"/>
      <c r="B1925" s="248"/>
      <c r="C1925" s="249"/>
      <c r="D1925" s="248"/>
      <c r="E1925" s="250"/>
      <c r="F1925" s="248"/>
      <c r="G1925" s="56"/>
      <c r="H1925" s="251">
        <v>0.0</v>
      </c>
      <c r="I1925" s="251">
        <v>0.0</v>
      </c>
      <c r="J1925" s="251"/>
      <c r="K1925" s="252"/>
    </row>
    <row r="1926" ht="27.75" customHeight="1">
      <c r="A1926" s="247"/>
      <c r="B1926" s="248"/>
      <c r="C1926" s="249"/>
      <c r="D1926" s="248"/>
      <c r="E1926" s="250"/>
      <c r="F1926" s="248"/>
      <c r="G1926" s="56"/>
      <c r="H1926" s="251">
        <v>0.0</v>
      </c>
      <c r="I1926" s="251">
        <v>0.0</v>
      </c>
      <c r="J1926" s="251"/>
      <c r="K1926" s="252"/>
    </row>
    <row r="1927" ht="27.75" customHeight="1">
      <c r="A1927" s="247"/>
      <c r="B1927" s="248"/>
      <c r="C1927" s="249"/>
      <c r="D1927" s="248"/>
      <c r="E1927" s="250"/>
      <c r="F1927" s="248"/>
      <c r="G1927" s="56"/>
      <c r="H1927" s="251">
        <v>0.0</v>
      </c>
      <c r="I1927" s="251">
        <v>0.0</v>
      </c>
      <c r="J1927" s="251"/>
      <c r="K1927" s="252"/>
    </row>
    <row r="1928" ht="27.75" customHeight="1">
      <c r="A1928" s="247"/>
      <c r="B1928" s="248"/>
      <c r="C1928" s="249"/>
      <c r="D1928" s="248"/>
      <c r="E1928" s="250"/>
      <c r="F1928" s="248"/>
      <c r="G1928" s="56"/>
      <c r="H1928" s="251">
        <v>0.0</v>
      </c>
      <c r="I1928" s="251">
        <v>0.0</v>
      </c>
      <c r="J1928" s="251"/>
      <c r="K1928" s="252"/>
    </row>
    <row r="1929" ht="27.75" customHeight="1">
      <c r="A1929" s="247"/>
      <c r="B1929" s="248"/>
      <c r="C1929" s="249"/>
      <c r="D1929" s="248"/>
      <c r="E1929" s="250"/>
      <c r="F1929" s="248"/>
      <c r="G1929" s="56"/>
      <c r="H1929" s="251">
        <v>0.0</v>
      </c>
      <c r="I1929" s="251">
        <v>0.0</v>
      </c>
      <c r="J1929" s="251"/>
      <c r="K1929" s="252"/>
    </row>
    <row r="1930" ht="27.75" customHeight="1">
      <c r="A1930" s="247"/>
      <c r="B1930" s="248"/>
      <c r="C1930" s="249"/>
      <c r="D1930" s="248"/>
      <c r="E1930" s="250"/>
      <c r="F1930" s="248"/>
      <c r="G1930" s="56"/>
      <c r="H1930" s="251">
        <v>0.0</v>
      </c>
      <c r="I1930" s="251">
        <v>0.0</v>
      </c>
      <c r="J1930" s="251"/>
      <c r="K1930" s="252"/>
    </row>
    <row r="1931" ht="27.75" customHeight="1">
      <c r="A1931" s="247"/>
      <c r="B1931" s="248"/>
      <c r="C1931" s="249"/>
      <c r="D1931" s="248"/>
      <c r="E1931" s="250"/>
      <c r="F1931" s="248"/>
      <c r="G1931" s="56"/>
      <c r="H1931" s="251">
        <v>0.0</v>
      </c>
      <c r="I1931" s="251">
        <v>0.0</v>
      </c>
      <c r="J1931" s="251"/>
      <c r="K1931" s="252"/>
    </row>
    <row r="1932" ht="27.75" customHeight="1">
      <c r="A1932" s="247"/>
      <c r="B1932" s="248"/>
      <c r="C1932" s="249"/>
      <c r="D1932" s="248"/>
      <c r="E1932" s="250"/>
      <c r="F1932" s="248"/>
      <c r="G1932" s="56"/>
      <c r="H1932" s="251">
        <v>0.0</v>
      </c>
      <c r="I1932" s="251">
        <v>0.0</v>
      </c>
      <c r="J1932" s="251"/>
      <c r="K1932" s="252"/>
    </row>
    <row r="1933" ht="27.75" customHeight="1">
      <c r="A1933" s="247"/>
      <c r="B1933" s="248"/>
      <c r="C1933" s="249"/>
      <c r="D1933" s="248"/>
      <c r="E1933" s="250"/>
      <c r="F1933" s="248"/>
      <c r="G1933" s="56"/>
      <c r="H1933" s="251">
        <v>0.0</v>
      </c>
      <c r="I1933" s="251">
        <v>0.0</v>
      </c>
      <c r="J1933" s="251"/>
      <c r="K1933" s="252"/>
    </row>
    <row r="1934" ht="27.75" customHeight="1">
      <c r="A1934" s="247"/>
      <c r="B1934" s="248"/>
      <c r="C1934" s="249"/>
      <c r="D1934" s="248"/>
      <c r="E1934" s="250"/>
      <c r="F1934" s="248"/>
      <c r="G1934" s="56"/>
      <c r="H1934" s="251">
        <v>0.0</v>
      </c>
      <c r="I1934" s="251">
        <v>0.0</v>
      </c>
      <c r="J1934" s="251"/>
      <c r="K1934" s="252"/>
    </row>
    <row r="1935" ht="27.75" customHeight="1">
      <c r="A1935" s="247"/>
      <c r="B1935" s="248"/>
      <c r="C1935" s="249"/>
      <c r="D1935" s="248"/>
      <c r="E1935" s="250"/>
      <c r="F1935" s="248"/>
      <c r="G1935" s="56"/>
      <c r="H1935" s="251">
        <v>0.0</v>
      </c>
      <c r="I1935" s="251">
        <v>0.0</v>
      </c>
      <c r="J1935" s="251"/>
      <c r="K1935" s="252"/>
    </row>
    <row r="1936" ht="27.75" customHeight="1">
      <c r="A1936" s="247"/>
      <c r="B1936" s="248"/>
      <c r="C1936" s="249"/>
      <c r="D1936" s="248"/>
      <c r="E1936" s="250"/>
      <c r="F1936" s="248"/>
      <c r="G1936" s="56"/>
      <c r="H1936" s="251">
        <v>0.0</v>
      </c>
      <c r="I1936" s="251">
        <v>0.0</v>
      </c>
      <c r="J1936" s="251"/>
      <c r="K1936" s="252"/>
    </row>
    <row r="1937" ht="27.75" customHeight="1">
      <c r="A1937" s="247"/>
      <c r="B1937" s="248"/>
      <c r="C1937" s="249"/>
      <c r="D1937" s="248"/>
      <c r="E1937" s="250"/>
      <c r="F1937" s="248"/>
      <c r="G1937" s="56"/>
      <c r="H1937" s="251">
        <v>0.0</v>
      </c>
      <c r="I1937" s="251">
        <v>0.0</v>
      </c>
      <c r="J1937" s="251"/>
      <c r="K1937" s="252"/>
    </row>
    <row r="1938" ht="27.75" customHeight="1">
      <c r="A1938" s="247"/>
      <c r="B1938" s="248"/>
      <c r="C1938" s="249"/>
      <c r="D1938" s="248"/>
      <c r="E1938" s="250"/>
      <c r="F1938" s="248"/>
      <c r="G1938" s="56"/>
      <c r="H1938" s="251">
        <v>0.0</v>
      </c>
      <c r="I1938" s="251">
        <v>0.0</v>
      </c>
      <c r="J1938" s="251"/>
      <c r="K1938" s="252"/>
    </row>
    <row r="1939" ht="27.75" customHeight="1">
      <c r="A1939" s="247"/>
      <c r="B1939" s="248"/>
      <c r="C1939" s="249"/>
      <c r="D1939" s="248"/>
      <c r="E1939" s="250"/>
      <c r="F1939" s="248"/>
      <c r="G1939" s="56"/>
      <c r="H1939" s="251">
        <v>0.0</v>
      </c>
      <c r="I1939" s="251">
        <v>0.0</v>
      </c>
      <c r="J1939" s="251"/>
      <c r="K1939" s="252"/>
    </row>
    <row r="1940" ht="27.75" customHeight="1">
      <c r="A1940" s="247"/>
      <c r="B1940" s="248"/>
      <c r="C1940" s="249"/>
      <c r="D1940" s="248"/>
      <c r="E1940" s="250"/>
      <c r="F1940" s="248"/>
      <c r="G1940" s="56"/>
      <c r="H1940" s="251">
        <v>0.0</v>
      </c>
      <c r="I1940" s="251">
        <v>0.0</v>
      </c>
      <c r="J1940" s="251"/>
      <c r="K1940" s="252"/>
    </row>
    <row r="1941" ht="27.75" customHeight="1">
      <c r="A1941" s="247"/>
      <c r="B1941" s="248"/>
      <c r="C1941" s="249"/>
      <c r="D1941" s="248"/>
      <c r="E1941" s="250"/>
      <c r="F1941" s="248"/>
      <c r="G1941" s="56"/>
      <c r="H1941" s="251">
        <v>0.0</v>
      </c>
      <c r="I1941" s="251">
        <v>0.0</v>
      </c>
      <c r="J1941" s="251"/>
      <c r="K1941" s="252"/>
    </row>
    <row r="1942" ht="27.75" customHeight="1">
      <c r="A1942" s="247"/>
      <c r="B1942" s="248"/>
      <c r="C1942" s="249"/>
      <c r="D1942" s="248"/>
      <c r="E1942" s="250"/>
      <c r="F1942" s="248"/>
      <c r="G1942" s="56"/>
      <c r="H1942" s="251">
        <v>0.0</v>
      </c>
      <c r="I1942" s="251">
        <v>0.0</v>
      </c>
      <c r="J1942" s="251"/>
      <c r="K1942" s="252"/>
    </row>
    <row r="1943" ht="27.75" customHeight="1">
      <c r="A1943" s="247"/>
      <c r="B1943" s="248"/>
      <c r="C1943" s="249"/>
      <c r="D1943" s="248"/>
      <c r="E1943" s="250"/>
      <c r="F1943" s="248"/>
      <c r="G1943" s="56"/>
      <c r="H1943" s="251">
        <v>0.0</v>
      </c>
      <c r="I1943" s="251">
        <v>0.0</v>
      </c>
      <c r="J1943" s="251"/>
      <c r="K1943" s="252"/>
    </row>
    <row r="1944" ht="27.75" customHeight="1">
      <c r="A1944" s="247"/>
      <c r="B1944" s="248"/>
      <c r="C1944" s="249"/>
      <c r="D1944" s="248"/>
      <c r="E1944" s="250"/>
      <c r="F1944" s="248"/>
      <c r="G1944" s="56"/>
      <c r="H1944" s="251">
        <v>0.0</v>
      </c>
      <c r="I1944" s="251">
        <v>0.0</v>
      </c>
      <c r="J1944" s="251"/>
      <c r="K1944" s="252"/>
    </row>
    <row r="1945" ht="27.75" customHeight="1">
      <c r="A1945" s="247"/>
      <c r="B1945" s="248"/>
      <c r="C1945" s="249"/>
      <c r="D1945" s="248"/>
      <c r="E1945" s="250"/>
      <c r="F1945" s="248"/>
      <c r="G1945" s="56"/>
      <c r="H1945" s="251">
        <v>0.0</v>
      </c>
      <c r="I1945" s="251">
        <v>0.0</v>
      </c>
      <c r="J1945" s="251"/>
      <c r="K1945" s="252"/>
    </row>
    <row r="1946" ht="27.75" customHeight="1">
      <c r="A1946" s="247"/>
      <c r="B1946" s="248"/>
      <c r="C1946" s="249"/>
      <c r="D1946" s="248"/>
      <c r="E1946" s="250"/>
      <c r="F1946" s="248"/>
      <c r="G1946" s="56"/>
      <c r="H1946" s="251">
        <v>0.0</v>
      </c>
      <c r="I1946" s="251">
        <v>0.0</v>
      </c>
      <c r="J1946" s="251"/>
      <c r="K1946" s="252"/>
    </row>
    <row r="1947" ht="27.75" customHeight="1">
      <c r="A1947" s="247"/>
      <c r="B1947" s="248"/>
      <c r="C1947" s="249"/>
      <c r="D1947" s="248"/>
      <c r="E1947" s="250"/>
      <c r="F1947" s="248"/>
      <c r="G1947" s="56"/>
      <c r="H1947" s="251">
        <v>0.0</v>
      </c>
      <c r="I1947" s="251">
        <v>0.0</v>
      </c>
      <c r="J1947" s="251"/>
      <c r="K1947" s="252"/>
    </row>
    <row r="1948" ht="27.75" customHeight="1">
      <c r="A1948" s="247"/>
      <c r="B1948" s="248"/>
      <c r="C1948" s="249"/>
      <c r="D1948" s="248"/>
      <c r="E1948" s="250"/>
      <c r="F1948" s="248"/>
      <c r="G1948" s="56"/>
      <c r="H1948" s="251">
        <v>0.0</v>
      </c>
      <c r="I1948" s="251">
        <v>0.0</v>
      </c>
      <c r="J1948" s="251"/>
      <c r="K1948" s="252"/>
    </row>
    <row r="1949" ht="27.75" customHeight="1">
      <c r="A1949" s="247"/>
      <c r="B1949" s="248"/>
      <c r="C1949" s="249"/>
      <c r="D1949" s="248"/>
      <c r="E1949" s="250"/>
      <c r="F1949" s="248"/>
      <c r="G1949" s="56"/>
      <c r="H1949" s="251">
        <v>0.0</v>
      </c>
      <c r="I1949" s="251">
        <v>0.0</v>
      </c>
      <c r="J1949" s="251"/>
      <c r="K1949" s="252"/>
    </row>
    <row r="1950" ht="27.75" customHeight="1">
      <c r="A1950" s="247"/>
      <c r="B1950" s="248"/>
      <c r="C1950" s="249"/>
      <c r="D1950" s="248"/>
      <c r="E1950" s="250"/>
      <c r="F1950" s="248"/>
      <c r="G1950" s="56"/>
      <c r="H1950" s="251">
        <v>0.0</v>
      </c>
      <c r="I1950" s="251">
        <v>0.0</v>
      </c>
      <c r="J1950" s="251"/>
      <c r="K1950" s="252"/>
    </row>
    <row r="1951" ht="27.75" customHeight="1">
      <c r="A1951" s="247"/>
      <c r="B1951" s="248"/>
      <c r="C1951" s="249"/>
      <c r="D1951" s="248"/>
      <c r="E1951" s="250"/>
      <c r="F1951" s="248"/>
      <c r="G1951" s="56"/>
      <c r="H1951" s="251">
        <v>0.0</v>
      </c>
      <c r="I1951" s="251">
        <v>0.0</v>
      </c>
      <c r="J1951" s="251"/>
      <c r="K1951" s="252"/>
    </row>
    <row r="1952" ht="27.75" customHeight="1">
      <c r="A1952" s="247"/>
      <c r="B1952" s="248"/>
      <c r="C1952" s="249"/>
      <c r="D1952" s="248"/>
      <c r="E1952" s="250"/>
      <c r="F1952" s="248"/>
      <c r="G1952" s="56"/>
      <c r="H1952" s="251">
        <v>0.0</v>
      </c>
      <c r="I1952" s="251">
        <v>0.0</v>
      </c>
      <c r="J1952" s="251"/>
      <c r="K1952" s="252"/>
    </row>
    <row r="1953" ht="27.75" customHeight="1">
      <c r="A1953" s="247"/>
      <c r="B1953" s="248"/>
      <c r="C1953" s="249"/>
      <c r="D1953" s="248"/>
      <c r="E1953" s="250"/>
      <c r="F1953" s="248"/>
      <c r="G1953" s="56"/>
      <c r="H1953" s="251">
        <v>0.0</v>
      </c>
      <c r="I1953" s="251">
        <v>0.0</v>
      </c>
      <c r="J1953" s="251"/>
      <c r="K1953" s="252"/>
    </row>
    <row r="1954" ht="27.75" customHeight="1">
      <c r="A1954" s="247"/>
      <c r="B1954" s="248"/>
      <c r="C1954" s="249"/>
      <c r="D1954" s="248"/>
      <c r="E1954" s="250"/>
      <c r="F1954" s="248"/>
      <c r="G1954" s="56"/>
      <c r="H1954" s="251">
        <v>0.0</v>
      </c>
      <c r="I1954" s="251">
        <v>0.0</v>
      </c>
      <c r="J1954" s="251"/>
      <c r="K1954" s="252"/>
    </row>
    <row r="1955" ht="27.75" customHeight="1">
      <c r="A1955" s="247"/>
      <c r="B1955" s="248"/>
      <c r="C1955" s="249"/>
      <c r="D1955" s="248"/>
      <c r="E1955" s="250"/>
      <c r="F1955" s="248"/>
      <c r="G1955" s="56"/>
      <c r="H1955" s="251">
        <v>0.0</v>
      </c>
      <c r="I1955" s="251">
        <v>0.0</v>
      </c>
      <c r="J1955" s="251"/>
      <c r="K1955" s="252"/>
    </row>
    <row r="1956" ht="27.75" customHeight="1">
      <c r="A1956" s="247"/>
      <c r="B1956" s="248"/>
      <c r="C1956" s="249"/>
      <c r="D1956" s="248"/>
      <c r="E1956" s="250"/>
      <c r="F1956" s="248"/>
      <c r="G1956" s="56"/>
      <c r="H1956" s="251">
        <v>0.0</v>
      </c>
      <c r="I1956" s="251">
        <v>0.0</v>
      </c>
      <c r="J1956" s="251"/>
      <c r="K1956" s="252"/>
    </row>
    <row r="1957" ht="27.75" customHeight="1">
      <c r="A1957" s="247"/>
      <c r="B1957" s="248"/>
      <c r="C1957" s="249"/>
      <c r="D1957" s="248"/>
      <c r="E1957" s="250"/>
      <c r="F1957" s="248"/>
      <c r="G1957" s="56"/>
      <c r="H1957" s="251">
        <v>0.0</v>
      </c>
      <c r="I1957" s="251">
        <v>0.0</v>
      </c>
      <c r="J1957" s="251"/>
      <c r="K1957" s="252"/>
    </row>
    <row r="1958" ht="27.75" customHeight="1">
      <c r="A1958" s="247"/>
      <c r="B1958" s="248"/>
      <c r="C1958" s="249"/>
      <c r="D1958" s="248"/>
      <c r="E1958" s="250"/>
      <c r="F1958" s="248"/>
      <c r="G1958" s="56"/>
      <c r="H1958" s="251">
        <v>0.0</v>
      </c>
      <c r="I1958" s="251">
        <v>0.0</v>
      </c>
      <c r="J1958" s="251"/>
      <c r="K1958" s="252"/>
    </row>
    <row r="1959" ht="27.75" customHeight="1">
      <c r="A1959" s="247"/>
      <c r="B1959" s="248"/>
      <c r="C1959" s="249"/>
      <c r="D1959" s="248"/>
      <c r="E1959" s="250"/>
      <c r="F1959" s="248"/>
      <c r="G1959" s="56"/>
      <c r="H1959" s="251">
        <v>0.0</v>
      </c>
      <c r="I1959" s="251">
        <v>0.0</v>
      </c>
      <c r="J1959" s="251"/>
      <c r="K1959" s="252"/>
    </row>
    <row r="1960" ht="27.75" customHeight="1">
      <c r="A1960" s="247"/>
      <c r="B1960" s="248"/>
      <c r="C1960" s="249"/>
      <c r="D1960" s="248"/>
      <c r="E1960" s="250"/>
      <c r="F1960" s="248"/>
      <c r="G1960" s="56"/>
      <c r="H1960" s="251">
        <v>0.0</v>
      </c>
      <c r="I1960" s="251">
        <v>0.0</v>
      </c>
      <c r="J1960" s="251"/>
      <c r="K1960" s="252"/>
    </row>
    <row r="1961" ht="27.75" customHeight="1">
      <c r="A1961" s="247"/>
      <c r="B1961" s="248"/>
      <c r="C1961" s="249"/>
      <c r="D1961" s="248"/>
      <c r="E1961" s="250"/>
      <c r="F1961" s="248"/>
      <c r="G1961" s="56"/>
      <c r="H1961" s="251">
        <v>0.0</v>
      </c>
      <c r="I1961" s="251">
        <v>0.0</v>
      </c>
      <c r="J1961" s="251"/>
      <c r="K1961" s="252"/>
    </row>
    <row r="1962" ht="27.75" customHeight="1">
      <c r="A1962" s="247"/>
      <c r="B1962" s="248"/>
      <c r="C1962" s="249"/>
      <c r="D1962" s="248"/>
      <c r="E1962" s="250"/>
      <c r="F1962" s="248"/>
      <c r="G1962" s="56"/>
      <c r="H1962" s="251">
        <v>0.0</v>
      </c>
      <c r="I1962" s="251">
        <v>0.0</v>
      </c>
      <c r="J1962" s="251"/>
      <c r="K1962" s="252"/>
    </row>
    <row r="1963" ht="27.75" customHeight="1">
      <c r="A1963" s="247"/>
      <c r="B1963" s="248"/>
      <c r="C1963" s="249"/>
      <c r="D1963" s="248"/>
      <c r="E1963" s="250"/>
      <c r="F1963" s="248"/>
      <c r="G1963" s="56"/>
      <c r="H1963" s="251">
        <v>0.0</v>
      </c>
      <c r="I1963" s="251">
        <v>0.0</v>
      </c>
      <c r="J1963" s="251"/>
      <c r="K1963" s="252"/>
    </row>
    <row r="1964" ht="27.75" customHeight="1">
      <c r="A1964" s="247"/>
      <c r="B1964" s="248"/>
      <c r="C1964" s="249"/>
      <c r="D1964" s="248"/>
      <c r="E1964" s="250"/>
      <c r="F1964" s="248"/>
      <c r="G1964" s="56"/>
      <c r="H1964" s="251">
        <v>0.0</v>
      </c>
      <c r="I1964" s="251">
        <v>0.0</v>
      </c>
      <c r="J1964" s="251"/>
      <c r="K1964" s="252"/>
    </row>
    <row r="1965" ht="27.75" customHeight="1">
      <c r="A1965" s="247"/>
      <c r="B1965" s="248"/>
      <c r="C1965" s="249"/>
      <c r="D1965" s="248"/>
      <c r="E1965" s="250"/>
      <c r="F1965" s="248"/>
      <c r="G1965" s="56"/>
      <c r="H1965" s="251">
        <v>0.0</v>
      </c>
      <c r="I1965" s="251">
        <v>0.0</v>
      </c>
      <c r="J1965" s="251"/>
      <c r="K1965" s="252"/>
    </row>
    <row r="1966" ht="27.75" customHeight="1">
      <c r="A1966" s="247"/>
      <c r="B1966" s="248"/>
      <c r="C1966" s="249"/>
      <c r="D1966" s="248"/>
      <c r="E1966" s="250"/>
      <c r="F1966" s="248"/>
      <c r="G1966" s="56"/>
      <c r="H1966" s="251">
        <v>0.0</v>
      </c>
      <c r="I1966" s="251">
        <v>0.0</v>
      </c>
      <c r="J1966" s="251"/>
      <c r="K1966" s="252"/>
    </row>
    <row r="1967" ht="27.75" customHeight="1">
      <c r="A1967" s="247"/>
      <c r="B1967" s="248"/>
      <c r="C1967" s="249"/>
      <c r="D1967" s="248"/>
      <c r="E1967" s="250"/>
      <c r="F1967" s="248"/>
      <c r="G1967" s="56"/>
      <c r="H1967" s="251">
        <v>0.0</v>
      </c>
      <c r="I1967" s="251">
        <v>0.0</v>
      </c>
      <c r="J1967" s="251"/>
      <c r="K1967" s="252"/>
    </row>
    <row r="1968" ht="27.75" customHeight="1">
      <c r="A1968" s="247"/>
      <c r="B1968" s="248"/>
      <c r="C1968" s="249"/>
      <c r="D1968" s="248"/>
      <c r="E1968" s="250"/>
      <c r="F1968" s="248"/>
      <c r="G1968" s="56"/>
      <c r="H1968" s="251">
        <v>0.0</v>
      </c>
      <c r="I1968" s="251">
        <v>0.0</v>
      </c>
      <c r="J1968" s="251"/>
      <c r="K1968" s="252"/>
    </row>
    <row r="1969" ht="27.75" customHeight="1">
      <c r="A1969" s="247"/>
      <c r="B1969" s="248"/>
      <c r="C1969" s="249"/>
      <c r="D1969" s="248"/>
      <c r="E1969" s="250"/>
      <c r="F1969" s="248"/>
      <c r="G1969" s="56"/>
      <c r="H1969" s="251">
        <v>0.0</v>
      </c>
      <c r="I1969" s="251">
        <v>0.0</v>
      </c>
      <c r="J1969" s="251"/>
      <c r="K1969" s="252"/>
    </row>
    <row r="1970" ht="27.75" customHeight="1">
      <c r="A1970" s="247"/>
      <c r="B1970" s="248"/>
      <c r="C1970" s="249"/>
      <c r="D1970" s="248"/>
      <c r="E1970" s="250"/>
      <c r="F1970" s="248"/>
      <c r="G1970" s="56"/>
      <c r="H1970" s="251">
        <v>0.0</v>
      </c>
      <c r="I1970" s="251">
        <v>0.0</v>
      </c>
      <c r="J1970" s="251"/>
      <c r="K1970" s="252"/>
    </row>
    <row r="1971" ht="27.75" customHeight="1">
      <c r="A1971" s="247"/>
      <c r="B1971" s="248"/>
      <c r="C1971" s="249"/>
      <c r="D1971" s="248"/>
      <c r="E1971" s="250"/>
      <c r="F1971" s="248"/>
      <c r="G1971" s="56"/>
      <c r="H1971" s="251">
        <v>0.0</v>
      </c>
      <c r="I1971" s="251">
        <v>0.0</v>
      </c>
      <c r="J1971" s="251"/>
      <c r="K1971" s="252"/>
    </row>
    <row r="1972" ht="27.75" customHeight="1">
      <c r="A1972" s="247"/>
      <c r="B1972" s="248"/>
      <c r="C1972" s="249"/>
      <c r="D1972" s="248"/>
      <c r="E1972" s="250"/>
      <c r="F1972" s="248"/>
      <c r="G1972" s="56"/>
      <c r="H1972" s="251">
        <v>0.0</v>
      </c>
      <c r="I1972" s="251">
        <v>0.0</v>
      </c>
      <c r="J1972" s="251"/>
      <c r="K1972" s="252"/>
    </row>
    <row r="1973" ht="27.75" customHeight="1">
      <c r="A1973" s="247"/>
      <c r="B1973" s="248"/>
      <c r="C1973" s="249"/>
      <c r="D1973" s="248"/>
      <c r="E1973" s="250"/>
      <c r="F1973" s="248"/>
      <c r="G1973" s="56"/>
      <c r="H1973" s="251">
        <v>0.0</v>
      </c>
      <c r="I1973" s="251">
        <v>0.0</v>
      </c>
      <c r="J1973" s="251"/>
      <c r="K1973" s="252"/>
    </row>
    <row r="1974" ht="27.75" customHeight="1">
      <c r="A1974" s="247"/>
      <c r="B1974" s="248"/>
      <c r="C1974" s="249"/>
      <c r="D1974" s="248"/>
      <c r="E1974" s="250"/>
      <c r="F1974" s="248"/>
      <c r="G1974" s="56"/>
      <c r="H1974" s="251">
        <v>0.0</v>
      </c>
      <c r="I1974" s="251">
        <v>0.0</v>
      </c>
      <c r="J1974" s="251"/>
      <c r="K1974" s="252"/>
    </row>
    <row r="1975" ht="27.75" customHeight="1">
      <c r="A1975" s="247"/>
      <c r="B1975" s="248"/>
      <c r="C1975" s="249"/>
      <c r="D1975" s="248"/>
      <c r="E1975" s="250"/>
      <c r="F1975" s="248"/>
      <c r="G1975" s="56"/>
      <c r="H1975" s="251">
        <v>0.0</v>
      </c>
      <c r="I1975" s="251">
        <v>0.0</v>
      </c>
      <c r="J1975" s="251"/>
      <c r="K1975" s="252"/>
    </row>
    <row r="1976" ht="27.75" customHeight="1">
      <c r="A1976" s="247"/>
      <c r="B1976" s="248"/>
      <c r="C1976" s="249"/>
      <c r="D1976" s="248"/>
      <c r="E1976" s="250"/>
      <c r="F1976" s="248"/>
      <c r="G1976" s="56"/>
      <c r="H1976" s="251">
        <v>0.0</v>
      </c>
      <c r="I1976" s="251">
        <v>0.0</v>
      </c>
      <c r="J1976" s="251"/>
      <c r="K1976" s="252"/>
    </row>
    <row r="1977" ht="27.75" customHeight="1">
      <c r="A1977" s="247"/>
      <c r="B1977" s="248"/>
      <c r="C1977" s="249"/>
      <c r="D1977" s="248"/>
      <c r="E1977" s="250"/>
      <c r="F1977" s="248"/>
      <c r="G1977" s="56"/>
      <c r="H1977" s="251">
        <v>0.0</v>
      </c>
      <c r="I1977" s="251">
        <v>0.0</v>
      </c>
      <c r="J1977" s="251"/>
      <c r="K1977" s="252"/>
    </row>
    <row r="1978" ht="27.75" customHeight="1">
      <c r="A1978" s="247"/>
      <c r="B1978" s="248"/>
      <c r="C1978" s="249"/>
      <c r="D1978" s="248"/>
      <c r="E1978" s="250"/>
      <c r="F1978" s="248"/>
      <c r="G1978" s="56"/>
      <c r="H1978" s="251">
        <v>0.0</v>
      </c>
      <c r="I1978" s="251">
        <v>0.0</v>
      </c>
      <c r="J1978" s="251"/>
      <c r="K1978" s="252"/>
    </row>
    <row r="1979" ht="27.75" customHeight="1">
      <c r="A1979" s="247"/>
      <c r="B1979" s="248"/>
      <c r="C1979" s="249"/>
      <c r="D1979" s="248"/>
      <c r="E1979" s="250"/>
      <c r="F1979" s="248"/>
      <c r="G1979" s="56"/>
      <c r="H1979" s="251">
        <v>0.0</v>
      </c>
      <c r="I1979" s="251">
        <v>0.0</v>
      </c>
      <c r="J1979" s="251"/>
      <c r="K1979" s="252"/>
    </row>
    <row r="1980" ht="27.75" customHeight="1">
      <c r="A1980" s="247"/>
      <c r="B1980" s="248"/>
      <c r="C1980" s="249"/>
      <c r="D1980" s="248"/>
      <c r="E1980" s="250"/>
      <c r="F1980" s="248"/>
      <c r="G1980" s="56"/>
      <c r="H1980" s="251">
        <v>0.0</v>
      </c>
      <c r="I1980" s="251">
        <v>0.0</v>
      </c>
      <c r="J1980" s="251"/>
      <c r="K1980" s="252"/>
    </row>
    <row r="1981" ht="27.75" customHeight="1">
      <c r="A1981" s="247"/>
      <c r="B1981" s="248"/>
      <c r="C1981" s="249"/>
      <c r="D1981" s="248"/>
      <c r="E1981" s="250"/>
      <c r="F1981" s="248"/>
      <c r="G1981" s="56"/>
      <c r="H1981" s="251">
        <v>0.0</v>
      </c>
      <c r="I1981" s="251">
        <v>0.0</v>
      </c>
      <c r="J1981" s="251"/>
      <c r="K1981" s="252"/>
    </row>
    <row r="1982" ht="27.75" customHeight="1">
      <c r="A1982" s="247"/>
      <c r="B1982" s="248"/>
      <c r="C1982" s="249"/>
      <c r="D1982" s="248"/>
      <c r="E1982" s="250"/>
      <c r="F1982" s="248"/>
      <c r="G1982" s="56"/>
      <c r="H1982" s="251">
        <v>0.0</v>
      </c>
      <c r="I1982" s="251">
        <v>0.0</v>
      </c>
      <c r="J1982" s="251"/>
      <c r="K1982" s="252"/>
    </row>
    <row r="1983" ht="27.75" customHeight="1">
      <c r="A1983" s="247"/>
      <c r="B1983" s="248"/>
      <c r="C1983" s="249"/>
      <c r="D1983" s="248"/>
      <c r="E1983" s="250"/>
      <c r="F1983" s="248"/>
      <c r="G1983" s="56"/>
      <c r="H1983" s="251">
        <v>0.0</v>
      </c>
      <c r="I1983" s="251">
        <v>0.0</v>
      </c>
      <c r="J1983" s="251"/>
      <c r="K1983" s="252"/>
    </row>
    <row r="1984" ht="27.75" customHeight="1">
      <c r="A1984" s="247"/>
      <c r="B1984" s="248"/>
      <c r="C1984" s="249"/>
      <c r="D1984" s="248"/>
      <c r="E1984" s="250"/>
      <c r="F1984" s="248"/>
      <c r="G1984" s="56"/>
      <c r="H1984" s="251">
        <v>0.0</v>
      </c>
      <c r="I1984" s="251">
        <v>0.0</v>
      </c>
      <c r="J1984" s="251"/>
      <c r="K1984" s="252"/>
    </row>
    <row r="1985" ht="27.75" customHeight="1">
      <c r="A1985" s="247"/>
      <c r="B1985" s="248"/>
      <c r="C1985" s="249"/>
      <c r="D1985" s="248"/>
      <c r="E1985" s="250"/>
      <c r="F1985" s="248"/>
      <c r="G1985" s="56"/>
      <c r="H1985" s="251">
        <v>0.0</v>
      </c>
      <c r="I1985" s="251">
        <v>0.0</v>
      </c>
      <c r="J1985" s="251"/>
      <c r="K1985" s="252"/>
    </row>
    <row r="1986" ht="27.75" customHeight="1">
      <c r="A1986" s="247"/>
      <c r="B1986" s="248"/>
      <c r="C1986" s="249"/>
      <c r="D1986" s="248"/>
      <c r="E1986" s="250"/>
      <c r="F1986" s="248"/>
      <c r="G1986" s="56"/>
      <c r="H1986" s="251">
        <v>0.0</v>
      </c>
      <c r="I1986" s="251">
        <v>0.0</v>
      </c>
      <c r="J1986" s="251"/>
      <c r="K1986" s="252"/>
    </row>
    <row r="1987" ht="27.75" customHeight="1">
      <c r="A1987" s="247"/>
      <c r="B1987" s="248"/>
      <c r="C1987" s="249"/>
      <c r="D1987" s="248"/>
      <c r="E1987" s="250"/>
      <c r="F1987" s="248"/>
      <c r="G1987" s="56"/>
      <c r="H1987" s="251">
        <v>0.0</v>
      </c>
      <c r="I1987" s="251">
        <v>0.0</v>
      </c>
      <c r="J1987" s="251"/>
      <c r="K1987" s="252"/>
    </row>
    <row r="1988" ht="27.75" customHeight="1">
      <c r="A1988" s="247"/>
      <c r="B1988" s="248"/>
      <c r="C1988" s="249"/>
      <c r="D1988" s="248"/>
      <c r="E1988" s="250"/>
      <c r="F1988" s="248"/>
      <c r="G1988" s="56"/>
      <c r="H1988" s="251">
        <v>0.0</v>
      </c>
      <c r="I1988" s="251">
        <v>0.0</v>
      </c>
      <c r="J1988" s="251"/>
      <c r="K1988" s="252"/>
    </row>
    <row r="1989" ht="27.75" customHeight="1">
      <c r="A1989" s="247"/>
      <c r="B1989" s="248"/>
      <c r="C1989" s="249"/>
      <c r="D1989" s="248"/>
      <c r="E1989" s="250"/>
      <c r="F1989" s="248"/>
      <c r="G1989" s="56"/>
      <c r="H1989" s="251">
        <v>0.0</v>
      </c>
      <c r="I1989" s="251">
        <v>0.0</v>
      </c>
      <c r="J1989" s="251"/>
      <c r="K1989" s="252"/>
    </row>
    <row r="1990" ht="27.75" customHeight="1">
      <c r="A1990" s="247"/>
      <c r="B1990" s="248"/>
      <c r="C1990" s="249"/>
      <c r="D1990" s="248"/>
      <c r="E1990" s="250"/>
      <c r="F1990" s="248"/>
      <c r="G1990" s="56"/>
      <c r="H1990" s="251">
        <v>0.0</v>
      </c>
      <c r="I1990" s="251">
        <v>0.0</v>
      </c>
      <c r="J1990" s="251"/>
      <c r="K1990" s="252"/>
    </row>
    <row r="1991" ht="27.75" customHeight="1">
      <c r="A1991" s="247"/>
      <c r="B1991" s="248"/>
      <c r="C1991" s="249"/>
      <c r="D1991" s="248"/>
      <c r="E1991" s="250"/>
      <c r="F1991" s="248"/>
      <c r="G1991" s="56"/>
      <c r="H1991" s="251">
        <v>0.0</v>
      </c>
      <c r="I1991" s="251">
        <v>0.0</v>
      </c>
      <c r="J1991" s="251"/>
      <c r="K1991" s="252"/>
    </row>
    <row r="1992" ht="27.75" customHeight="1">
      <c r="A1992" s="247"/>
      <c r="B1992" s="248"/>
      <c r="C1992" s="249"/>
      <c r="D1992" s="248"/>
      <c r="E1992" s="250"/>
      <c r="F1992" s="248"/>
      <c r="G1992" s="56"/>
      <c r="H1992" s="251">
        <v>0.0</v>
      </c>
      <c r="I1992" s="251">
        <v>0.0</v>
      </c>
      <c r="J1992" s="251"/>
      <c r="K1992" s="252"/>
    </row>
    <row r="1993" ht="27.75" customHeight="1">
      <c r="A1993" s="247"/>
      <c r="B1993" s="248"/>
      <c r="C1993" s="249"/>
      <c r="D1993" s="248"/>
      <c r="E1993" s="250"/>
      <c r="F1993" s="248"/>
      <c r="G1993" s="56"/>
      <c r="H1993" s="251">
        <v>0.0</v>
      </c>
      <c r="I1993" s="251">
        <v>0.0</v>
      </c>
      <c r="J1993" s="251"/>
      <c r="K1993" s="252"/>
    </row>
    <row r="1994" ht="27.75" customHeight="1">
      <c r="A1994" s="247"/>
      <c r="B1994" s="248"/>
      <c r="C1994" s="249"/>
      <c r="D1994" s="248"/>
      <c r="E1994" s="250"/>
      <c r="F1994" s="248"/>
      <c r="G1994" s="56"/>
      <c r="H1994" s="251">
        <v>0.0</v>
      </c>
      <c r="I1994" s="251">
        <v>0.0</v>
      </c>
      <c r="J1994" s="251"/>
      <c r="K1994" s="252"/>
    </row>
    <row r="1995" ht="27.75" customHeight="1">
      <c r="A1995" s="247"/>
      <c r="B1995" s="248"/>
      <c r="C1995" s="249"/>
      <c r="D1995" s="248"/>
      <c r="E1995" s="250"/>
      <c r="F1995" s="248"/>
      <c r="G1995" s="56"/>
      <c r="H1995" s="251">
        <v>0.0</v>
      </c>
      <c r="I1995" s="251">
        <v>0.0</v>
      </c>
      <c r="J1995" s="251"/>
      <c r="K1995" s="252"/>
    </row>
    <row r="1996" ht="27.75" customHeight="1">
      <c r="A1996" s="247"/>
      <c r="B1996" s="248"/>
      <c r="C1996" s="249"/>
      <c r="D1996" s="248"/>
      <c r="E1996" s="250"/>
      <c r="F1996" s="248"/>
      <c r="G1996" s="56"/>
      <c r="H1996" s="251">
        <v>0.0</v>
      </c>
      <c r="I1996" s="251">
        <v>0.0</v>
      </c>
      <c r="J1996" s="251"/>
      <c r="K1996" s="252"/>
    </row>
    <row r="1997" ht="27.75" customHeight="1">
      <c r="A1997" s="247"/>
      <c r="B1997" s="248"/>
      <c r="C1997" s="249"/>
      <c r="D1997" s="248"/>
      <c r="E1997" s="250"/>
      <c r="F1997" s="248"/>
      <c r="G1997" s="56"/>
      <c r="H1997" s="251">
        <v>0.0</v>
      </c>
      <c r="I1997" s="251">
        <v>0.0</v>
      </c>
      <c r="J1997" s="251"/>
      <c r="K1997" s="252"/>
    </row>
    <row r="1998" ht="27.75" customHeight="1">
      <c r="A1998" s="247"/>
      <c r="B1998" s="248"/>
      <c r="C1998" s="249"/>
      <c r="D1998" s="248"/>
      <c r="E1998" s="250"/>
      <c r="F1998" s="248"/>
      <c r="G1998" s="56"/>
      <c r="H1998" s="251">
        <v>0.0</v>
      </c>
      <c r="I1998" s="251">
        <v>0.0</v>
      </c>
      <c r="J1998" s="251"/>
      <c r="K1998" s="252"/>
    </row>
    <row r="1999" ht="27.75" customHeight="1">
      <c r="A1999" s="247"/>
      <c r="B1999" s="248"/>
      <c r="C1999" s="249"/>
      <c r="D1999" s="248"/>
      <c r="E1999" s="250"/>
      <c r="F1999" s="248"/>
      <c r="G1999" s="56"/>
      <c r="H1999" s="251">
        <v>0.0</v>
      </c>
      <c r="I1999" s="251">
        <v>0.0</v>
      </c>
      <c r="J1999" s="251"/>
      <c r="K1999" s="252"/>
    </row>
    <row r="2000" ht="27.75" customHeight="1">
      <c r="A2000" s="247"/>
      <c r="B2000" s="248"/>
      <c r="C2000" s="249"/>
      <c r="D2000" s="248"/>
      <c r="E2000" s="250"/>
      <c r="F2000" s="248"/>
      <c r="G2000" s="56"/>
      <c r="H2000" s="251">
        <v>0.0</v>
      </c>
      <c r="I2000" s="251">
        <v>0.0</v>
      </c>
      <c r="J2000" s="251"/>
      <c r="K2000" s="252"/>
    </row>
    <row r="2001" ht="27.75" customHeight="1">
      <c r="A2001" s="247"/>
      <c r="B2001" s="248"/>
      <c r="C2001" s="249"/>
      <c r="D2001" s="248"/>
      <c r="E2001" s="250"/>
      <c r="F2001" s="248"/>
      <c r="G2001" s="56"/>
      <c r="H2001" s="251">
        <v>0.0</v>
      </c>
      <c r="I2001" s="251">
        <v>0.0</v>
      </c>
      <c r="J2001" s="251"/>
      <c r="K2001" s="252"/>
    </row>
  </sheetData>
  <conditionalFormatting sqref="F2:F2001">
    <cfRule type="cellIs" dxfId="27" priority="1" stopIfTrue="1" operator="equal">
      <formula>"Habis"</formula>
    </cfRule>
  </conditionalFormatting>
  <conditionalFormatting sqref="F2:F2001">
    <cfRule type="cellIs" dxfId="28" priority="2" stopIfTrue="1" operator="equal">
      <formula>"Menipis"</formula>
    </cfRule>
  </conditionalFormatting>
  <conditionalFormatting sqref="F2:F2001">
    <cfRule type="cellIs" dxfId="29" priority="3" stopIfTrue="1" operator="equal">
      <formula>"Tersedia"</formula>
    </cfRule>
  </conditionalFormatting>
  <conditionalFormatting sqref="J1078:K2001">
    <cfRule type="cellIs" dxfId="11" priority="4" stopIfTrue="1" operator="lessThan">
      <formula>0</formula>
    </cfRule>
  </conditionalFormatting>
  <conditionalFormatting sqref="J1078:K2001">
    <cfRule type="cellIs" dxfId="12" priority="5" stopIfTrue="1" operator="equal">
      <formula>0</formula>
    </cfRule>
  </conditionalFormatting>
  <conditionalFormatting sqref="J1078:K2001">
    <cfRule type="cellIs" dxfId="13" priority="6" stopIfTrue="1" operator="equal">
      <formula>0</formula>
    </cfRule>
  </conditionalFormatting>
  <conditionalFormatting sqref="J1078:K2001">
    <cfRule type="cellIs" dxfId="14" priority="7" stopIfTrue="1" operator="equal">
      <formula>0</formula>
    </cfRule>
  </conditionalFormatting>
  <conditionalFormatting sqref="J1078:K2001">
    <cfRule type="cellIs" dxfId="15" priority="8" stopIfTrue="1" operator="lessThan">
      <formula>0</formula>
    </cfRule>
  </conditionalFormatting>
  <conditionalFormatting sqref="J1078:K2001">
    <cfRule type="cellIs" dxfId="16" priority="9" stopIfTrue="1" operator="lessThan">
      <formula>0</formula>
    </cfRule>
  </conditionalFormatting>
  <conditionalFormatting sqref="J1078:K2001">
    <cfRule type="cellIs" dxfId="17" priority="10" stopIfTrue="1" operator="lessThan">
      <formula>0</formula>
    </cfRule>
  </conditionalFormatting>
  <conditionalFormatting sqref="F1078:F2001">
    <cfRule type="cellIs" dxfId="30" priority="11" stopIfTrue="1" operator="equal">
      <formula>"Habis"</formula>
    </cfRule>
  </conditionalFormatting>
  <conditionalFormatting sqref="F1078:F2001">
    <cfRule type="cellIs" dxfId="31" priority="12" stopIfTrue="1" operator="equal">
      <formula>"Menipis"</formula>
    </cfRule>
  </conditionalFormatting>
  <conditionalFormatting sqref="F2:F2001">
    <cfRule type="cellIs" dxfId="27" priority="13" stopIfTrue="1" operator="equal">
      <formula>"Habis"</formula>
    </cfRule>
  </conditionalFormatting>
  <conditionalFormatting sqref="F2:F2001">
    <cfRule type="cellIs" dxfId="28" priority="14" stopIfTrue="1" operator="equal">
      <formula>"Menipis"</formula>
    </cfRule>
  </conditionalFormatting>
  <conditionalFormatting sqref="F2:F2001">
    <cfRule type="cellIs" dxfId="29" priority="15" stopIfTrue="1" operator="equal">
      <formula>"Tersedia"</formula>
    </cfRule>
  </conditionalFormatting>
  <conditionalFormatting sqref="A1078:A2001">
    <cfRule type="containsBlanks" dxfId="16" priority="16" stopIfTrue="1">
      <formula>LEN(TRIM(A1078))=0</formula>
    </cfRule>
  </conditionalFormatting>
  <conditionalFormatting sqref="C1078:C2001">
    <cfRule type="expression" dxfId="21" priority="17" stopIfTrue="1">
      <formula>COUNTIF(C:C, C1078)&gt;1</formula>
    </cfRule>
  </conditionalFormatting>
  <conditionalFormatting sqref="J1078:K2001">
    <cfRule type="cellIs" dxfId="11" priority="18" stopIfTrue="1" operator="lessThan">
      <formula>0</formula>
    </cfRule>
  </conditionalFormatting>
  <conditionalFormatting sqref="J1078:K2001">
    <cfRule type="cellIs" dxfId="12" priority="19" stopIfTrue="1" operator="equal">
      <formula>0</formula>
    </cfRule>
  </conditionalFormatting>
  <conditionalFormatting sqref="J1078:K2001">
    <cfRule type="cellIs" dxfId="13" priority="20" stopIfTrue="1" operator="equal">
      <formula>0</formula>
    </cfRule>
  </conditionalFormatting>
  <conditionalFormatting sqref="J1078:K2001">
    <cfRule type="cellIs" dxfId="14" priority="21" stopIfTrue="1" operator="equal">
      <formula>0</formula>
    </cfRule>
  </conditionalFormatting>
  <conditionalFormatting sqref="J1078:K2001">
    <cfRule type="cellIs" dxfId="15" priority="22" stopIfTrue="1" operator="lessThan">
      <formula>0</formula>
    </cfRule>
  </conditionalFormatting>
  <conditionalFormatting sqref="J1078:K2001">
    <cfRule type="cellIs" dxfId="16" priority="23" stopIfTrue="1" operator="lessThan">
      <formula>0</formula>
    </cfRule>
  </conditionalFormatting>
  <conditionalFormatting sqref="J1078:K2001">
    <cfRule type="cellIs" dxfId="17" priority="24" stopIfTrue="1" operator="lessThan">
      <formula>0</formula>
    </cfRule>
  </conditionalFormatting>
  <conditionalFormatting sqref="F1078:F2001">
    <cfRule type="cellIs" dxfId="30" priority="25" stopIfTrue="1" operator="equal">
      <formula>"Habis"</formula>
    </cfRule>
  </conditionalFormatting>
  <conditionalFormatting sqref="F1078:F2001">
    <cfRule type="cellIs" dxfId="31" priority="26" stopIfTrue="1" operator="equal">
      <formula>"Menipis"</formula>
    </cfRule>
  </conditionalFormatting>
  <dataValidations>
    <dataValidation type="list" allowBlank="1" showErrorMessage="1" sqref="D2:D2001">
      <formula1>"NO BRAND,DAP,LENYES,VIVAN,IPHONE,SAMSUNG,GAN,ROBOT,ACOME,GAMEN,OLIKE,LAQUE,METIKO,VBOX,WELCOME,MINIMO,SONNY,OPPO,PM-50,BASEUSE,HDMI,REDSKULL,LANEX,VANGO,ULTRA,Robot,HT,Redskull,DATA,LINTIVEN,GUKOO,MINIBEST,INFINIX,POCO,VIVO,REDMI,REALME,OPP,XIAOMI,JASPAN,"&amp;"VIV0,Samsung,Ori,ORAIMO,ALIENS,J,OWS,AXIS,INDOSAT,PERDANA TSEL,PERDANA AXIS,PERDANA ISAT,SMART,TELKOMSEL,THREE,XL,RSPB"</formula1>
    </dataValidation>
    <dataValidation type="list" allowBlank="1" showErrorMessage="1" sqref="F2:F2001">
      <formula1>"Tersedia,Menipis,Habis"</formula1>
    </dataValidation>
    <dataValidation type="list" allowBlank="1" sqref="E2:E2001">
      <formula1>"Aksesoris Lainnya,AUX,AUX AV-003 1,5 M,BANDO,BATERAI,BATOK CHARGER,BROADCAST,CAR CHARGER,Car Charger,CARD READER,CHARGER AKI,CONVERTER,COOLING PAD,DOGLE,FAN,FLASHDISCK,FLASHDISK,GURITA,HANDFREE,Handfree,HDMI,HEADPHONE,HEADSET,HOLDER,HUB,JEMPOL,KABEL,KABEL"&amp;" DATA,Kabel data,KEYBOARD,KIPAS,LAIN LAIN,LAMPU,MIX,MMC,MOUSE,MOUSEPAD,OTG,POINTER,POWER BANK,POWERBANK,Powerbank,RADIATOR,RECIEVER,RINGLIGHT,SARUNG,SARUNG HP,Smart Watch,SMARTWACTH,SOCKET,SPEAKER,SPLINTER,STYLUS,TEMPERED GLASS,TRAVEL CHARGER,Travel Charg"&amp;"er,TRIPOD,TWS,Voucher,WIRELES MIX,ADAPTER,HANDFREEE"</formula1>
    </dataValidation>
    <dataValidation type="list" allowBlank="1" showErrorMessage="1" sqref="B2:B2001">
      <formula1>#REF!</formula1>
    </dataValidation>
    <dataValidation type="custom" allowBlank="1" showDropDown="1" sqref="H2:J2001">
      <formula1>AND(ISNUMBER(H2),(NOT(OR(NOT(ISERROR(DATEVALUE(H2))), AND(ISNUMBER(H2), LEFT(CELL("format", H2))="D")))))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6.0"/>
    <col customWidth="1" min="3" max="3" width="52.0"/>
    <col customWidth="1" min="4" max="4" width="10.13"/>
    <col customWidth="1" min="5" max="5" width="18.0"/>
    <col customWidth="1" min="6" max="6" width="12.0"/>
    <col customWidth="1" min="7" max="9" width="14.0"/>
    <col customWidth="1" min="10" max="10" width="12.0"/>
  </cols>
  <sheetData>
    <row r="1" ht="26.25" customHeight="1">
      <c r="A1" s="4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5" t="s">
        <v>8</v>
      </c>
      <c r="G1" s="8" t="s">
        <v>10</v>
      </c>
      <c r="H1" s="8" t="s">
        <v>11</v>
      </c>
      <c r="I1" s="4" t="s">
        <v>12</v>
      </c>
      <c r="J1" s="4" t="s">
        <v>13</v>
      </c>
    </row>
    <row r="2" ht="26.25" customHeight="1">
      <c r="A2" s="11" t="s">
        <v>15</v>
      </c>
      <c r="B2" s="13" t="s">
        <v>17</v>
      </c>
      <c r="C2" s="16" t="s">
        <v>18</v>
      </c>
      <c r="D2" s="13" t="s">
        <v>19</v>
      </c>
      <c r="E2" s="19" t="s">
        <v>22</v>
      </c>
      <c r="F2" s="13" t="s">
        <v>23</v>
      </c>
      <c r="G2" s="22">
        <v>32174.0</v>
      </c>
      <c r="H2" s="22">
        <v>35000.0</v>
      </c>
      <c r="I2" s="22">
        <f t="array" ref="I2:I1997">IF(A2:A1997="", "", H2:H1997 - G2:G1997)</f>
        <v>2826</v>
      </c>
      <c r="J2" s="46">
        <f t="array" ref="J2:J1997">IF(A2:A1997="", "", IFERROR(I2:I1997 / G2:G1997, 0))</f>
        <v>0.08783489774</v>
      </c>
    </row>
    <row r="3" ht="26.25" customHeight="1">
      <c r="A3" s="47" t="s">
        <v>35</v>
      </c>
      <c r="B3" s="48" t="s">
        <v>17</v>
      </c>
      <c r="C3" s="50" t="s">
        <v>36</v>
      </c>
      <c r="D3" s="48" t="s">
        <v>19</v>
      </c>
      <c r="E3" s="52" t="s">
        <v>22</v>
      </c>
      <c r="F3" s="48" t="s">
        <v>23</v>
      </c>
      <c r="G3" s="53">
        <v>37110.0</v>
      </c>
      <c r="H3" s="53">
        <v>40000.0</v>
      </c>
      <c r="I3" s="53">
        <v>2890.0</v>
      </c>
      <c r="J3" s="54">
        <v>0.07787658313123147</v>
      </c>
    </row>
    <row r="4" ht="26.25" customHeight="1">
      <c r="A4" s="11" t="s">
        <v>37</v>
      </c>
      <c r="B4" s="13" t="s">
        <v>17</v>
      </c>
      <c r="C4" s="16" t="s">
        <v>38</v>
      </c>
      <c r="D4" s="13" t="s">
        <v>19</v>
      </c>
      <c r="E4" s="13" t="s">
        <v>22</v>
      </c>
      <c r="F4" s="13" t="s">
        <v>23</v>
      </c>
      <c r="G4" s="22">
        <v>45550.0</v>
      </c>
      <c r="H4" s="22">
        <v>49000.0</v>
      </c>
      <c r="I4" s="22">
        <v>3450.0</v>
      </c>
      <c r="J4" s="46">
        <v>0.07574094401756312</v>
      </c>
    </row>
    <row r="5" ht="26.25" customHeight="1">
      <c r="A5" s="47" t="s">
        <v>39</v>
      </c>
      <c r="B5" s="48" t="s">
        <v>17</v>
      </c>
      <c r="C5" s="50" t="s">
        <v>40</v>
      </c>
      <c r="D5" s="48" t="s">
        <v>19</v>
      </c>
      <c r="E5" s="48" t="s">
        <v>22</v>
      </c>
      <c r="F5" s="48" t="s">
        <v>23</v>
      </c>
      <c r="G5" s="53">
        <v>54548.0</v>
      </c>
      <c r="H5" s="53">
        <v>59000.0</v>
      </c>
      <c r="I5" s="53">
        <v>4452.0</v>
      </c>
      <c r="J5" s="54">
        <v>0.0816161912444086</v>
      </c>
    </row>
    <row r="6" ht="26.25" customHeight="1">
      <c r="A6" s="11" t="s">
        <v>41</v>
      </c>
      <c r="B6" s="13" t="s">
        <v>17</v>
      </c>
      <c r="C6" s="16" t="s">
        <v>42</v>
      </c>
      <c r="D6" s="13" t="s">
        <v>19</v>
      </c>
      <c r="E6" s="13" t="s">
        <v>22</v>
      </c>
      <c r="F6" s="13" t="s">
        <v>23</v>
      </c>
      <c r="G6" s="22">
        <v>66205.0</v>
      </c>
      <c r="H6" s="22">
        <v>70000.0</v>
      </c>
      <c r="I6" s="22">
        <v>3795.0</v>
      </c>
      <c r="J6" s="46">
        <v>0.057321954535155956</v>
      </c>
    </row>
    <row r="7" ht="26.25" customHeight="1">
      <c r="A7" s="47" t="s">
        <v>43</v>
      </c>
      <c r="B7" s="48" t="s">
        <v>17</v>
      </c>
      <c r="C7" s="50" t="s">
        <v>44</v>
      </c>
      <c r="D7" s="48" t="s">
        <v>19</v>
      </c>
      <c r="E7" s="48" t="s">
        <v>22</v>
      </c>
      <c r="F7" s="48" t="s">
        <v>23</v>
      </c>
      <c r="G7" s="53">
        <v>62669.0</v>
      </c>
      <c r="H7" s="53">
        <v>66000.0</v>
      </c>
      <c r="I7" s="53">
        <v>3331.0</v>
      </c>
      <c r="J7" s="54">
        <v>0.05315227624503343</v>
      </c>
    </row>
    <row r="8" ht="26.25" customHeight="1">
      <c r="A8" s="11" t="s">
        <v>45</v>
      </c>
      <c r="B8" s="13" t="s">
        <v>17</v>
      </c>
      <c r="C8" s="16" t="s">
        <v>46</v>
      </c>
      <c r="D8" s="13" t="s">
        <v>19</v>
      </c>
      <c r="E8" s="13" t="s">
        <v>22</v>
      </c>
      <c r="F8" s="13" t="s">
        <v>23</v>
      </c>
      <c r="G8" s="22">
        <v>68365.0</v>
      </c>
      <c r="H8" s="22">
        <v>74000.0</v>
      </c>
      <c r="I8" s="22">
        <v>5635.0</v>
      </c>
      <c r="J8" s="46">
        <v>0.0824252175820961</v>
      </c>
    </row>
    <row r="9" ht="26.25" customHeight="1">
      <c r="A9" s="47" t="s">
        <v>47</v>
      </c>
      <c r="B9" s="48" t="s">
        <v>17</v>
      </c>
      <c r="C9" s="50" t="s">
        <v>48</v>
      </c>
      <c r="D9" s="48" t="s">
        <v>19</v>
      </c>
      <c r="E9" s="48" t="s">
        <v>22</v>
      </c>
      <c r="F9" s="48" t="s">
        <v>23</v>
      </c>
      <c r="G9" s="53">
        <v>70046.0</v>
      </c>
      <c r="H9" s="53">
        <v>75000.0</v>
      </c>
      <c r="I9" s="53">
        <v>4954.0</v>
      </c>
      <c r="J9" s="54">
        <v>0.07072495217428547</v>
      </c>
    </row>
    <row r="10" ht="26.25" customHeight="1">
      <c r="A10" s="11" t="s">
        <v>49</v>
      </c>
      <c r="B10" s="13" t="s">
        <v>17</v>
      </c>
      <c r="C10" s="16" t="s">
        <v>50</v>
      </c>
      <c r="D10" s="13" t="s">
        <v>19</v>
      </c>
      <c r="E10" s="13" t="s">
        <v>22</v>
      </c>
      <c r="F10" s="13" t="s">
        <v>23</v>
      </c>
      <c r="G10" s="22">
        <v>78925.0</v>
      </c>
      <c r="H10" s="22">
        <v>85000.0</v>
      </c>
      <c r="I10" s="22">
        <v>6075.0</v>
      </c>
      <c r="J10" s="46">
        <v>0.07697180867912576</v>
      </c>
    </row>
    <row r="11" ht="26.25" customHeight="1">
      <c r="A11" s="47" t="s">
        <v>51</v>
      </c>
      <c r="B11" s="48" t="s">
        <v>17</v>
      </c>
      <c r="C11" s="50" t="s">
        <v>52</v>
      </c>
      <c r="D11" s="48" t="s">
        <v>19</v>
      </c>
      <c r="E11" s="48" t="s">
        <v>22</v>
      </c>
      <c r="F11" s="48" t="s">
        <v>23</v>
      </c>
      <c r="G11" s="53">
        <v>89290.0</v>
      </c>
      <c r="H11" s="53">
        <v>95000.0</v>
      </c>
      <c r="I11" s="53">
        <v>5710.0</v>
      </c>
      <c r="J11" s="54">
        <v>0.06394893045133833</v>
      </c>
    </row>
    <row r="12" ht="26.25" customHeight="1">
      <c r="A12" s="11" t="s">
        <v>53</v>
      </c>
      <c r="B12" s="13" t="s">
        <v>17</v>
      </c>
      <c r="C12" s="16" t="s">
        <v>54</v>
      </c>
      <c r="D12" s="13" t="s">
        <v>19</v>
      </c>
      <c r="E12" s="13" t="s">
        <v>22</v>
      </c>
      <c r="F12" s="13" t="s">
        <v>23</v>
      </c>
      <c r="G12" s="22">
        <v>115200.0</v>
      </c>
      <c r="H12" s="22">
        <v>120000.0</v>
      </c>
      <c r="I12" s="22">
        <v>4800.0</v>
      </c>
      <c r="J12" s="46">
        <v>0.041666666666666664</v>
      </c>
    </row>
    <row r="13" ht="26.25" customHeight="1">
      <c r="A13" s="47" t="s">
        <v>55</v>
      </c>
      <c r="B13" s="48" t="s">
        <v>17</v>
      </c>
      <c r="C13" s="50" t="s">
        <v>56</v>
      </c>
      <c r="D13" s="48" t="s">
        <v>19</v>
      </c>
      <c r="E13" s="48" t="s">
        <v>22</v>
      </c>
      <c r="F13" s="48" t="s">
        <v>23</v>
      </c>
      <c r="G13" s="53">
        <v>11678.0</v>
      </c>
      <c r="H13" s="53">
        <v>14000.0</v>
      </c>
      <c r="I13" s="53">
        <v>2322.0</v>
      </c>
      <c r="J13" s="54">
        <v>0.1988354170234629</v>
      </c>
    </row>
    <row r="14" ht="26.25" customHeight="1">
      <c r="A14" s="11" t="s">
        <v>57</v>
      </c>
      <c r="B14" s="13" t="s">
        <v>17</v>
      </c>
      <c r="C14" s="16" t="s">
        <v>58</v>
      </c>
      <c r="D14" s="13" t="s">
        <v>19</v>
      </c>
      <c r="E14" s="13" t="s">
        <v>22</v>
      </c>
      <c r="F14" s="13" t="s">
        <v>23</v>
      </c>
      <c r="G14" s="22">
        <v>13700.0</v>
      </c>
      <c r="H14" s="22">
        <v>16000.0</v>
      </c>
      <c r="I14" s="22">
        <v>2300.0</v>
      </c>
      <c r="J14" s="46">
        <v>0.1678832116788321</v>
      </c>
    </row>
    <row r="15" ht="26.25" customHeight="1">
      <c r="A15" s="47" t="s">
        <v>60</v>
      </c>
      <c r="B15" s="48" t="s">
        <v>17</v>
      </c>
      <c r="C15" s="50" t="s">
        <v>61</v>
      </c>
      <c r="D15" s="48" t="s">
        <v>19</v>
      </c>
      <c r="E15" s="48" t="s">
        <v>22</v>
      </c>
      <c r="F15" s="48" t="s">
        <v>23</v>
      </c>
      <c r="G15" s="53">
        <v>13200.0</v>
      </c>
      <c r="H15" s="53">
        <v>16000.0</v>
      </c>
      <c r="I15" s="53">
        <v>2800.0</v>
      </c>
      <c r="J15" s="54">
        <v>0.21212121212121213</v>
      </c>
    </row>
    <row r="16" ht="26.25" customHeight="1">
      <c r="A16" s="11" t="s">
        <v>63</v>
      </c>
      <c r="B16" s="13" t="s">
        <v>17</v>
      </c>
      <c r="C16" s="16" t="s">
        <v>65</v>
      </c>
      <c r="D16" s="13" t="s">
        <v>19</v>
      </c>
      <c r="E16" s="13" t="s">
        <v>22</v>
      </c>
      <c r="F16" s="13" t="s">
        <v>23</v>
      </c>
      <c r="G16" s="22">
        <v>16035.0</v>
      </c>
      <c r="H16" s="22">
        <v>19000.0</v>
      </c>
      <c r="I16" s="22">
        <v>2965.0</v>
      </c>
      <c r="J16" s="46">
        <v>0.18490801371998752</v>
      </c>
    </row>
    <row r="17" ht="26.25" customHeight="1">
      <c r="A17" s="47" t="s">
        <v>67</v>
      </c>
      <c r="B17" s="48" t="s">
        <v>17</v>
      </c>
      <c r="C17" s="50" t="s">
        <v>68</v>
      </c>
      <c r="D17" s="48" t="s">
        <v>19</v>
      </c>
      <c r="E17" s="48" t="s">
        <v>22</v>
      </c>
      <c r="F17" s="48" t="s">
        <v>23</v>
      </c>
      <c r="G17" s="53">
        <v>14600.0</v>
      </c>
      <c r="H17" s="53">
        <v>17000.0</v>
      </c>
      <c r="I17" s="53">
        <v>2400.0</v>
      </c>
      <c r="J17" s="54">
        <v>0.1643835616438356</v>
      </c>
    </row>
    <row r="18" ht="26.25" customHeight="1">
      <c r="A18" s="11" t="s">
        <v>69</v>
      </c>
      <c r="B18" s="13" t="s">
        <v>17</v>
      </c>
      <c r="C18" s="16" t="s">
        <v>70</v>
      </c>
      <c r="D18" s="13" t="s">
        <v>19</v>
      </c>
      <c r="E18" s="13" t="s">
        <v>22</v>
      </c>
      <c r="F18" s="13" t="s">
        <v>23</v>
      </c>
      <c r="G18" s="22">
        <v>17350.0</v>
      </c>
      <c r="H18" s="22">
        <v>20000.0</v>
      </c>
      <c r="I18" s="22">
        <v>2650.0</v>
      </c>
      <c r="J18" s="46">
        <v>0.15273775216138327</v>
      </c>
    </row>
    <row r="19" ht="26.25" customHeight="1">
      <c r="A19" s="47" t="s">
        <v>71</v>
      </c>
      <c r="B19" s="48" t="s">
        <v>17</v>
      </c>
      <c r="C19" s="50" t="s">
        <v>72</v>
      </c>
      <c r="D19" s="48" t="s">
        <v>19</v>
      </c>
      <c r="E19" s="48" t="s">
        <v>22</v>
      </c>
      <c r="F19" s="48" t="s">
        <v>23</v>
      </c>
      <c r="G19" s="53">
        <v>18000.0</v>
      </c>
      <c r="H19" s="53">
        <v>21000.0</v>
      </c>
      <c r="I19" s="53">
        <v>3000.0</v>
      </c>
      <c r="J19" s="54">
        <v>0.16666666666666666</v>
      </c>
    </row>
    <row r="20" ht="26.25" customHeight="1">
      <c r="A20" s="11" t="s">
        <v>73</v>
      </c>
      <c r="B20" s="13" t="s">
        <v>17</v>
      </c>
      <c r="C20" s="16" t="s">
        <v>74</v>
      </c>
      <c r="D20" s="13" t="s">
        <v>19</v>
      </c>
      <c r="E20" s="13" t="s">
        <v>22</v>
      </c>
      <c r="F20" s="13" t="s">
        <v>23</v>
      </c>
      <c r="G20" s="22">
        <v>21100.0</v>
      </c>
      <c r="H20" s="22">
        <v>24000.0</v>
      </c>
      <c r="I20" s="22">
        <v>2900.0</v>
      </c>
      <c r="J20" s="46">
        <v>0.13744075829383887</v>
      </c>
    </row>
    <row r="21" ht="26.25" customHeight="1">
      <c r="A21" s="47" t="s">
        <v>75</v>
      </c>
      <c r="B21" s="48" t="s">
        <v>17</v>
      </c>
      <c r="C21" s="50" t="s">
        <v>76</v>
      </c>
      <c r="D21" s="48" t="s">
        <v>19</v>
      </c>
      <c r="E21" s="48" t="s">
        <v>22</v>
      </c>
      <c r="F21" s="48" t="s">
        <v>23</v>
      </c>
      <c r="G21" s="53">
        <v>23200.0</v>
      </c>
      <c r="H21" s="53">
        <v>26000.0</v>
      </c>
      <c r="I21" s="53">
        <v>2800.0</v>
      </c>
      <c r="J21" s="54">
        <v>0.1206896551724138</v>
      </c>
    </row>
    <row r="22" ht="26.25" customHeight="1">
      <c r="A22" s="11" t="s">
        <v>77</v>
      </c>
      <c r="B22" s="13" t="s">
        <v>17</v>
      </c>
      <c r="C22" s="16" t="s">
        <v>78</v>
      </c>
      <c r="D22" s="13" t="s">
        <v>19</v>
      </c>
      <c r="E22" s="13" t="s">
        <v>22</v>
      </c>
      <c r="F22" s="13" t="s">
        <v>23</v>
      </c>
      <c r="G22" s="22">
        <v>21100.0</v>
      </c>
      <c r="H22" s="22">
        <v>24000.0</v>
      </c>
      <c r="I22" s="22">
        <v>2900.0</v>
      </c>
      <c r="J22" s="46">
        <v>0.13744075829383887</v>
      </c>
    </row>
    <row r="23" ht="26.25" customHeight="1">
      <c r="A23" s="47" t="s">
        <v>79</v>
      </c>
      <c r="B23" s="48" t="s">
        <v>17</v>
      </c>
      <c r="C23" s="50" t="s">
        <v>80</v>
      </c>
      <c r="D23" s="48" t="s">
        <v>19</v>
      </c>
      <c r="E23" s="48" t="s">
        <v>22</v>
      </c>
      <c r="F23" s="48" t="s">
        <v>23</v>
      </c>
      <c r="G23" s="53">
        <v>32606.0</v>
      </c>
      <c r="H23" s="53">
        <v>36000.0</v>
      </c>
      <c r="I23" s="53">
        <v>3394.0</v>
      </c>
      <c r="J23" s="54">
        <v>0.1040912715451144</v>
      </c>
    </row>
    <row r="24" ht="26.25" customHeight="1">
      <c r="A24" s="11" t="s">
        <v>81</v>
      </c>
      <c r="B24" s="13" t="s">
        <v>17</v>
      </c>
      <c r="C24" s="16" t="s">
        <v>82</v>
      </c>
      <c r="D24" s="13" t="s">
        <v>19</v>
      </c>
      <c r="E24" s="13" t="s">
        <v>22</v>
      </c>
      <c r="F24" s="13" t="s">
        <v>23</v>
      </c>
      <c r="G24" s="22">
        <v>58262.0</v>
      </c>
      <c r="H24" s="22">
        <v>61000.0</v>
      </c>
      <c r="I24" s="22">
        <v>2738.0</v>
      </c>
      <c r="J24" s="46">
        <v>0.04699461055233257</v>
      </c>
    </row>
    <row r="25" ht="26.25" customHeight="1">
      <c r="A25" s="47" t="s">
        <v>83</v>
      </c>
      <c r="B25" s="48" t="s">
        <v>17</v>
      </c>
      <c r="C25" s="50" t="s">
        <v>84</v>
      </c>
      <c r="D25" s="48" t="s">
        <v>19</v>
      </c>
      <c r="E25" s="48" t="s">
        <v>22</v>
      </c>
      <c r="F25" s="48" t="s">
        <v>23</v>
      </c>
      <c r="G25" s="53">
        <v>86624.0</v>
      </c>
      <c r="H25" s="53">
        <v>90000.0</v>
      </c>
      <c r="I25" s="53">
        <v>3376.0</v>
      </c>
      <c r="J25" s="54">
        <v>0.03897303287772442</v>
      </c>
    </row>
    <row r="26" ht="26.25" customHeight="1">
      <c r="A26" s="11" t="s">
        <v>86</v>
      </c>
      <c r="B26" s="13" t="s">
        <v>17</v>
      </c>
      <c r="C26" s="16" t="s">
        <v>87</v>
      </c>
      <c r="D26" s="13" t="s">
        <v>19</v>
      </c>
      <c r="E26" s="13" t="s">
        <v>22</v>
      </c>
      <c r="F26" s="13" t="s">
        <v>23</v>
      </c>
      <c r="G26" s="22">
        <v>124050.0</v>
      </c>
      <c r="H26" s="22">
        <v>130000.0</v>
      </c>
      <c r="I26" s="22">
        <v>5950.0</v>
      </c>
      <c r="J26" s="46">
        <v>0.04796453043127771</v>
      </c>
    </row>
    <row r="27" ht="26.25" customHeight="1">
      <c r="A27" s="47" t="s">
        <v>89</v>
      </c>
      <c r="B27" s="48" t="s">
        <v>17</v>
      </c>
      <c r="C27" s="50" t="s">
        <v>90</v>
      </c>
      <c r="D27" s="48" t="s">
        <v>19</v>
      </c>
      <c r="E27" s="48" t="s">
        <v>22</v>
      </c>
      <c r="F27" s="48" t="s">
        <v>23</v>
      </c>
      <c r="G27" s="53">
        <v>32049.0</v>
      </c>
      <c r="H27" s="53">
        <v>35000.0</v>
      </c>
      <c r="I27" s="53">
        <v>2951.0</v>
      </c>
      <c r="J27" s="54">
        <v>0.09207775593622265</v>
      </c>
    </row>
    <row r="28" ht="26.25" customHeight="1">
      <c r="A28" s="11" t="s">
        <v>92</v>
      </c>
      <c r="B28" s="13" t="s">
        <v>17</v>
      </c>
      <c r="C28" s="16" t="s">
        <v>93</v>
      </c>
      <c r="D28" s="13" t="s">
        <v>19</v>
      </c>
      <c r="E28" s="13" t="s">
        <v>22</v>
      </c>
      <c r="F28" s="13" t="s">
        <v>23</v>
      </c>
      <c r="G28" s="22">
        <v>0.0</v>
      </c>
      <c r="H28" s="22">
        <v>0.0</v>
      </c>
      <c r="I28" s="22">
        <v>0.0</v>
      </c>
      <c r="J28" s="46">
        <v>0.0</v>
      </c>
    </row>
    <row r="29" ht="26.25" customHeight="1">
      <c r="A29" s="47" t="s">
        <v>94</v>
      </c>
      <c r="B29" s="48" t="s">
        <v>17</v>
      </c>
      <c r="C29" s="50" t="s">
        <v>95</v>
      </c>
      <c r="D29" s="48" t="s">
        <v>19</v>
      </c>
      <c r="E29" s="48" t="s">
        <v>22</v>
      </c>
      <c r="F29" s="48" t="s">
        <v>23</v>
      </c>
      <c r="G29" s="53">
        <v>33376.0</v>
      </c>
      <c r="H29" s="53">
        <v>37000.0</v>
      </c>
      <c r="I29" s="53">
        <v>3624.0</v>
      </c>
      <c r="J29" s="54">
        <v>0.1085810162991371</v>
      </c>
    </row>
    <row r="30" ht="26.25" customHeight="1">
      <c r="A30" s="11" t="s">
        <v>96</v>
      </c>
      <c r="B30" s="13" t="s">
        <v>17</v>
      </c>
      <c r="C30" s="16" t="s">
        <v>97</v>
      </c>
      <c r="D30" s="13" t="s">
        <v>19</v>
      </c>
      <c r="E30" s="13" t="s">
        <v>22</v>
      </c>
      <c r="F30" s="13" t="s">
        <v>23</v>
      </c>
      <c r="G30" s="22">
        <v>45550.0</v>
      </c>
      <c r="H30" s="22">
        <v>49000.0</v>
      </c>
      <c r="I30" s="22">
        <v>3450.0</v>
      </c>
      <c r="J30" s="46">
        <v>0.07574094401756312</v>
      </c>
    </row>
    <row r="31" ht="26.25" customHeight="1">
      <c r="A31" s="47" t="s">
        <v>98</v>
      </c>
      <c r="B31" s="48" t="s">
        <v>17</v>
      </c>
      <c r="C31" s="50" t="s">
        <v>99</v>
      </c>
      <c r="D31" s="48" t="s">
        <v>19</v>
      </c>
      <c r="E31" s="48" t="s">
        <v>22</v>
      </c>
      <c r="F31" s="48" t="s">
        <v>23</v>
      </c>
      <c r="G31" s="53">
        <v>56062.0</v>
      </c>
      <c r="H31" s="53">
        <v>60000.0</v>
      </c>
      <c r="I31" s="53">
        <v>3938.0</v>
      </c>
      <c r="J31" s="54">
        <v>0.07024365880632158</v>
      </c>
    </row>
    <row r="32" ht="26.25" customHeight="1">
      <c r="A32" s="11" t="s">
        <v>100</v>
      </c>
      <c r="B32" s="13" t="s">
        <v>17</v>
      </c>
      <c r="C32" s="16" t="s">
        <v>101</v>
      </c>
      <c r="D32" s="13" t="s">
        <v>19</v>
      </c>
      <c r="E32" s="13" t="s">
        <v>22</v>
      </c>
      <c r="F32" s="13" t="s">
        <v>23</v>
      </c>
      <c r="G32" s="22">
        <v>67215.0</v>
      </c>
      <c r="H32" s="22">
        <v>72000.0</v>
      </c>
      <c r="I32" s="22">
        <v>4785.0</v>
      </c>
      <c r="J32" s="46">
        <v>0.0711894666369114</v>
      </c>
    </row>
    <row r="33" ht="26.25" customHeight="1">
      <c r="A33" s="47" t="s">
        <v>102</v>
      </c>
      <c r="B33" s="48" t="s">
        <v>17</v>
      </c>
      <c r="C33" s="50" t="s">
        <v>103</v>
      </c>
      <c r="D33" s="48" t="s">
        <v>19</v>
      </c>
      <c r="E33" s="48" t="s">
        <v>22</v>
      </c>
      <c r="F33" s="48" t="s">
        <v>23</v>
      </c>
      <c r="G33" s="53">
        <v>76335.0</v>
      </c>
      <c r="H33" s="53">
        <v>81000.0</v>
      </c>
      <c r="I33" s="53">
        <v>4665.0</v>
      </c>
      <c r="J33" s="54">
        <v>0.06111220279033209</v>
      </c>
    </row>
    <row r="34" ht="26.25" customHeight="1">
      <c r="A34" s="11" t="s">
        <v>104</v>
      </c>
      <c r="B34" s="13" t="s">
        <v>17</v>
      </c>
      <c r="C34" s="16" t="s">
        <v>105</v>
      </c>
      <c r="D34" s="13" t="s">
        <v>19</v>
      </c>
      <c r="E34" s="13" t="s">
        <v>22</v>
      </c>
      <c r="F34" s="13" t="s">
        <v>23</v>
      </c>
      <c r="G34" s="22">
        <v>98000.0</v>
      </c>
      <c r="H34" s="22">
        <v>104000.0</v>
      </c>
      <c r="I34" s="22">
        <v>6000.0</v>
      </c>
      <c r="J34" s="46">
        <v>0.061224489795918366</v>
      </c>
    </row>
    <row r="35" ht="26.25" customHeight="1">
      <c r="A35" s="47" t="s">
        <v>106</v>
      </c>
      <c r="B35" s="48" t="s">
        <v>17</v>
      </c>
      <c r="C35" s="50" t="s">
        <v>107</v>
      </c>
      <c r="D35" s="48" t="s">
        <v>19</v>
      </c>
      <c r="E35" s="48" t="s">
        <v>22</v>
      </c>
      <c r="F35" s="48" t="s">
        <v>23</v>
      </c>
      <c r="G35" s="53">
        <v>95730.0</v>
      </c>
      <c r="H35" s="53">
        <v>101000.0</v>
      </c>
      <c r="I35" s="53">
        <v>5270.0</v>
      </c>
      <c r="J35" s="54">
        <v>0.055050663323931895</v>
      </c>
    </row>
    <row r="36" ht="26.25" customHeight="1">
      <c r="A36" s="11" t="s">
        <v>108</v>
      </c>
      <c r="B36" s="13" t="s">
        <v>17</v>
      </c>
      <c r="C36" s="16" t="s">
        <v>109</v>
      </c>
      <c r="D36" s="13" t="s">
        <v>19</v>
      </c>
      <c r="E36" s="13" t="s">
        <v>22</v>
      </c>
      <c r="F36" s="13" t="s">
        <v>23</v>
      </c>
      <c r="G36" s="22">
        <v>133535.0</v>
      </c>
      <c r="H36" s="22">
        <v>142000.0</v>
      </c>
      <c r="I36" s="22">
        <v>8465.0</v>
      </c>
      <c r="J36" s="46">
        <v>0.06339162017448609</v>
      </c>
    </row>
    <row r="37" ht="26.25" customHeight="1">
      <c r="A37" s="47" t="s">
        <v>110</v>
      </c>
      <c r="B37" s="48" t="s">
        <v>17</v>
      </c>
      <c r="C37" s="50" t="s">
        <v>112</v>
      </c>
      <c r="D37" s="48" t="s">
        <v>19</v>
      </c>
      <c r="E37" s="48" t="s">
        <v>22</v>
      </c>
      <c r="F37" s="48" t="s">
        <v>23</v>
      </c>
      <c r="G37" s="53">
        <v>6412.0</v>
      </c>
      <c r="H37" s="53">
        <v>9000.0</v>
      </c>
      <c r="I37" s="53">
        <v>2588.0</v>
      </c>
      <c r="J37" s="54">
        <v>0.40361821584529006</v>
      </c>
    </row>
    <row r="38" ht="26.25" customHeight="1">
      <c r="A38" s="11" t="s">
        <v>114</v>
      </c>
      <c r="B38" s="13" t="s">
        <v>17</v>
      </c>
      <c r="C38" s="16" t="s">
        <v>115</v>
      </c>
      <c r="D38" s="13" t="s">
        <v>19</v>
      </c>
      <c r="E38" s="13" t="s">
        <v>22</v>
      </c>
      <c r="F38" s="13" t="s">
        <v>23</v>
      </c>
      <c r="G38" s="22">
        <v>8625.0</v>
      </c>
      <c r="H38" s="22">
        <v>12000.0</v>
      </c>
      <c r="I38" s="22">
        <v>3375.0</v>
      </c>
      <c r="J38" s="46">
        <v>0.391304347826087</v>
      </c>
    </row>
    <row r="39" ht="26.25" customHeight="1">
      <c r="A39" s="47" t="s">
        <v>117</v>
      </c>
      <c r="B39" s="48" t="s">
        <v>17</v>
      </c>
      <c r="C39" s="50" t="s">
        <v>118</v>
      </c>
      <c r="D39" s="48" t="s">
        <v>19</v>
      </c>
      <c r="E39" s="48" t="s">
        <v>22</v>
      </c>
      <c r="F39" s="48" t="s">
        <v>23</v>
      </c>
      <c r="G39" s="53">
        <v>11314.0</v>
      </c>
      <c r="H39" s="53">
        <v>14000.0</v>
      </c>
      <c r="I39" s="53">
        <v>2686.0</v>
      </c>
      <c r="J39" s="54">
        <v>0.23740498497436804</v>
      </c>
    </row>
    <row r="40" ht="26.25" customHeight="1">
      <c r="A40" s="11" t="s">
        <v>119</v>
      </c>
      <c r="B40" s="13" t="s">
        <v>17</v>
      </c>
      <c r="C40" s="16" t="s">
        <v>120</v>
      </c>
      <c r="D40" s="13" t="s">
        <v>19</v>
      </c>
      <c r="E40" s="13" t="s">
        <v>22</v>
      </c>
      <c r="F40" s="13" t="s">
        <v>23</v>
      </c>
      <c r="G40" s="22">
        <v>18717.0</v>
      </c>
      <c r="H40" s="22">
        <v>21000.0</v>
      </c>
      <c r="I40" s="22">
        <v>2283.0</v>
      </c>
      <c r="J40" s="46">
        <v>0.1219746754287546</v>
      </c>
    </row>
    <row r="41" ht="26.25" customHeight="1">
      <c r="A41" s="47" t="s">
        <v>121</v>
      </c>
      <c r="B41" s="48" t="s">
        <v>17</v>
      </c>
      <c r="C41" s="50" t="s">
        <v>122</v>
      </c>
      <c r="D41" s="48" t="s">
        <v>19</v>
      </c>
      <c r="E41" s="48" t="s">
        <v>22</v>
      </c>
      <c r="F41" s="48" t="s">
        <v>23</v>
      </c>
      <c r="G41" s="53">
        <v>18898.0</v>
      </c>
      <c r="H41" s="53">
        <v>21000.0</v>
      </c>
      <c r="I41" s="53">
        <v>2102.0</v>
      </c>
      <c r="J41" s="54">
        <v>0.11122870144988888</v>
      </c>
    </row>
    <row r="42" ht="26.25" customHeight="1">
      <c r="A42" s="11" t="s">
        <v>123</v>
      </c>
      <c r="B42" s="13" t="s">
        <v>17</v>
      </c>
      <c r="C42" s="16" t="s">
        <v>124</v>
      </c>
      <c r="D42" s="13" t="s">
        <v>19</v>
      </c>
      <c r="E42" s="13" t="s">
        <v>22</v>
      </c>
      <c r="F42" s="13" t="s">
        <v>23</v>
      </c>
      <c r="G42" s="22">
        <v>22518.0</v>
      </c>
      <c r="H42" s="22">
        <v>25000.0</v>
      </c>
      <c r="I42" s="22">
        <v>2482.0</v>
      </c>
      <c r="J42" s="46">
        <v>0.1102229327648992</v>
      </c>
    </row>
    <row r="43" ht="26.25" customHeight="1">
      <c r="A43" s="47" t="s">
        <v>125</v>
      </c>
      <c r="B43" s="48" t="s">
        <v>17</v>
      </c>
      <c r="C43" s="50" t="s">
        <v>126</v>
      </c>
      <c r="D43" s="48" t="s">
        <v>19</v>
      </c>
      <c r="E43" s="48" t="s">
        <v>22</v>
      </c>
      <c r="F43" s="48" t="s">
        <v>23</v>
      </c>
      <c r="G43" s="53">
        <v>22934.0</v>
      </c>
      <c r="H43" s="53">
        <v>26000.0</v>
      </c>
      <c r="I43" s="53">
        <v>3066.0</v>
      </c>
      <c r="J43" s="54">
        <v>0.1336879741867969</v>
      </c>
    </row>
    <row r="44" ht="26.25" customHeight="1">
      <c r="A44" s="11" t="s">
        <v>127</v>
      </c>
      <c r="B44" s="13" t="s">
        <v>17</v>
      </c>
      <c r="C44" s="16" t="s">
        <v>128</v>
      </c>
      <c r="D44" s="13" t="s">
        <v>19</v>
      </c>
      <c r="E44" s="13" t="s">
        <v>22</v>
      </c>
      <c r="F44" s="13" t="s">
        <v>23</v>
      </c>
      <c r="G44" s="22">
        <v>26303.0</v>
      </c>
      <c r="H44" s="22">
        <v>29000.0</v>
      </c>
      <c r="I44" s="22">
        <v>2697.0</v>
      </c>
      <c r="J44" s="46">
        <v>0.10253583241455347</v>
      </c>
    </row>
    <row r="45" ht="26.25" customHeight="1">
      <c r="A45" s="47" t="s">
        <v>129</v>
      </c>
      <c r="B45" s="48" t="s">
        <v>17</v>
      </c>
      <c r="C45" s="50" t="s">
        <v>130</v>
      </c>
      <c r="D45" s="48" t="s">
        <v>19</v>
      </c>
      <c r="E45" s="48" t="s">
        <v>22</v>
      </c>
      <c r="F45" s="48" t="s">
        <v>23</v>
      </c>
      <c r="G45" s="53">
        <v>36139.0</v>
      </c>
      <c r="H45" s="53">
        <v>39000.0</v>
      </c>
      <c r="I45" s="53">
        <v>2861.0</v>
      </c>
      <c r="J45" s="54">
        <v>0.07916655137109493</v>
      </c>
    </row>
    <row r="46" ht="26.25" customHeight="1">
      <c r="A46" s="11" t="s">
        <v>131</v>
      </c>
      <c r="B46" s="13" t="s">
        <v>17</v>
      </c>
      <c r="C46" s="16" t="s">
        <v>132</v>
      </c>
      <c r="D46" s="13" t="s">
        <v>19</v>
      </c>
      <c r="E46" s="13" t="s">
        <v>22</v>
      </c>
      <c r="F46" s="13" t="s">
        <v>23</v>
      </c>
      <c r="G46" s="22">
        <v>43104.0</v>
      </c>
      <c r="H46" s="22">
        <v>47000.0</v>
      </c>
      <c r="I46" s="22">
        <v>3896.0</v>
      </c>
      <c r="J46" s="46">
        <v>0.09038604305864885</v>
      </c>
    </row>
    <row r="47" ht="26.25" customHeight="1">
      <c r="A47" s="47" t="s">
        <v>134</v>
      </c>
      <c r="B47" s="48" t="s">
        <v>17</v>
      </c>
      <c r="C47" s="50" t="s">
        <v>135</v>
      </c>
      <c r="D47" s="48" t="s">
        <v>19</v>
      </c>
      <c r="E47" s="48" t="s">
        <v>22</v>
      </c>
      <c r="F47" s="48" t="s">
        <v>23</v>
      </c>
      <c r="G47" s="53">
        <v>68365.0</v>
      </c>
      <c r="H47" s="53">
        <v>74000.0</v>
      </c>
      <c r="I47" s="53">
        <v>5635.0</v>
      </c>
      <c r="J47" s="54">
        <v>0.0824252175820961</v>
      </c>
    </row>
    <row r="48" ht="26.25" customHeight="1">
      <c r="A48" s="11" t="s">
        <v>138</v>
      </c>
      <c r="B48" s="13" t="s">
        <v>17</v>
      </c>
      <c r="C48" s="16" t="s">
        <v>139</v>
      </c>
      <c r="D48" s="13" t="s">
        <v>140</v>
      </c>
      <c r="E48" s="13" t="s">
        <v>22</v>
      </c>
      <c r="F48" s="13" t="s">
        <v>23</v>
      </c>
      <c r="G48" s="22">
        <v>17250.0</v>
      </c>
      <c r="H48" s="22">
        <v>20000.0</v>
      </c>
      <c r="I48" s="22">
        <v>2750.0</v>
      </c>
      <c r="J48" s="46">
        <v>0.15942028985507245</v>
      </c>
    </row>
    <row r="49" ht="26.25" customHeight="1">
      <c r="A49" s="47" t="s">
        <v>141</v>
      </c>
      <c r="B49" s="48" t="s">
        <v>17</v>
      </c>
      <c r="C49" s="50" t="s">
        <v>142</v>
      </c>
      <c r="D49" s="48" t="s">
        <v>140</v>
      </c>
      <c r="E49" s="48" t="s">
        <v>22</v>
      </c>
      <c r="F49" s="48" t="s">
        <v>23</v>
      </c>
      <c r="G49" s="53">
        <v>23125.0</v>
      </c>
      <c r="H49" s="53">
        <v>26000.0</v>
      </c>
      <c r="I49" s="53">
        <v>2875.0</v>
      </c>
      <c r="J49" s="54">
        <v>0.12432432432432433</v>
      </c>
    </row>
    <row r="50" ht="26.25" customHeight="1">
      <c r="A50" s="11" t="s">
        <v>143</v>
      </c>
      <c r="B50" s="13" t="s">
        <v>17</v>
      </c>
      <c r="C50" s="16" t="s">
        <v>144</v>
      </c>
      <c r="D50" s="13" t="s">
        <v>140</v>
      </c>
      <c r="E50" s="13" t="s">
        <v>22</v>
      </c>
      <c r="F50" s="13" t="s">
        <v>23</v>
      </c>
      <c r="G50" s="22">
        <v>24395.0</v>
      </c>
      <c r="H50" s="22">
        <v>28000.0</v>
      </c>
      <c r="I50" s="22">
        <v>3605.0</v>
      </c>
      <c r="J50" s="46">
        <v>0.14777618364418937</v>
      </c>
    </row>
    <row r="51" ht="26.25" customHeight="1">
      <c r="A51" s="47" t="s">
        <v>145</v>
      </c>
      <c r="B51" s="48" t="s">
        <v>17</v>
      </c>
      <c r="C51" s="50" t="s">
        <v>146</v>
      </c>
      <c r="D51" s="48" t="s">
        <v>140</v>
      </c>
      <c r="E51" s="48" t="s">
        <v>22</v>
      </c>
      <c r="F51" s="48" t="s">
        <v>23</v>
      </c>
      <c r="G51" s="53">
        <v>32275.0</v>
      </c>
      <c r="H51" s="53">
        <v>35000.0</v>
      </c>
      <c r="I51" s="53">
        <v>2725.0</v>
      </c>
      <c r="J51" s="54">
        <v>0.0844306738962045</v>
      </c>
    </row>
    <row r="52" ht="26.25" customHeight="1">
      <c r="A52" s="11" t="s">
        <v>147</v>
      </c>
      <c r="B52" s="13" t="s">
        <v>17</v>
      </c>
      <c r="C52" s="16" t="s">
        <v>148</v>
      </c>
      <c r="D52" s="13" t="s">
        <v>140</v>
      </c>
      <c r="E52" s="13" t="s">
        <v>22</v>
      </c>
      <c r="F52" s="13" t="s">
        <v>23</v>
      </c>
      <c r="G52" s="22">
        <v>30098.0</v>
      </c>
      <c r="H52" s="22">
        <v>34000.0</v>
      </c>
      <c r="I52" s="22">
        <v>3902.0</v>
      </c>
      <c r="J52" s="46">
        <v>0.12964316565884776</v>
      </c>
    </row>
    <row r="53" ht="26.25" customHeight="1">
      <c r="A53" s="47" t="s">
        <v>149</v>
      </c>
      <c r="B53" s="48" t="s">
        <v>17</v>
      </c>
      <c r="C53" s="50" t="s">
        <v>150</v>
      </c>
      <c r="D53" s="48" t="s">
        <v>140</v>
      </c>
      <c r="E53" s="48" t="s">
        <v>22</v>
      </c>
      <c r="F53" s="48" t="s">
        <v>23</v>
      </c>
      <c r="G53" s="53">
        <v>41000.0</v>
      </c>
      <c r="H53" s="53">
        <v>45000.0</v>
      </c>
      <c r="I53" s="53">
        <v>4000.0</v>
      </c>
      <c r="J53" s="54">
        <v>0.0975609756097561</v>
      </c>
    </row>
    <row r="54" ht="26.25" customHeight="1">
      <c r="A54" s="11" t="s">
        <v>151</v>
      </c>
      <c r="B54" s="13" t="s">
        <v>17</v>
      </c>
      <c r="C54" s="16" t="s">
        <v>152</v>
      </c>
      <c r="D54" s="13" t="s">
        <v>140</v>
      </c>
      <c r="E54" s="13" t="s">
        <v>22</v>
      </c>
      <c r="F54" s="13" t="s">
        <v>23</v>
      </c>
      <c r="G54" s="22">
        <v>36348.0</v>
      </c>
      <c r="H54" s="22">
        <v>39000.0</v>
      </c>
      <c r="I54" s="22">
        <v>2652.0</v>
      </c>
      <c r="J54" s="46">
        <v>0.07296137339055794</v>
      </c>
    </row>
    <row r="55" ht="26.25" customHeight="1">
      <c r="A55" s="47" t="s">
        <v>153</v>
      </c>
      <c r="B55" s="48" t="s">
        <v>17</v>
      </c>
      <c r="C55" s="50" t="s">
        <v>154</v>
      </c>
      <c r="D55" s="48" t="s">
        <v>140</v>
      </c>
      <c r="E55" s="48" t="s">
        <v>22</v>
      </c>
      <c r="F55" s="48" t="s">
        <v>23</v>
      </c>
      <c r="G55" s="53">
        <v>24395.0</v>
      </c>
      <c r="H55" s="53">
        <v>28000.0</v>
      </c>
      <c r="I55" s="53">
        <v>3605.0</v>
      </c>
      <c r="J55" s="54">
        <v>0.14777618364418937</v>
      </c>
    </row>
    <row r="56" ht="26.25" customHeight="1">
      <c r="A56" s="11" t="s">
        <v>156</v>
      </c>
      <c r="B56" s="13" t="s">
        <v>17</v>
      </c>
      <c r="C56" s="16" t="s">
        <v>157</v>
      </c>
      <c r="D56" s="13" t="s">
        <v>140</v>
      </c>
      <c r="E56" s="13" t="s">
        <v>22</v>
      </c>
      <c r="F56" s="13" t="s">
        <v>23</v>
      </c>
      <c r="G56" s="22">
        <v>53898.0</v>
      </c>
      <c r="H56" s="22">
        <v>57000.0</v>
      </c>
      <c r="I56" s="22">
        <v>3102.0</v>
      </c>
      <c r="J56" s="46">
        <v>0.057553155961260156</v>
      </c>
    </row>
    <row r="57" ht="26.25" customHeight="1">
      <c r="A57" s="47" t="s">
        <v>159</v>
      </c>
      <c r="B57" s="48" t="s">
        <v>17</v>
      </c>
      <c r="C57" s="50" t="s">
        <v>160</v>
      </c>
      <c r="D57" s="48" t="s">
        <v>140</v>
      </c>
      <c r="E57" s="48" t="s">
        <v>22</v>
      </c>
      <c r="F57" s="48" t="s">
        <v>23</v>
      </c>
      <c r="G57" s="53">
        <v>61775.0</v>
      </c>
      <c r="H57" s="53">
        <v>65000.0</v>
      </c>
      <c r="I57" s="53">
        <v>3225.0</v>
      </c>
      <c r="J57" s="54">
        <v>0.05220558478348847</v>
      </c>
    </row>
    <row r="58" ht="26.25" customHeight="1">
      <c r="A58" s="11" t="s">
        <v>161</v>
      </c>
      <c r="B58" s="13" t="s">
        <v>17</v>
      </c>
      <c r="C58" s="16" t="s">
        <v>162</v>
      </c>
      <c r="D58" s="13" t="s">
        <v>140</v>
      </c>
      <c r="E58" s="13" t="s">
        <v>22</v>
      </c>
      <c r="F58" s="13" t="s">
        <v>23</v>
      </c>
      <c r="G58" s="22">
        <v>97900.0</v>
      </c>
      <c r="H58" s="22">
        <v>102000.0</v>
      </c>
      <c r="I58" s="22">
        <v>4100.0</v>
      </c>
      <c r="J58" s="46">
        <v>0.04187946884576098</v>
      </c>
    </row>
    <row r="59" ht="26.25" customHeight="1">
      <c r="A59" s="47" t="s">
        <v>163</v>
      </c>
      <c r="B59" s="48" t="s">
        <v>17</v>
      </c>
      <c r="C59" s="50" t="s">
        <v>164</v>
      </c>
      <c r="D59" s="48" t="s">
        <v>140</v>
      </c>
      <c r="E59" s="48" t="s">
        <v>22</v>
      </c>
      <c r="F59" s="48" t="s">
        <v>23</v>
      </c>
      <c r="G59" s="53">
        <v>104671.0</v>
      </c>
      <c r="H59" s="53">
        <v>110000.0</v>
      </c>
      <c r="I59" s="53">
        <v>5329.0</v>
      </c>
      <c r="J59" s="54">
        <v>0.05091190492113384</v>
      </c>
    </row>
    <row r="60" ht="26.25" customHeight="1">
      <c r="A60" s="11" t="s">
        <v>165</v>
      </c>
      <c r="B60" s="13" t="s">
        <v>17</v>
      </c>
      <c r="C60" s="16" t="s">
        <v>166</v>
      </c>
      <c r="D60" s="13" t="s">
        <v>140</v>
      </c>
      <c r="E60" s="13" t="s">
        <v>22</v>
      </c>
      <c r="F60" s="13" t="s">
        <v>23</v>
      </c>
      <c r="G60" s="22">
        <v>0.0</v>
      </c>
      <c r="H60" s="22">
        <v>0.0</v>
      </c>
      <c r="I60" s="22">
        <v>0.0</v>
      </c>
      <c r="J60" s="46">
        <v>0.0</v>
      </c>
    </row>
    <row r="61" ht="26.25" customHeight="1">
      <c r="A61" s="47" t="s">
        <v>167</v>
      </c>
      <c r="B61" s="48" t="s">
        <v>17</v>
      </c>
      <c r="C61" s="50" t="s">
        <v>168</v>
      </c>
      <c r="D61" s="48" t="s">
        <v>140</v>
      </c>
      <c r="E61" s="48" t="s">
        <v>22</v>
      </c>
      <c r="F61" s="48" t="s">
        <v>23</v>
      </c>
      <c r="G61" s="53">
        <v>9175.0</v>
      </c>
      <c r="H61" s="53">
        <v>12000.0</v>
      </c>
      <c r="I61" s="53">
        <v>2825.0</v>
      </c>
      <c r="J61" s="54">
        <v>0.3079019073569482</v>
      </c>
    </row>
    <row r="62" ht="26.25" customHeight="1">
      <c r="A62" s="11" t="s">
        <v>169</v>
      </c>
      <c r="B62" s="13" t="s">
        <v>17</v>
      </c>
      <c r="C62" s="16" t="s">
        <v>170</v>
      </c>
      <c r="D62" s="13" t="s">
        <v>140</v>
      </c>
      <c r="E62" s="13" t="s">
        <v>22</v>
      </c>
      <c r="F62" s="13" t="s">
        <v>23</v>
      </c>
      <c r="G62" s="22">
        <v>0.0</v>
      </c>
      <c r="H62" s="22">
        <v>0.0</v>
      </c>
      <c r="I62" s="22">
        <v>0.0</v>
      </c>
      <c r="J62" s="46">
        <v>0.0</v>
      </c>
    </row>
    <row r="63" ht="26.25" customHeight="1">
      <c r="A63" s="47" t="s">
        <v>171</v>
      </c>
      <c r="B63" s="48" t="s">
        <v>17</v>
      </c>
      <c r="C63" s="50" t="s">
        <v>172</v>
      </c>
      <c r="D63" s="48" t="s">
        <v>140</v>
      </c>
      <c r="E63" s="48" t="s">
        <v>22</v>
      </c>
      <c r="F63" s="48" t="s">
        <v>23</v>
      </c>
      <c r="G63" s="53">
        <v>10210.0</v>
      </c>
      <c r="H63" s="53">
        <v>13000.0</v>
      </c>
      <c r="I63" s="53">
        <v>2790.0</v>
      </c>
      <c r="J63" s="54">
        <v>0.2732615083251714</v>
      </c>
    </row>
    <row r="64" ht="26.25" customHeight="1">
      <c r="A64" s="11" t="s">
        <v>174</v>
      </c>
      <c r="B64" s="13" t="s">
        <v>17</v>
      </c>
      <c r="C64" s="16" t="s">
        <v>176</v>
      </c>
      <c r="D64" s="13" t="s">
        <v>140</v>
      </c>
      <c r="E64" s="13" t="s">
        <v>22</v>
      </c>
      <c r="F64" s="13" t="s">
        <v>23</v>
      </c>
      <c r="G64" s="22">
        <v>9375.0</v>
      </c>
      <c r="H64" s="22">
        <v>12000.0</v>
      </c>
      <c r="I64" s="22">
        <v>2625.0</v>
      </c>
      <c r="J64" s="46">
        <v>0.28</v>
      </c>
    </row>
    <row r="65" ht="26.25" customHeight="1">
      <c r="A65" s="47" t="s">
        <v>178</v>
      </c>
      <c r="B65" s="48" t="s">
        <v>17</v>
      </c>
      <c r="C65" s="50" t="s">
        <v>179</v>
      </c>
      <c r="D65" s="48" t="s">
        <v>140</v>
      </c>
      <c r="E65" s="48" t="s">
        <v>22</v>
      </c>
      <c r="F65" s="48" t="s">
        <v>23</v>
      </c>
      <c r="G65" s="53">
        <v>16805.0</v>
      </c>
      <c r="H65" s="53">
        <v>20000.0</v>
      </c>
      <c r="I65" s="53">
        <v>3195.0</v>
      </c>
      <c r="J65" s="54">
        <v>0.19012198750371914</v>
      </c>
    </row>
    <row r="66" ht="26.25" customHeight="1">
      <c r="A66" s="11" t="s">
        <v>180</v>
      </c>
      <c r="B66" s="13" t="s">
        <v>17</v>
      </c>
      <c r="C66" s="16" t="s">
        <v>181</v>
      </c>
      <c r="D66" s="13" t="s">
        <v>140</v>
      </c>
      <c r="E66" s="13" t="s">
        <v>22</v>
      </c>
      <c r="F66" s="13" t="s">
        <v>23</v>
      </c>
      <c r="G66" s="22">
        <v>24040.0</v>
      </c>
      <c r="H66" s="22">
        <v>27000.0</v>
      </c>
      <c r="I66" s="22">
        <v>2960.0</v>
      </c>
      <c r="J66" s="46">
        <v>0.12312811980033278</v>
      </c>
    </row>
    <row r="67" ht="26.25" customHeight="1">
      <c r="A67" s="47" t="s">
        <v>182</v>
      </c>
      <c r="B67" s="48" t="s">
        <v>17</v>
      </c>
      <c r="C67" s="50" t="s">
        <v>183</v>
      </c>
      <c r="D67" s="48" t="s">
        <v>140</v>
      </c>
      <c r="E67" s="48" t="s">
        <v>22</v>
      </c>
      <c r="F67" s="48" t="s">
        <v>23</v>
      </c>
      <c r="G67" s="53">
        <v>19880.0</v>
      </c>
      <c r="H67" s="53">
        <v>22000.0</v>
      </c>
      <c r="I67" s="53">
        <v>2120.0</v>
      </c>
      <c r="J67" s="54">
        <v>0.10663983903420524</v>
      </c>
    </row>
    <row r="68" ht="26.25" customHeight="1">
      <c r="A68" s="11" t="s">
        <v>184</v>
      </c>
      <c r="B68" s="13" t="s">
        <v>17</v>
      </c>
      <c r="C68" s="16" t="s">
        <v>185</v>
      </c>
      <c r="D68" s="13" t="s">
        <v>140</v>
      </c>
      <c r="E68" s="13" t="s">
        <v>22</v>
      </c>
      <c r="F68" s="13" t="s">
        <v>23</v>
      </c>
      <c r="G68" s="22">
        <v>20300.0</v>
      </c>
      <c r="H68" s="22">
        <v>23000.0</v>
      </c>
      <c r="I68" s="22">
        <v>2700.0</v>
      </c>
      <c r="J68" s="46">
        <v>0.1330049261083744</v>
      </c>
    </row>
    <row r="69" ht="26.25" customHeight="1">
      <c r="A69" s="47" t="s">
        <v>186</v>
      </c>
      <c r="B69" s="48" t="s">
        <v>17</v>
      </c>
      <c r="C69" s="50" t="s">
        <v>187</v>
      </c>
      <c r="D69" s="48" t="s">
        <v>140</v>
      </c>
      <c r="E69" s="48" t="s">
        <v>22</v>
      </c>
      <c r="F69" s="48" t="s">
        <v>23</v>
      </c>
      <c r="G69" s="53">
        <v>24040.0</v>
      </c>
      <c r="H69" s="53">
        <v>27000.0</v>
      </c>
      <c r="I69" s="53">
        <v>2960.0</v>
      </c>
      <c r="J69" s="54">
        <v>0.12312811980033278</v>
      </c>
    </row>
    <row r="70" ht="26.25" customHeight="1">
      <c r="A70" s="11" t="s">
        <v>188</v>
      </c>
      <c r="B70" s="13" t="s">
        <v>17</v>
      </c>
      <c r="C70" s="16" t="s">
        <v>189</v>
      </c>
      <c r="D70" s="13" t="s">
        <v>140</v>
      </c>
      <c r="E70" s="13" t="s">
        <v>22</v>
      </c>
      <c r="F70" s="13" t="s">
        <v>23</v>
      </c>
      <c r="G70" s="22">
        <v>0.0</v>
      </c>
      <c r="H70" s="22">
        <v>0.0</v>
      </c>
      <c r="I70" s="22">
        <v>0.0</v>
      </c>
      <c r="J70" s="46">
        <v>0.0</v>
      </c>
    </row>
    <row r="71" ht="26.25" customHeight="1">
      <c r="A71" s="47" t="s">
        <v>190</v>
      </c>
      <c r="B71" s="48" t="s">
        <v>17</v>
      </c>
      <c r="C71" s="50" t="s">
        <v>191</v>
      </c>
      <c r="D71" s="48" t="s">
        <v>140</v>
      </c>
      <c r="E71" s="48" t="s">
        <v>22</v>
      </c>
      <c r="F71" s="48" t="s">
        <v>23</v>
      </c>
      <c r="G71" s="53">
        <v>22796.0</v>
      </c>
      <c r="H71" s="53">
        <v>27000.0</v>
      </c>
      <c r="I71" s="53">
        <v>4204.0</v>
      </c>
      <c r="J71" s="54">
        <v>0.1844183190033339</v>
      </c>
    </row>
    <row r="72" ht="26.25" customHeight="1">
      <c r="A72" s="11" t="s">
        <v>192</v>
      </c>
      <c r="B72" s="13" t="s">
        <v>17</v>
      </c>
      <c r="C72" s="16" t="s">
        <v>193</v>
      </c>
      <c r="D72" s="13" t="s">
        <v>140</v>
      </c>
      <c r="E72" s="13" t="s">
        <v>22</v>
      </c>
      <c r="F72" s="13" t="s">
        <v>23</v>
      </c>
      <c r="G72" s="22">
        <v>21170.0</v>
      </c>
      <c r="H72" s="22">
        <v>23000.0</v>
      </c>
      <c r="I72" s="22">
        <v>1830.0</v>
      </c>
      <c r="J72" s="46">
        <v>0.08644307982994803</v>
      </c>
    </row>
    <row r="73" ht="26.25" customHeight="1">
      <c r="A73" s="47" t="s">
        <v>195</v>
      </c>
      <c r="B73" s="48" t="s">
        <v>17</v>
      </c>
      <c r="C73" s="50" t="s">
        <v>197</v>
      </c>
      <c r="D73" s="48" t="s">
        <v>140</v>
      </c>
      <c r="E73" s="48" t="s">
        <v>22</v>
      </c>
      <c r="F73" s="48" t="s">
        <v>23</v>
      </c>
      <c r="G73" s="53">
        <v>17095.0</v>
      </c>
      <c r="H73" s="53">
        <v>20000.0</v>
      </c>
      <c r="I73" s="53">
        <v>2905.0</v>
      </c>
      <c r="J73" s="54">
        <v>0.16993272886809008</v>
      </c>
    </row>
    <row r="74" ht="26.25" customHeight="1">
      <c r="A74" s="11" t="s">
        <v>198</v>
      </c>
      <c r="B74" s="13" t="s">
        <v>17</v>
      </c>
      <c r="C74" s="16" t="s">
        <v>199</v>
      </c>
      <c r="D74" s="13" t="s">
        <v>140</v>
      </c>
      <c r="E74" s="13" t="s">
        <v>22</v>
      </c>
      <c r="F74" s="13" t="s">
        <v>23</v>
      </c>
      <c r="G74" s="22">
        <v>25365.0</v>
      </c>
      <c r="H74" s="22">
        <v>29000.0</v>
      </c>
      <c r="I74" s="22">
        <v>3635.0</v>
      </c>
      <c r="J74" s="46">
        <v>0.1433077074709245</v>
      </c>
    </row>
    <row r="75" ht="26.25" customHeight="1">
      <c r="A75" s="47" t="s">
        <v>200</v>
      </c>
      <c r="B75" s="48" t="s">
        <v>17</v>
      </c>
      <c r="C75" s="50" t="s">
        <v>201</v>
      </c>
      <c r="D75" s="48" t="s">
        <v>140</v>
      </c>
      <c r="E75" s="48" t="s">
        <v>22</v>
      </c>
      <c r="F75" s="48" t="s">
        <v>23</v>
      </c>
      <c r="G75" s="53">
        <v>31051.0</v>
      </c>
      <c r="H75" s="53">
        <v>34000.0</v>
      </c>
      <c r="I75" s="53">
        <v>2949.0</v>
      </c>
      <c r="J75" s="54">
        <v>0.09497278670574216</v>
      </c>
    </row>
    <row r="76" ht="26.25" customHeight="1">
      <c r="A76" s="11" t="s">
        <v>202</v>
      </c>
      <c r="B76" s="13" t="s">
        <v>17</v>
      </c>
      <c r="C76" s="16" t="s">
        <v>203</v>
      </c>
      <c r="D76" s="13" t="s">
        <v>140</v>
      </c>
      <c r="E76" s="13" t="s">
        <v>22</v>
      </c>
      <c r="F76" s="13" t="s">
        <v>23</v>
      </c>
      <c r="G76" s="22">
        <v>0.0</v>
      </c>
      <c r="H76" s="22">
        <v>0.0</v>
      </c>
      <c r="I76" s="22">
        <v>0.0</v>
      </c>
      <c r="J76" s="46">
        <v>0.0</v>
      </c>
    </row>
    <row r="77" ht="26.25" customHeight="1">
      <c r="A77" s="47" t="s">
        <v>204</v>
      </c>
      <c r="B77" s="48" t="s">
        <v>17</v>
      </c>
      <c r="C77" s="50" t="s">
        <v>205</v>
      </c>
      <c r="D77" s="48" t="s">
        <v>140</v>
      </c>
      <c r="E77" s="48" t="s">
        <v>22</v>
      </c>
      <c r="F77" s="48" t="s">
        <v>23</v>
      </c>
      <c r="G77" s="53">
        <v>20105.0</v>
      </c>
      <c r="H77" s="53">
        <v>23000.0</v>
      </c>
      <c r="I77" s="53">
        <v>2895.0</v>
      </c>
      <c r="J77" s="54">
        <v>0.1439940313354887</v>
      </c>
    </row>
    <row r="78" ht="26.25" customHeight="1">
      <c r="A78" s="11" t="s">
        <v>206</v>
      </c>
      <c r="B78" s="13" t="s">
        <v>17</v>
      </c>
      <c r="C78" s="16" t="s">
        <v>207</v>
      </c>
      <c r="D78" s="13" t="s">
        <v>140</v>
      </c>
      <c r="E78" s="13" t="s">
        <v>22</v>
      </c>
      <c r="F78" s="13" t="s">
        <v>23</v>
      </c>
      <c r="G78" s="22">
        <v>21789.0</v>
      </c>
      <c r="H78" s="22">
        <v>24000.0</v>
      </c>
      <c r="I78" s="22">
        <v>2211.0</v>
      </c>
      <c r="J78" s="46">
        <v>0.10147322043232825</v>
      </c>
    </row>
    <row r="79" ht="26.25" customHeight="1">
      <c r="A79" s="47" t="s">
        <v>208</v>
      </c>
      <c r="B79" s="48" t="s">
        <v>17</v>
      </c>
      <c r="C79" s="50" t="s">
        <v>209</v>
      </c>
      <c r="D79" s="48" t="s">
        <v>140</v>
      </c>
      <c r="E79" s="48" t="s">
        <v>22</v>
      </c>
      <c r="F79" s="48" t="s">
        <v>23</v>
      </c>
      <c r="G79" s="53">
        <v>26525.0</v>
      </c>
      <c r="H79" s="53">
        <v>29000.0</v>
      </c>
      <c r="I79" s="53">
        <v>2475.0</v>
      </c>
      <c r="J79" s="54">
        <v>0.09330819981149858</v>
      </c>
    </row>
    <row r="80" ht="26.25" customHeight="1">
      <c r="A80" s="11" t="s">
        <v>210</v>
      </c>
      <c r="B80" s="13" t="s">
        <v>17</v>
      </c>
      <c r="C80" s="16" t="s">
        <v>211</v>
      </c>
      <c r="D80" s="13" t="s">
        <v>140</v>
      </c>
      <c r="E80" s="13" t="s">
        <v>22</v>
      </c>
      <c r="F80" s="13" t="s">
        <v>23</v>
      </c>
      <c r="G80" s="22">
        <v>9175.0</v>
      </c>
      <c r="H80" s="22">
        <v>12000.0</v>
      </c>
      <c r="I80" s="22">
        <v>2825.0</v>
      </c>
      <c r="J80" s="46">
        <v>0.3079019073569482</v>
      </c>
    </row>
    <row r="81" ht="26.25" customHeight="1">
      <c r="A81" s="47" t="s">
        <v>212</v>
      </c>
      <c r="B81" s="48" t="s">
        <v>17</v>
      </c>
      <c r="C81" s="50" t="s">
        <v>213</v>
      </c>
      <c r="D81" s="48" t="s">
        <v>140</v>
      </c>
      <c r="E81" s="48" t="s">
        <v>22</v>
      </c>
      <c r="F81" s="48" t="s">
        <v>23</v>
      </c>
      <c r="G81" s="53">
        <v>20105.0</v>
      </c>
      <c r="H81" s="53">
        <v>23000.0</v>
      </c>
      <c r="I81" s="53">
        <v>2895.0</v>
      </c>
      <c r="J81" s="54">
        <v>0.1439940313354887</v>
      </c>
    </row>
    <row r="82" ht="26.25" customHeight="1">
      <c r="A82" s="11" t="s">
        <v>216</v>
      </c>
      <c r="B82" s="13" t="s">
        <v>17</v>
      </c>
      <c r="C82" s="16" t="s">
        <v>217</v>
      </c>
      <c r="D82" s="13" t="s">
        <v>140</v>
      </c>
      <c r="E82" s="13" t="s">
        <v>22</v>
      </c>
      <c r="F82" s="13" t="s">
        <v>23</v>
      </c>
      <c r="G82" s="22">
        <v>21789.0</v>
      </c>
      <c r="H82" s="22">
        <v>24000.0</v>
      </c>
      <c r="I82" s="22">
        <v>2211.0</v>
      </c>
      <c r="J82" s="46">
        <v>0.10147322043232825</v>
      </c>
    </row>
    <row r="83" ht="26.25" customHeight="1">
      <c r="A83" s="47" t="s">
        <v>218</v>
      </c>
      <c r="B83" s="48" t="s">
        <v>17</v>
      </c>
      <c r="C83" s="50" t="s">
        <v>219</v>
      </c>
      <c r="D83" s="48" t="s">
        <v>140</v>
      </c>
      <c r="E83" s="48" t="s">
        <v>22</v>
      </c>
      <c r="F83" s="48" t="s">
        <v>23</v>
      </c>
      <c r="G83" s="53">
        <v>24395.0</v>
      </c>
      <c r="H83" s="53">
        <v>28000.0</v>
      </c>
      <c r="I83" s="53">
        <v>3605.0</v>
      </c>
      <c r="J83" s="54">
        <v>0.14777618364418937</v>
      </c>
    </row>
    <row r="84" ht="26.25" customHeight="1">
      <c r="A84" s="11" t="s">
        <v>220</v>
      </c>
      <c r="B84" s="13" t="s">
        <v>17</v>
      </c>
      <c r="C84" s="16" t="s">
        <v>221</v>
      </c>
      <c r="D84" s="13" t="s">
        <v>140</v>
      </c>
      <c r="E84" s="13" t="s">
        <v>22</v>
      </c>
      <c r="F84" s="13" t="s">
        <v>23</v>
      </c>
      <c r="G84" s="22">
        <v>26525.0</v>
      </c>
      <c r="H84" s="22">
        <v>29000.0</v>
      </c>
      <c r="I84" s="22">
        <v>2475.0</v>
      </c>
      <c r="J84" s="46">
        <v>0.09330819981149858</v>
      </c>
    </row>
    <row r="85" ht="26.25" customHeight="1">
      <c r="A85" s="47" t="s">
        <v>222</v>
      </c>
      <c r="B85" s="48" t="s">
        <v>17</v>
      </c>
      <c r="C85" s="50" t="s">
        <v>223</v>
      </c>
      <c r="D85" s="48" t="s">
        <v>140</v>
      </c>
      <c r="E85" s="48" t="s">
        <v>22</v>
      </c>
      <c r="F85" s="48" t="s">
        <v>23</v>
      </c>
      <c r="G85" s="53">
        <v>30098.0</v>
      </c>
      <c r="H85" s="53">
        <v>34000.0</v>
      </c>
      <c r="I85" s="53">
        <v>3902.0</v>
      </c>
      <c r="J85" s="54">
        <v>0.12964316565884776</v>
      </c>
    </row>
    <row r="86" ht="26.25" customHeight="1">
      <c r="A86" s="11" t="s">
        <v>224</v>
      </c>
      <c r="B86" s="13" t="s">
        <v>17</v>
      </c>
      <c r="C86" s="16" t="s">
        <v>225</v>
      </c>
      <c r="D86" s="13" t="s">
        <v>140</v>
      </c>
      <c r="E86" s="13" t="s">
        <v>22</v>
      </c>
      <c r="F86" s="13" t="s">
        <v>23</v>
      </c>
      <c r="G86" s="22">
        <v>39825.0</v>
      </c>
      <c r="H86" s="22">
        <v>41000.0</v>
      </c>
      <c r="I86" s="22">
        <v>1175.0</v>
      </c>
      <c r="J86" s="46">
        <v>0.029504080351537978</v>
      </c>
    </row>
    <row r="87" ht="26.25" customHeight="1">
      <c r="A87" s="47" t="s">
        <v>226</v>
      </c>
      <c r="B87" s="48" t="s">
        <v>17</v>
      </c>
      <c r="C87" s="50" t="s">
        <v>227</v>
      </c>
      <c r="D87" s="48" t="s">
        <v>140</v>
      </c>
      <c r="E87" s="48" t="s">
        <v>22</v>
      </c>
      <c r="F87" s="48" t="s">
        <v>23</v>
      </c>
      <c r="G87" s="53">
        <v>36348.0</v>
      </c>
      <c r="H87" s="53">
        <v>39000.0</v>
      </c>
      <c r="I87" s="53">
        <v>2652.0</v>
      </c>
      <c r="J87" s="54">
        <v>0.07296137339055794</v>
      </c>
    </row>
    <row r="88" ht="26.25" customHeight="1">
      <c r="A88" s="11" t="s">
        <v>228</v>
      </c>
      <c r="B88" s="13" t="s">
        <v>17</v>
      </c>
      <c r="C88" s="16" t="s">
        <v>229</v>
      </c>
      <c r="D88" s="13" t="s">
        <v>140</v>
      </c>
      <c r="E88" s="13" t="s">
        <v>22</v>
      </c>
      <c r="F88" s="13" t="s">
        <v>23</v>
      </c>
      <c r="G88" s="22">
        <v>24395.0</v>
      </c>
      <c r="H88" s="22">
        <v>28000.0</v>
      </c>
      <c r="I88" s="22">
        <v>3605.0</v>
      </c>
      <c r="J88" s="46">
        <v>0.14777618364418937</v>
      </c>
    </row>
    <row r="89" ht="26.25" customHeight="1">
      <c r="A89" s="47" t="s">
        <v>230</v>
      </c>
      <c r="B89" s="48" t="s">
        <v>17</v>
      </c>
      <c r="C89" s="50" t="s">
        <v>231</v>
      </c>
      <c r="D89" s="48" t="s">
        <v>140</v>
      </c>
      <c r="E89" s="48" t="s">
        <v>22</v>
      </c>
      <c r="F89" s="48" t="s">
        <v>23</v>
      </c>
      <c r="G89" s="53">
        <v>45595.0</v>
      </c>
      <c r="H89" s="53">
        <v>50000.0</v>
      </c>
      <c r="I89" s="53">
        <v>4405.0</v>
      </c>
      <c r="J89" s="54">
        <v>0.09661147055598202</v>
      </c>
    </row>
    <row r="90" ht="26.25" customHeight="1">
      <c r="A90" s="11" t="s">
        <v>232</v>
      </c>
      <c r="B90" s="13" t="s">
        <v>17</v>
      </c>
      <c r="C90" s="16" t="s">
        <v>234</v>
      </c>
      <c r="D90" s="13" t="s">
        <v>140</v>
      </c>
      <c r="E90" s="13" t="s">
        <v>22</v>
      </c>
      <c r="F90" s="13" t="s">
        <v>23</v>
      </c>
      <c r="G90" s="22">
        <v>53898.0</v>
      </c>
      <c r="H90" s="22">
        <v>57000.0</v>
      </c>
      <c r="I90" s="22">
        <v>3102.0</v>
      </c>
      <c r="J90" s="46">
        <v>0.057553155961260156</v>
      </c>
    </row>
    <row r="91" ht="26.25" customHeight="1">
      <c r="A91" s="47" t="s">
        <v>236</v>
      </c>
      <c r="B91" s="48" t="s">
        <v>17</v>
      </c>
      <c r="C91" s="50" t="s">
        <v>237</v>
      </c>
      <c r="D91" s="48" t="s">
        <v>140</v>
      </c>
      <c r="E91" s="48" t="s">
        <v>22</v>
      </c>
      <c r="F91" s="48" t="s">
        <v>23</v>
      </c>
      <c r="G91" s="53">
        <v>61775.0</v>
      </c>
      <c r="H91" s="53">
        <v>65000.0</v>
      </c>
      <c r="I91" s="53">
        <v>3225.0</v>
      </c>
      <c r="J91" s="54">
        <v>0.05220558478348847</v>
      </c>
    </row>
    <row r="92" ht="26.25" customHeight="1">
      <c r="A92" s="11" t="s">
        <v>238</v>
      </c>
      <c r="B92" s="13" t="s">
        <v>17</v>
      </c>
      <c r="C92" s="16" t="s">
        <v>239</v>
      </c>
      <c r="D92" s="13" t="s">
        <v>140</v>
      </c>
      <c r="E92" s="13" t="s">
        <v>22</v>
      </c>
      <c r="F92" s="13" t="s">
        <v>23</v>
      </c>
      <c r="G92" s="22">
        <v>0.0</v>
      </c>
      <c r="H92" s="22">
        <v>0.0</v>
      </c>
      <c r="I92" s="22">
        <v>0.0</v>
      </c>
      <c r="J92" s="46">
        <v>0.0</v>
      </c>
    </row>
    <row r="93" ht="26.25" customHeight="1">
      <c r="A93" s="47" t="s">
        <v>240</v>
      </c>
      <c r="B93" s="48" t="s">
        <v>17</v>
      </c>
      <c r="C93" s="50" t="s">
        <v>241</v>
      </c>
      <c r="D93" s="48" t="s">
        <v>140</v>
      </c>
      <c r="E93" s="48" t="s">
        <v>22</v>
      </c>
      <c r="F93" s="48" t="s">
        <v>23</v>
      </c>
      <c r="G93" s="53">
        <v>0.0</v>
      </c>
      <c r="H93" s="53">
        <v>0.0</v>
      </c>
      <c r="I93" s="53">
        <v>0.0</v>
      </c>
      <c r="J93" s="54">
        <v>0.0</v>
      </c>
    </row>
    <row r="94" ht="26.25" customHeight="1">
      <c r="A94" s="11" t="s">
        <v>242</v>
      </c>
      <c r="B94" s="13" t="s">
        <v>17</v>
      </c>
      <c r="C94" s="16" t="s">
        <v>243</v>
      </c>
      <c r="D94" s="13" t="s">
        <v>140</v>
      </c>
      <c r="E94" s="13" t="s">
        <v>22</v>
      </c>
      <c r="F94" s="13" t="s">
        <v>23</v>
      </c>
      <c r="G94" s="22">
        <v>74625.0</v>
      </c>
      <c r="H94" s="22">
        <v>78000.0</v>
      </c>
      <c r="I94" s="22">
        <v>3375.0</v>
      </c>
      <c r="J94" s="46">
        <v>0.04522613065326633</v>
      </c>
    </row>
    <row r="95" ht="26.25" customHeight="1">
      <c r="A95" s="47" t="s">
        <v>244</v>
      </c>
      <c r="B95" s="48" t="s">
        <v>17</v>
      </c>
      <c r="C95" s="50" t="s">
        <v>245</v>
      </c>
      <c r="D95" s="48" t="s">
        <v>140</v>
      </c>
      <c r="E95" s="48" t="s">
        <v>22</v>
      </c>
      <c r="F95" s="48" t="s">
        <v>23</v>
      </c>
      <c r="G95" s="53">
        <v>81762.0</v>
      </c>
      <c r="H95" s="53">
        <v>87000.0</v>
      </c>
      <c r="I95" s="53">
        <v>5238.0</v>
      </c>
      <c r="J95" s="54">
        <v>0.06406399060688339</v>
      </c>
    </row>
    <row r="96" ht="26.25" customHeight="1">
      <c r="A96" s="11" t="s">
        <v>246</v>
      </c>
      <c r="B96" s="13" t="s">
        <v>17</v>
      </c>
      <c r="C96" s="16" t="s">
        <v>247</v>
      </c>
      <c r="D96" s="13" t="s">
        <v>140</v>
      </c>
      <c r="E96" s="13" t="s">
        <v>22</v>
      </c>
      <c r="F96" s="13" t="s">
        <v>23</v>
      </c>
      <c r="G96" s="22">
        <v>24395.0</v>
      </c>
      <c r="H96" s="22">
        <v>28000.0</v>
      </c>
      <c r="I96" s="22">
        <v>3605.0</v>
      </c>
      <c r="J96" s="46">
        <v>0.14777618364418937</v>
      </c>
    </row>
    <row r="97" ht="26.25" customHeight="1">
      <c r="A97" s="47" t="s">
        <v>248</v>
      </c>
      <c r="B97" s="48" t="s">
        <v>17</v>
      </c>
      <c r="C97" s="50" t="s">
        <v>249</v>
      </c>
      <c r="D97" s="48" t="s">
        <v>140</v>
      </c>
      <c r="E97" s="48" t="s">
        <v>22</v>
      </c>
      <c r="F97" s="48" t="s">
        <v>23</v>
      </c>
      <c r="G97" s="53">
        <v>104671.0</v>
      </c>
      <c r="H97" s="53">
        <v>110000.0</v>
      </c>
      <c r="I97" s="53">
        <v>5329.0</v>
      </c>
      <c r="J97" s="54">
        <v>0.05091190492113384</v>
      </c>
    </row>
    <row r="98" ht="26.25" customHeight="1">
      <c r="A98" s="11" t="s">
        <v>250</v>
      </c>
      <c r="B98" s="13" t="s">
        <v>17</v>
      </c>
      <c r="C98" s="16" t="s">
        <v>251</v>
      </c>
      <c r="D98" s="13" t="s">
        <v>140</v>
      </c>
      <c r="E98" s="13" t="s">
        <v>22</v>
      </c>
      <c r="F98" s="13" t="s">
        <v>23</v>
      </c>
      <c r="G98" s="22">
        <v>3600.0</v>
      </c>
      <c r="H98" s="22">
        <v>6000.0</v>
      </c>
      <c r="I98" s="22">
        <v>2400.0</v>
      </c>
      <c r="J98" s="46">
        <v>0.6666666666666666</v>
      </c>
    </row>
    <row r="99" ht="26.25" customHeight="1">
      <c r="A99" s="47" t="s">
        <v>252</v>
      </c>
      <c r="B99" s="48" t="s">
        <v>17</v>
      </c>
      <c r="C99" s="50" t="s">
        <v>253</v>
      </c>
      <c r="D99" s="48" t="s">
        <v>254</v>
      </c>
      <c r="E99" s="48" t="s">
        <v>22</v>
      </c>
      <c r="F99" s="48" t="s">
        <v>23</v>
      </c>
      <c r="G99" s="53">
        <v>13130.0</v>
      </c>
      <c r="H99" s="53">
        <v>15500.0</v>
      </c>
      <c r="I99" s="53">
        <v>2370.0</v>
      </c>
      <c r="J99" s="54">
        <v>0.1805026656511805</v>
      </c>
    </row>
    <row r="100" ht="26.25" customHeight="1">
      <c r="A100" s="11" t="s">
        <v>255</v>
      </c>
      <c r="B100" s="13" t="s">
        <v>17</v>
      </c>
      <c r="C100" s="16" t="s">
        <v>256</v>
      </c>
      <c r="D100" s="13" t="s">
        <v>254</v>
      </c>
      <c r="E100" s="13" t="s">
        <v>22</v>
      </c>
      <c r="F100" s="13" t="s">
        <v>23</v>
      </c>
      <c r="G100" s="22">
        <v>22468.0</v>
      </c>
      <c r="H100" s="22">
        <v>25000.0</v>
      </c>
      <c r="I100" s="22">
        <v>2532.0</v>
      </c>
      <c r="J100" s="46">
        <v>0.1126936086879117</v>
      </c>
    </row>
    <row r="101" ht="26.25" customHeight="1">
      <c r="A101" s="47" t="s">
        <v>257</v>
      </c>
      <c r="B101" s="48" t="s">
        <v>17</v>
      </c>
      <c r="C101" s="50" t="s">
        <v>258</v>
      </c>
      <c r="D101" s="48" t="s">
        <v>254</v>
      </c>
      <c r="E101" s="48" t="s">
        <v>22</v>
      </c>
      <c r="F101" s="48" t="s">
        <v>23</v>
      </c>
      <c r="G101" s="53">
        <v>21467.0</v>
      </c>
      <c r="H101" s="53">
        <v>24000.0</v>
      </c>
      <c r="I101" s="53">
        <v>2533.0</v>
      </c>
      <c r="J101" s="54">
        <v>0.11799506218847533</v>
      </c>
    </row>
    <row r="102" ht="26.25" customHeight="1">
      <c r="A102" s="11" t="s">
        <v>260</v>
      </c>
      <c r="B102" s="13" t="s">
        <v>17</v>
      </c>
      <c r="C102" s="16" t="s">
        <v>261</v>
      </c>
      <c r="D102" s="13" t="s">
        <v>254</v>
      </c>
      <c r="E102" s="13" t="s">
        <v>22</v>
      </c>
      <c r="F102" s="13" t="s">
        <v>23</v>
      </c>
      <c r="G102" s="22">
        <v>26722.0</v>
      </c>
      <c r="H102" s="22">
        <v>29000.0</v>
      </c>
      <c r="I102" s="22">
        <v>2278.0</v>
      </c>
      <c r="J102" s="46">
        <v>0.08524811017139436</v>
      </c>
    </row>
    <row r="103" ht="26.25" customHeight="1">
      <c r="A103" s="47" t="s">
        <v>263</v>
      </c>
      <c r="B103" s="48" t="s">
        <v>17</v>
      </c>
      <c r="C103" s="50" t="s">
        <v>264</v>
      </c>
      <c r="D103" s="48" t="s">
        <v>254</v>
      </c>
      <c r="E103" s="48" t="s">
        <v>22</v>
      </c>
      <c r="F103" s="48" t="s">
        <v>23</v>
      </c>
      <c r="G103" s="53">
        <v>25627.0</v>
      </c>
      <c r="H103" s="53">
        <v>29000.0</v>
      </c>
      <c r="I103" s="53">
        <v>3373.0</v>
      </c>
      <c r="J103" s="54">
        <v>0.13161899559058804</v>
      </c>
    </row>
    <row r="104" ht="26.25" customHeight="1">
      <c r="A104" s="11" t="s">
        <v>265</v>
      </c>
      <c r="B104" s="13" t="s">
        <v>17</v>
      </c>
      <c r="C104" s="16" t="s">
        <v>266</v>
      </c>
      <c r="D104" s="13" t="s">
        <v>254</v>
      </c>
      <c r="E104" s="13" t="s">
        <v>22</v>
      </c>
      <c r="F104" s="13" t="s">
        <v>23</v>
      </c>
      <c r="G104" s="22">
        <v>13130.0</v>
      </c>
      <c r="H104" s="22">
        <v>15500.0</v>
      </c>
      <c r="I104" s="22">
        <v>2370.0</v>
      </c>
      <c r="J104" s="46">
        <v>0.1805026656511805</v>
      </c>
    </row>
    <row r="105" ht="26.25" customHeight="1">
      <c r="A105" s="47" t="s">
        <v>267</v>
      </c>
      <c r="B105" s="48" t="s">
        <v>17</v>
      </c>
      <c r="C105" s="50" t="s">
        <v>268</v>
      </c>
      <c r="D105" s="48" t="s">
        <v>254</v>
      </c>
      <c r="E105" s="48" t="s">
        <v>22</v>
      </c>
      <c r="F105" s="48" t="s">
        <v>23</v>
      </c>
      <c r="G105" s="53">
        <v>21467.0</v>
      </c>
      <c r="H105" s="53">
        <v>24000.0</v>
      </c>
      <c r="I105" s="53">
        <v>2533.0</v>
      </c>
      <c r="J105" s="54">
        <v>0.11799506218847533</v>
      </c>
    </row>
    <row r="106" ht="26.25" customHeight="1">
      <c r="A106" s="11" t="s">
        <v>269</v>
      </c>
      <c r="B106" s="13" t="s">
        <v>17</v>
      </c>
      <c r="C106" s="16" t="s">
        <v>270</v>
      </c>
      <c r="D106" s="13" t="s">
        <v>254</v>
      </c>
      <c r="E106" s="13" t="s">
        <v>22</v>
      </c>
      <c r="F106" s="13" t="s">
        <v>23</v>
      </c>
      <c r="G106" s="22">
        <v>55960.0</v>
      </c>
      <c r="H106" s="22">
        <v>60000.0</v>
      </c>
      <c r="I106" s="22">
        <v>4040.0</v>
      </c>
      <c r="J106" s="46">
        <v>0.07219442458899214</v>
      </c>
    </row>
    <row r="107" ht="26.25" customHeight="1">
      <c r="A107" s="47" t="s">
        <v>271</v>
      </c>
      <c r="B107" s="48" t="s">
        <v>17</v>
      </c>
      <c r="C107" s="50" t="s">
        <v>272</v>
      </c>
      <c r="D107" s="48" t="s">
        <v>254</v>
      </c>
      <c r="E107" s="48" t="s">
        <v>22</v>
      </c>
      <c r="F107" s="48" t="s">
        <v>23</v>
      </c>
      <c r="G107" s="53">
        <v>6344.0</v>
      </c>
      <c r="H107" s="53">
        <v>9000.0</v>
      </c>
      <c r="I107" s="53">
        <v>2656.0</v>
      </c>
      <c r="J107" s="54">
        <v>0.41866330390920553</v>
      </c>
    </row>
    <row r="108" ht="26.25" customHeight="1">
      <c r="A108" s="11" t="s">
        <v>273</v>
      </c>
      <c r="B108" s="13" t="s">
        <v>17</v>
      </c>
      <c r="C108" s="16" t="s">
        <v>274</v>
      </c>
      <c r="D108" s="13" t="s">
        <v>254</v>
      </c>
      <c r="E108" s="13" t="s">
        <v>22</v>
      </c>
      <c r="F108" s="13" t="s">
        <v>23</v>
      </c>
      <c r="G108" s="22">
        <v>8275.0</v>
      </c>
      <c r="H108" s="22">
        <v>11000.0</v>
      </c>
      <c r="I108" s="22">
        <v>2725.0</v>
      </c>
      <c r="J108" s="46">
        <v>0.3293051359516616</v>
      </c>
    </row>
    <row r="109" ht="26.25" customHeight="1">
      <c r="A109" s="47" t="s">
        <v>275</v>
      </c>
      <c r="B109" s="48" t="s">
        <v>17</v>
      </c>
      <c r="C109" s="50" t="s">
        <v>276</v>
      </c>
      <c r="D109" s="48" t="s">
        <v>254</v>
      </c>
      <c r="E109" s="48" t="s">
        <v>22</v>
      </c>
      <c r="F109" s="48" t="s">
        <v>23</v>
      </c>
      <c r="G109" s="53">
        <v>10574.0</v>
      </c>
      <c r="H109" s="53">
        <v>12500.0</v>
      </c>
      <c r="I109" s="53">
        <v>1926.0</v>
      </c>
      <c r="J109" s="54">
        <v>0.18214488367694345</v>
      </c>
    </row>
    <row r="110" ht="26.25" customHeight="1">
      <c r="A110" s="11" t="s">
        <v>277</v>
      </c>
      <c r="B110" s="13" t="s">
        <v>17</v>
      </c>
      <c r="C110" s="16" t="s">
        <v>279</v>
      </c>
      <c r="D110" s="13" t="s">
        <v>254</v>
      </c>
      <c r="E110" s="13" t="s">
        <v>22</v>
      </c>
      <c r="F110" s="13" t="s">
        <v>23</v>
      </c>
      <c r="G110" s="22">
        <v>10574.0</v>
      </c>
      <c r="H110" s="22">
        <v>13000.0</v>
      </c>
      <c r="I110" s="22">
        <v>2426.0</v>
      </c>
      <c r="J110" s="46">
        <v>0.22943067902402117</v>
      </c>
    </row>
    <row r="111" ht="26.25" customHeight="1">
      <c r="A111" s="47" t="s">
        <v>281</v>
      </c>
      <c r="B111" s="48" t="s">
        <v>17</v>
      </c>
      <c r="C111" s="50" t="s">
        <v>282</v>
      </c>
      <c r="D111" s="48" t="s">
        <v>254</v>
      </c>
      <c r="E111" s="52" t="s">
        <v>22</v>
      </c>
      <c r="F111" s="48" t="s">
        <v>23</v>
      </c>
      <c r="G111" s="53">
        <v>12300.0</v>
      </c>
      <c r="H111" s="53">
        <v>15000.0</v>
      </c>
      <c r="I111" s="53">
        <v>2700.0</v>
      </c>
      <c r="J111" s="54">
        <v>0.21951219512195122</v>
      </c>
    </row>
    <row r="112" ht="26.25" customHeight="1">
      <c r="A112" s="11" t="s">
        <v>283</v>
      </c>
      <c r="B112" s="13" t="s">
        <v>17</v>
      </c>
      <c r="C112" s="16" t="s">
        <v>284</v>
      </c>
      <c r="D112" s="13" t="s">
        <v>254</v>
      </c>
      <c r="E112" s="13" t="s">
        <v>22</v>
      </c>
      <c r="F112" s="13" t="s">
        <v>23</v>
      </c>
      <c r="G112" s="22">
        <v>0.0</v>
      </c>
      <c r="H112" s="22">
        <v>0.0</v>
      </c>
      <c r="I112" s="22">
        <v>0.0</v>
      </c>
      <c r="J112" s="46">
        <v>0.0</v>
      </c>
    </row>
    <row r="113" ht="26.25" customHeight="1">
      <c r="A113" s="47" t="s">
        <v>285</v>
      </c>
      <c r="B113" s="48" t="s">
        <v>17</v>
      </c>
      <c r="C113" s="50" t="s">
        <v>286</v>
      </c>
      <c r="D113" s="48" t="s">
        <v>254</v>
      </c>
      <c r="E113" s="48" t="s">
        <v>22</v>
      </c>
      <c r="F113" s="48" t="s">
        <v>23</v>
      </c>
      <c r="G113" s="53">
        <v>14498.0</v>
      </c>
      <c r="H113" s="53">
        <v>17000.0</v>
      </c>
      <c r="I113" s="53">
        <v>2502.0</v>
      </c>
      <c r="J113" s="54">
        <v>0.17257552765898745</v>
      </c>
    </row>
    <row r="114" ht="26.25" customHeight="1">
      <c r="A114" s="11" t="s">
        <v>287</v>
      </c>
      <c r="B114" s="13" t="s">
        <v>17</v>
      </c>
      <c r="C114" s="16" t="s">
        <v>288</v>
      </c>
      <c r="D114" s="13" t="s">
        <v>254</v>
      </c>
      <c r="E114" s="13" t="s">
        <v>22</v>
      </c>
      <c r="F114" s="13" t="s">
        <v>23</v>
      </c>
      <c r="G114" s="22">
        <v>15722.0</v>
      </c>
      <c r="H114" s="22">
        <v>18000.0</v>
      </c>
      <c r="I114" s="22">
        <v>2278.0</v>
      </c>
      <c r="J114" s="46">
        <v>0.14489250731459102</v>
      </c>
    </row>
    <row r="115" ht="26.25" customHeight="1">
      <c r="A115" s="47" t="s">
        <v>289</v>
      </c>
      <c r="B115" s="48" t="s">
        <v>17</v>
      </c>
      <c r="C115" s="50" t="s">
        <v>290</v>
      </c>
      <c r="D115" s="48" t="s">
        <v>254</v>
      </c>
      <c r="E115" s="52" t="s">
        <v>22</v>
      </c>
      <c r="F115" s="48" t="s">
        <v>23</v>
      </c>
      <c r="G115" s="53">
        <v>19950.0</v>
      </c>
      <c r="H115" s="53">
        <v>24000.0</v>
      </c>
      <c r="I115" s="53">
        <v>4050.0</v>
      </c>
      <c r="J115" s="54">
        <v>0.20300751879699247</v>
      </c>
    </row>
    <row r="116" ht="26.25" customHeight="1">
      <c r="A116" s="11" t="s">
        <v>291</v>
      </c>
      <c r="B116" s="13" t="s">
        <v>17</v>
      </c>
      <c r="C116" s="16" t="s">
        <v>292</v>
      </c>
      <c r="D116" s="13" t="s">
        <v>254</v>
      </c>
      <c r="E116" s="13" t="s">
        <v>22</v>
      </c>
      <c r="F116" s="13" t="s">
        <v>23</v>
      </c>
      <c r="G116" s="22">
        <v>34283.0</v>
      </c>
      <c r="H116" s="22">
        <v>38000.0</v>
      </c>
      <c r="I116" s="22">
        <v>3717.0</v>
      </c>
      <c r="J116" s="46">
        <v>0.10842108333576408</v>
      </c>
    </row>
    <row r="117" ht="26.25" customHeight="1">
      <c r="A117" s="47" t="s">
        <v>293</v>
      </c>
      <c r="B117" s="48" t="s">
        <v>17</v>
      </c>
      <c r="C117" s="50" t="s">
        <v>294</v>
      </c>
      <c r="D117" s="48" t="s">
        <v>254</v>
      </c>
      <c r="E117" s="48" t="s">
        <v>22</v>
      </c>
      <c r="F117" s="48" t="s">
        <v>23</v>
      </c>
      <c r="G117" s="53">
        <v>7985.0</v>
      </c>
      <c r="H117" s="53">
        <v>10000.0</v>
      </c>
      <c r="I117" s="53">
        <v>2015.0</v>
      </c>
      <c r="J117" s="54">
        <v>0.25234815278647466</v>
      </c>
    </row>
    <row r="118" ht="26.25" customHeight="1">
      <c r="A118" s="11" t="s">
        <v>295</v>
      </c>
      <c r="B118" s="13" t="s">
        <v>17</v>
      </c>
      <c r="C118" s="16" t="s">
        <v>296</v>
      </c>
      <c r="D118" s="13" t="s">
        <v>254</v>
      </c>
      <c r="E118" s="13" t="s">
        <v>22</v>
      </c>
      <c r="F118" s="13" t="s">
        <v>23</v>
      </c>
      <c r="G118" s="22">
        <v>0.0</v>
      </c>
      <c r="H118" s="22">
        <v>0.0</v>
      </c>
      <c r="I118" s="22">
        <v>0.0</v>
      </c>
      <c r="J118" s="46">
        <v>0.0</v>
      </c>
    </row>
    <row r="119" ht="26.25" customHeight="1">
      <c r="A119" s="47" t="s">
        <v>299</v>
      </c>
      <c r="B119" s="48" t="s">
        <v>17</v>
      </c>
      <c r="C119" s="50" t="s">
        <v>300</v>
      </c>
      <c r="D119" s="48" t="s">
        <v>254</v>
      </c>
      <c r="E119" s="48" t="s">
        <v>22</v>
      </c>
      <c r="F119" s="48" t="s">
        <v>23</v>
      </c>
      <c r="G119" s="53">
        <v>19010.0</v>
      </c>
      <c r="H119" s="53">
        <v>21000.0</v>
      </c>
      <c r="I119" s="53">
        <v>1990.0</v>
      </c>
      <c r="J119" s="54">
        <v>0.10468174644923724</v>
      </c>
    </row>
    <row r="120" ht="26.25" customHeight="1">
      <c r="A120" s="11" t="s">
        <v>301</v>
      </c>
      <c r="B120" s="13" t="s">
        <v>17</v>
      </c>
      <c r="C120" s="16" t="s">
        <v>302</v>
      </c>
      <c r="D120" s="13" t="s">
        <v>254</v>
      </c>
      <c r="E120" s="13" t="s">
        <v>22</v>
      </c>
      <c r="F120" s="13" t="s">
        <v>23</v>
      </c>
      <c r="G120" s="22">
        <v>29886.0</v>
      </c>
      <c r="H120" s="22">
        <v>34000.0</v>
      </c>
      <c r="I120" s="22">
        <v>4114.0</v>
      </c>
      <c r="J120" s="46">
        <v>0.13765642775881684</v>
      </c>
    </row>
    <row r="121" ht="26.25" customHeight="1">
      <c r="A121" s="47" t="s">
        <v>303</v>
      </c>
      <c r="B121" s="48" t="s">
        <v>17</v>
      </c>
      <c r="C121" s="50" t="s">
        <v>304</v>
      </c>
      <c r="D121" s="48" t="s">
        <v>254</v>
      </c>
      <c r="E121" s="48" t="s">
        <v>22</v>
      </c>
      <c r="F121" s="48" t="s">
        <v>23</v>
      </c>
      <c r="G121" s="53">
        <v>33739.0</v>
      </c>
      <c r="H121" s="53">
        <v>38000.0</v>
      </c>
      <c r="I121" s="53">
        <v>4261.0</v>
      </c>
      <c r="J121" s="54">
        <v>0.1262930140193841</v>
      </c>
    </row>
    <row r="122" ht="26.25" customHeight="1">
      <c r="A122" s="11" t="s">
        <v>305</v>
      </c>
      <c r="B122" s="13" t="s">
        <v>17</v>
      </c>
      <c r="C122" s="16" t="s">
        <v>306</v>
      </c>
      <c r="D122" s="13" t="s">
        <v>254</v>
      </c>
      <c r="E122" s="13" t="s">
        <v>22</v>
      </c>
      <c r="F122" s="13" t="s">
        <v>23</v>
      </c>
      <c r="G122" s="22">
        <v>0.0</v>
      </c>
      <c r="H122" s="22">
        <v>0.0</v>
      </c>
      <c r="I122" s="22">
        <v>0.0</v>
      </c>
      <c r="J122" s="46">
        <v>0.0</v>
      </c>
    </row>
    <row r="123" ht="26.25" customHeight="1">
      <c r="A123" s="47" t="s">
        <v>307</v>
      </c>
      <c r="B123" s="48" t="s">
        <v>17</v>
      </c>
      <c r="C123" s="50" t="s">
        <v>308</v>
      </c>
      <c r="D123" s="48" t="s">
        <v>254</v>
      </c>
      <c r="E123" s="48" t="s">
        <v>22</v>
      </c>
      <c r="F123" s="48" t="s">
        <v>23</v>
      </c>
      <c r="G123" s="53">
        <v>57845.0</v>
      </c>
      <c r="H123" s="53">
        <v>62000.0</v>
      </c>
      <c r="I123" s="53">
        <v>4155.0</v>
      </c>
      <c r="J123" s="54">
        <v>0.07182989022387415</v>
      </c>
    </row>
    <row r="124" ht="26.25" customHeight="1">
      <c r="A124" s="11" t="s">
        <v>309</v>
      </c>
      <c r="B124" s="13" t="s">
        <v>17</v>
      </c>
      <c r="C124" s="16" t="s">
        <v>310</v>
      </c>
      <c r="D124" s="13" t="s">
        <v>254</v>
      </c>
      <c r="E124" s="19" t="s">
        <v>22</v>
      </c>
      <c r="F124" s="13" t="s">
        <v>23</v>
      </c>
      <c r="G124" s="22">
        <v>72078.0</v>
      </c>
      <c r="H124" s="22">
        <v>76000.0</v>
      </c>
      <c r="I124" s="22">
        <v>3922.0</v>
      </c>
      <c r="J124" s="46">
        <v>0.054413274508171704</v>
      </c>
    </row>
    <row r="125" ht="26.25" customHeight="1">
      <c r="A125" s="47" t="s">
        <v>311</v>
      </c>
      <c r="B125" s="48" t="s">
        <v>17</v>
      </c>
      <c r="C125" s="50" t="s">
        <v>312</v>
      </c>
      <c r="D125" s="48" t="s">
        <v>254</v>
      </c>
      <c r="E125" s="48" t="s">
        <v>22</v>
      </c>
      <c r="F125" s="48" t="s">
        <v>23</v>
      </c>
      <c r="G125" s="53">
        <v>94227.0</v>
      </c>
      <c r="H125" s="53">
        <v>99000.0</v>
      </c>
      <c r="I125" s="53">
        <v>4773.0</v>
      </c>
      <c r="J125" s="54">
        <v>0.05065427106880194</v>
      </c>
    </row>
    <row r="126" ht="26.25" customHeight="1">
      <c r="A126" s="11" t="s">
        <v>313</v>
      </c>
      <c r="B126" s="13" t="s">
        <v>17</v>
      </c>
      <c r="C126" s="16" t="s">
        <v>314</v>
      </c>
      <c r="D126" s="13" t="s">
        <v>254</v>
      </c>
      <c r="E126" s="13" t="s">
        <v>22</v>
      </c>
      <c r="F126" s="13" t="s">
        <v>23</v>
      </c>
      <c r="G126" s="22">
        <v>4100.0</v>
      </c>
      <c r="H126" s="22">
        <v>8000.0</v>
      </c>
      <c r="I126" s="22">
        <v>3900.0</v>
      </c>
      <c r="J126" s="46">
        <v>0.9512195121951219</v>
      </c>
    </row>
    <row r="127" ht="26.25" customHeight="1">
      <c r="A127" s="47" t="s">
        <v>317</v>
      </c>
      <c r="B127" s="48" t="s">
        <v>17</v>
      </c>
      <c r="C127" s="50" t="s">
        <v>318</v>
      </c>
      <c r="D127" s="48" t="s">
        <v>254</v>
      </c>
      <c r="E127" s="48" t="s">
        <v>22</v>
      </c>
      <c r="F127" s="48" t="s">
        <v>23</v>
      </c>
      <c r="G127" s="53">
        <v>0.0</v>
      </c>
      <c r="H127" s="53">
        <v>0.0</v>
      </c>
      <c r="I127" s="53">
        <v>0.0</v>
      </c>
      <c r="J127" s="54">
        <v>0.0</v>
      </c>
    </row>
    <row r="128" ht="26.25" customHeight="1">
      <c r="A128" s="11" t="s">
        <v>319</v>
      </c>
      <c r="B128" s="13" t="s">
        <v>17</v>
      </c>
      <c r="C128" s="16" t="s">
        <v>320</v>
      </c>
      <c r="D128" s="13" t="s">
        <v>321</v>
      </c>
      <c r="E128" s="13" t="s">
        <v>22</v>
      </c>
      <c r="F128" s="13" t="s">
        <v>23</v>
      </c>
      <c r="G128" s="22">
        <v>0.0</v>
      </c>
      <c r="H128" s="22">
        <v>0.0</v>
      </c>
      <c r="I128" s="22">
        <v>0.0</v>
      </c>
      <c r="J128" s="46">
        <v>0.0</v>
      </c>
    </row>
    <row r="129" ht="26.25" customHeight="1">
      <c r="A129" s="47" t="s">
        <v>322</v>
      </c>
      <c r="B129" s="48" t="s">
        <v>17</v>
      </c>
      <c r="C129" s="50" t="s">
        <v>323</v>
      </c>
      <c r="D129" s="48" t="s">
        <v>321</v>
      </c>
      <c r="E129" s="48" t="s">
        <v>22</v>
      </c>
      <c r="F129" s="48" t="s">
        <v>23</v>
      </c>
      <c r="G129" s="53">
        <v>0.0</v>
      </c>
      <c r="H129" s="53">
        <v>0.0</v>
      </c>
      <c r="I129" s="53">
        <v>0.0</v>
      </c>
      <c r="J129" s="54">
        <v>0.0</v>
      </c>
    </row>
    <row r="130" ht="26.25" customHeight="1">
      <c r="A130" s="11" t="s">
        <v>324</v>
      </c>
      <c r="B130" s="13" t="s">
        <v>17</v>
      </c>
      <c r="C130" s="16" t="s">
        <v>325</v>
      </c>
      <c r="D130" s="13" t="s">
        <v>321</v>
      </c>
      <c r="E130" s="13" t="s">
        <v>22</v>
      </c>
      <c r="F130" s="13" t="s">
        <v>23</v>
      </c>
      <c r="G130" s="22">
        <v>0.0</v>
      </c>
      <c r="H130" s="22">
        <v>0.0</v>
      </c>
      <c r="I130" s="22">
        <v>0.0</v>
      </c>
      <c r="J130" s="46">
        <v>0.0</v>
      </c>
    </row>
    <row r="131" ht="26.25" customHeight="1">
      <c r="A131" s="47" t="s">
        <v>326</v>
      </c>
      <c r="B131" s="48" t="s">
        <v>17</v>
      </c>
      <c r="C131" s="50" t="s">
        <v>327</v>
      </c>
      <c r="D131" s="48" t="s">
        <v>321</v>
      </c>
      <c r="E131" s="48" t="s">
        <v>22</v>
      </c>
      <c r="F131" s="48" t="s">
        <v>23</v>
      </c>
      <c r="G131" s="53">
        <v>0.0</v>
      </c>
      <c r="H131" s="53">
        <v>0.0</v>
      </c>
      <c r="I131" s="53">
        <v>0.0</v>
      </c>
      <c r="J131" s="54">
        <v>0.0</v>
      </c>
    </row>
    <row r="132" ht="26.25" customHeight="1">
      <c r="A132" s="11" t="s">
        <v>328</v>
      </c>
      <c r="B132" s="13" t="s">
        <v>17</v>
      </c>
      <c r="C132" s="16" t="s">
        <v>329</v>
      </c>
      <c r="D132" s="13" t="s">
        <v>321</v>
      </c>
      <c r="E132" s="13" t="s">
        <v>22</v>
      </c>
      <c r="F132" s="13" t="s">
        <v>23</v>
      </c>
      <c r="G132" s="22">
        <v>0.0</v>
      </c>
      <c r="H132" s="22">
        <v>0.0</v>
      </c>
      <c r="I132" s="22">
        <v>0.0</v>
      </c>
      <c r="J132" s="46">
        <v>0.0</v>
      </c>
    </row>
    <row r="133" ht="26.25" customHeight="1">
      <c r="A133" s="47" t="s">
        <v>330</v>
      </c>
      <c r="B133" s="48" t="s">
        <v>17</v>
      </c>
      <c r="C133" s="50" t="s">
        <v>331</v>
      </c>
      <c r="D133" s="48" t="s">
        <v>321</v>
      </c>
      <c r="E133" s="48" t="s">
        <v>22</v>
      </c>
      <c r="F133" s="48" t="s">
        <v>23</v>
      </c>
      <c r="G133" s="53">
        <v>0.0</v>
      </c>
      <c r="H133" s="53">
        <v>0.0</v>
      </c>
      <c r="I133" s="53">
        <v>0.0</v>
      </c>
      <c r="J133" s="54">
        <v>0.0</v>
      </c>
    </row>
    <row r="134" ht="26.25" customHeight="1">
      <c r="A134" s="11" t="s">
        <v>332</v>
      </c>
      <c r="B134" s="13" t="s">
        <v>17</v>
      </c>
      <c r="C134" s="16" t="s">
        <v>333</v>
      </c>
      <c r="D134" s="13" t="s">
        <v>321</v>
      </c>
      <c r="E134" s="13" t="s">
        <v>22</v>
      </c>
      <c r="F134" s="13" t="s">
        <v>23</v>
      </c>
      <c r="G134" s="22">
        <v>0.0</v>
      </c>
      <c r="H134" s="22">
        <v>0.0</v>
      </c>
      <c r="I134" s="22">
        <v>0.0</v>
      </c>
      <c r="J134" s="46">
        <v>0.0</v>
      </c>
    </row>
    <row r="135" ht="26.25" customHeight="1">
      <c r="A135" s="47" t="s">
        <v>334</v>
      </c>
      <c r="B135" s="48" t="s">
        <v>17</v>
      </c>
      <c r="C135" s="50" t="s">
        <v>335</v>
      </c>
      <c r="D135" s="48" t="s">
        <v>321</v>
      </c>
      <c r="E135" s="48" t="s">
        <v>22</v>
      </c>
      <c r="F135" s="48" t="s">
        <v>23</v>
      </c>
      <c r="G135" s="53">
        <v>0.0</v>
      </c>
      <c r="H135" s="53">
        <v>0.0</v>
      </c>
      <c r="I135" s="53">
        <v>0.0</v>
      </c>
      <c r="J135" s="54">
        <v>0.0</v>
      </c>
    </row>
    <row r="136" ht="26.25" customHeight="1">
      <c r="A136" s="11" t="s">
        <v>337</v>
      </c>
      <c r="B136" s="13" t="s">
        <v>17</v>
      </c>
      <c r="C136" s="16" t="s">
        <v>339</v>
      </c>
      <c r="D136" s="13" t="s">
        <v>321</v>
      </c>
      <c r="E136" s="13" t="s">
        <v>22</v>
      </c>
      <c r="F136" s="13" t="s">
        <v>23</v>
      </c>
      <c r="G136" s="22">
        <v>0.0</v>
      </c>
      <c r="H136" s="22">
        <v>0.0</v>
      </c>
      <c r="I136" s="22">
        <v>0.0</v>
      </c>
      <c r="J136" s="46">
        <v>0.0</v>
      </c>
    </row>
    <row r="137" ht="26.25" customHeight="1">
      <c r="A137" s="47" t="s">
        <v>340</v>
      </c>
      <c r="B137" s="48" t="s">
        <v>17</v>
      </c>
      <c r="C137" s="50" t="s">
        <v>342</v>
      </c>
      <c r="D137" s="48" t="s">
        <v>321</v>
      </c>
      <c r="E137" s="48" t="s">
        <v>22</v>
      </c>
      <c r="F137" s="48" t="s">
        <v>23</v>
      </c>
      <c r="G137" s="53">
        <v>0.0</v>
      </c>
      <c r="H137" s="53">
        <v>0.0</v>
      </c>
      <c r="I137" s="53">
        <v>0.0</v>
      </c>
      <c r="J137" s="54">
        <v>0.0</v>
      </c>
    </row>
    <row r="138" ht="26.25" customHeight="1">
      <c r="A138" s="11" t="s">
        <v>344</v>
      </c>
      <c r="B138" s="13" t="s">
        <v>17</v>
      </c>
      <c r="C138" s="16" t="s">
        <v>345</v>
      </c>
      <c r="D138" s="13" t="s">
        <v>321</v>
      </c>
      <c r="E138" s="19" t="s">
        <v>22</v>
      </c>
      <c r="F138" s="13" t="s">
        <v>23</v>
      </c>
      <c r="G138" s="22">
        <v>0.0</v>
      </c>
      <c r="H138" s="22">
        <v>0.0</v>
      </c>
      <c r="I138" s="22">
        <v>0.0</v>
      </c>
      <c r="J138" s="46">
        <v>0.0</v>
      </c>
    </row>
    <row r="139" ht="26.25" customHeight="1">
      <c r="A139" s="47" t="s">
        <v>346</v>
      </c>
      <c r="B139" s="48" t="s">
        <v>17</v>
      </c>
      <c r="C139" s="50" t="s">
        <v>347</v>
      </c>
      <c r="D139" s="48" t="s">
        <v>321</v>
      </c>
      <c r="E139" s="48" t="s">
        <v>22</v>
      </c>
      <c r="F139" s="48" t="s">
        <v>23</v>
      </c>
      <c r="G139" s="53">
        <v>44153.0</v>
      </c>
      <c r="H139" s="53">
        <v>47000.0</v>
      </c>
      <c r="I139" s="53">
        <v>2847.0</v>
      </c>
      <c r="J139" s="54">
        <v>0.06448032976241705</v>
      </c>
    </row>
    <row r="140" ht="26.25" customHeight="1">
      <c r="A140" s="11" t="s">
        <v>348</v>
      </c>
      <c r="B140" s="13" t="s">
        <v>17</v>
      </c>
      <c r="C140" s="16" t="s">
        <v>349</v>
      </c>
      <c r="D140" s="13" t="s">
        <v>321</v>
      </c>
      <c r="E140" s="13" t="s">
        <v>22</v>
      </c>
      <c r="F140" s="13" t="s">
        <v>23</v>
      </c>
      <c r="G140" s="22">
        <v>45031.0</v>
      </c>
      <c r="H140" s="22">
        <v>48000.0</v>
      </c>
      <c r="I140" s="22">
        <v>2969.0</v>
      </c>
      <c r="J140" s="46">
        <v>0.06593235770913371</v>
      </c>
    </row>
    <row r="141" ht="26.25" customHeight="1">
      <c r="A141" s="47" t="s">
        <v>350</v>
      </c>
      <c r="B141" s="48" t="s">
        <v>17</v>
      </c>
      <c r="C141" s="50" t="s">
        <v>351</v>
      </c>
      <c r="D141" s="48" t="s">
        <v>321</v>
      </c>
      <c r="E141" s="48" t="s">
        <v>22</v>
      </c>
      <c r="F141" s="48" t="s">
        <v>23</v>
      </c>
      <c r="G141" s="53">
        <v>45765.0</v>
      </c>
      <c r="H141" s="53">
        <v>48000.0</v>
      </c>
      <c r="I141" s="53">
        <v>2235.0</v>
      </c>
      <c r="J141" s="54">
        <v>0.04883644706653556</v>
      </c>
    </row>
    <row r="142" ht="26.25" customHeight="1">
      <c r="A142" s="11" t="s">
        <v>352</v>
      </c>
      <c r="B142" s="13" t="s">
        <v>17</v>
      </c>
      <c r="C142" s="16" t="s">
        <v>353</v>
      </c>
      <c r="D142" s="13" t="s">
        <v>321</v>
      </c>
      <c r="E142" s="13" t="s">
        <v>22</v>
      </c>
      <c r="F142" s="13" t="s">
        <v>23</v>
      </c>
      <c r="G142" s="22">
        <v>51039.0</v>
      </c>
      <c r="H142" s="22">
        <v>55000.0</v>
      </c>
      <c r="I142" s="22">
        <v>3961.0</v>
      </c>
      <c r="J142" s="46">
        <v>0.07760731989263113</v>
      </c>
    </row>
    <row r="143" ht="26.25" customHeight="1">
      <c r="A143" s="47" t="s">
        <v>354</v>
      </c>
      <c r="B143" s="48" t="s">
        <v>17</v>
      </c>
      <c r="C143" s="50" t="s">
        <v>355</v>
      </c>
      <c r="D143" s="48" t="s">
        <v>321</v>
      </c>
      <c r="E143" s="48" t="s">
        <v>22</v>
      </c>
      <c r="F143" s="48" t="s">
        <v>23</v>
      </c>
      <c r="G143" s="53">
        <v>54045.0</v>
      </c>
      <c r="H143" s="53">
        <v>57000.0</v>
      </c>
      <c r="I143" s="53">
        <v>2955.0</v>
      </c>
      <c r="J143" s="54">
        <v>0.054676658340271994</v>
      </c>
    </row>
    <row r="144" ht="26.25" customHeight="1">
      <c r="A144" s="11" t="s">
        <v>356</v>
      </c>
      <c r="B144" s="13" t="s">
        <v>17</v>
      </c>
      <c r="C144" s="16" t="s">
        <v>357</v>
      </c>
      <c r="D144" s="13" t="s">
        <v>321</v>
      </c>
      <c r="E144" s="13" t="s">
        <v>22</v>
      </c>
      <c r="F144" s="13" t="s">
        <v>23</v>
      </c>
      <c r="G144" s="22">
        <v>62600.0</v>
      </c>
      <c r="H144" s="22">
        <v>65000.0</v>
      </c>
      <c r="I144" s="22">
        <v>2400.0</v>
      </c>
      <c r="J144" s="46">
        <v>0.038338658146964855</v>
      </c>
    </row>
    <row r="145" ht="26.25" customHeight="1">
      <c r="A145" s="47" t="s">
        <v>358</v>
      </c>
      <c r="B145" s="48" t="s">
        <v>17</v>
      </c>
      <c r="C145" s="50" t="s">
        <v>359</v>
      </c>
      <c r="D145" s="48" t="s">
        <v>321</v>
      </c>
      <c r="E145" s="48" t="s">
        <v>22</v>
      </c>
      <c r="F145" s="48" t="s">
        <v>23</v>
      </c>
      <c r="G145" s="53">
        <v>62939.0</v>
      </c>
      <c r="H145" s="53">
        <v>65000.0</v>
      </c>
      <c r="I145" s="53">
        <v>2061.0</v>
      </c>
      <c r="J145" s="54">
        <v>0.03274599215113046</v>
      </c>
    </row>
    <row r="146" ht="26.25" customHeight="1">
      <c r="A146" s="11" t="s">
        <v>360</v>
      </c>
      <c r="B146" s="13" t="s">
        <v>17</v>
      </c>
      <c r="C146" s="16" t="s">
        <v>362</v>
      </c>
      <c r="D146" s="13" t="s">
        <v>321</v>
      </c>
      <c r="E146" s="13" t="s">
        <v>22</v>
      </c>
      <c r="F146" s="13" t="s">
        <v>23</v>
      </c>
      <c r="G146" s="22">
        <v>62400.0</v>
      </c>
      <c r="H146" s="22">
        <v>66000.0</v>
      </c>
      <c r="I146" s="22">
        <v>3600.0</v>
      </c>
      <c r="J146" s="46">
        <v>0.057692307692307696</v>
      </c>
    </row>
    <row r="147" ht="26.25" customHeight="1">
      <c r="A147" s="47" t="s">
        <v>365</v>
      </c>
      <c r="B147" s="48" t="s">
        <v>17</v>
      </c>
      <c r="C147" s="50" t="s">
        <v>366</v>
      </c>
      <c r="D147" s="48" t="s">
        <v>321</v>
      </c>
      <c r="E147" s="48" t="s">
        <v>22</v>
      </c>
      <c r="F147" s="48" t="s">
        <v>23</v>
      </c>
      <c r="G147" s="53">
        <v>71049.0</v>
      </c>
      <c r="H147" s="53">
        <v>76000.0</v>
      </c>
      <c r="I147" s="53">
        <v>4951.0</v>
      </c>
      <c r="J147" s="54">
        <v>0.06968430238286254</v>
      </c>
    </row>
    <row r="148" ht="26.25" customHeight="1">
      <c r="A148" s="11" t="s">
        <v>367</v>
      </c>
      <c r="B148" s="13" t="s">
        <v>17</v>
      </c>
      <c r="C148" s="16" t="s">
        <v>368</v>
      </c>
      <c r="D148" s="13" t="s">
        <v>321</v>
      </c>
      <c r="E148" s="13" t="s">
        <v>22</v>
      </c>
      <c r="F148" s="13" t="s">
        <v>23</v>
      </c>
      <c r="G148" s="22">
        <v>86135.0</v>
      </c>
      <c r="H148" s="22">
        <v>91000.0</v>
      </c>
      <c r="I148" s="22">
        <v>4865.0</v>
      </c>
      <c r="J148" s="46">
        <v>0.056481105241771634</v>
      </c>
    </row>
    <row r="149" ht="26.25" customHeight="1">
      <c r="A149" s="47" t="s">
        <v>369</v>
      </c>
      <c r="B149" s="48" t="s">
        <v>17</v>
      </c>
      <c r="C149" s="50" t="s">
        <v>370</v>
      </c>
      <c r="D149" s="48" t="s">
        <v>321</v>
      </c>
      <c r="E149" s="48" t="s">
        <v>22</v>
      </c>
      <c r="F149" s="48" t="s">
        <v>23</v>
      </c>
      <c r="G149" s="53">
        <v>86961.0</v>
      </c>
      <c r="H149" s="53">
        <v>93000.0</v>
      </c>
      <c r="I149" s="53">
        <v>6039.0</v>
      </c>
      <c r="J149" s="54">
        <v>0.0694449235864353</v>
      </c>
    </row>
    <row r="150" ht="26.25" customHeight="1">
      <c r="A150" s="11" t="s">
        <v>371</v>
      </c>
      <c r="B150" s="13" t="s">
        <v>17</v>
      </c>
      <c r="C150" s="16" t="s">
        <v>372</v>
      </c>
      <c r="D150" s="13" t="s">
        <v>321</v>
      </c>
      <c r="E150" s="13" t="s">
        <v>22</v>
      </c>
      <c r="F150" s="13" t="s">
        <v>23</v>
      </c>
      <c r="G150" s="22">
        <v>89160.0</v>
      </c>
      <c r="H150" s="22">
        <v>95000.0</v>
      </c>
      <c r="I150" s="22">
        <v>5840.0</v>
      </c>
      <c r="J150" s="46">
        <v>0.0655002243158367</v>
      </c>
    </row>
    <row r="151" ht="26.25" customHeight="1">
      <c r="A151" s="47" t="s">
        <v>373</v>
      </c>
      <c r="B151" s="48" t="s">
        <v>17</v>
      </c>
      <c r="C151" s="50" t="s">
        <v>374</v>
      </c>
      <c r="D151" s="48" t="s">
        <v>321</v>
      </c>
      <c r="E151" s="48" t="s">
        <v>22</v>
      </c>
      <c r="F151" s="48" t="s">
        <v>23</v>
      </c>
      <c r="G151" s="53">
        <v>0.0</v>
      </c>
      <c r="H151" s="53">
        <v>0.0</v>
      </c>
      <c r="I151" s="53">
        <v>0.0</v>
      </c>
      <c r="J151" s="54">
        <v>0.0</v>
      </c>
    </row>
    <row r="152" ht="26.25" customHeight="1">
      <c r="A152" s="11" t="s">
        <v>375</v>
      </c>
      <c r="B152" s="13" t="s">
        <v>17</v>
      </c>
      <c r="C152" s="16" t="s">
        <v>376</v>
      </c>
      <c r="D152" s="13" t="s">
        <v>321</v>
      </c>
      <c r="E152" s="13" t="s">
        <v>22</v>
      </c>
      <c r="F152" s="13" t="s">
        <v>23</v>
      </c>
      <c r="G152" s="22">
        <v>93730.0</v>
      </c>
      <c r="H152" s="22">
        <v>100000.0</v>
      </c>
      <c r="I152" s="22">
        <v>6270.0</v>
      </c>
      <c r="J152" s="46">
        <v>0.06689427077776593</v>
      </c>
    </row>
    <row r="153" ht="26.25" customHeight="1">
      <c r="A153" s="47" t="s">
        <v>377</v>
      </c>
      <c r="B153" s="48" t="s">
        <v>17</v>
      </c>
      <c r="C153" s="50" t="s">
        <v>378</v>
      </c>
      <c r="D153" s="48" t="s">
        <v>321</v>
      </c>
      <c r="E153" s="48" t="s">
        <v>22</v>
      </c>
      <c r="F153" s="48" t="s">
        <v>23</v>
      </c>
      <c r="G153" s="53">
        <v>105827.0</v>
      </c>
      <c r="H153" s="53">
        <v>112000.0</v>
      </c>
      <c r="I153" s="53">
        <v>6173.0</v>
      </c>
      <c r="J153" s="54">
        <v>0.05833104973210995</v>
      </c>
    </row>
    <row r="154" ht="26.25" customHeight="1">
      <c r="A154" s="11" t="s">
        <v>379</v>
      </c>
      <c r="B154" s="13" t="s">
        <v>17</v>
      </c>
      <c r="C154" s="16" t="s">
        <v>380</v>
      </c>
      <c r="D154" s="13" t="s">
        <v>321</v>
      </c>
      <c r="E154" s="13" t="s">
        <v>22</v>
      </c>
      <c r="F154" s="13" t="s">
        <v>23</v>
      </c>
      <c r="G154" s="22">
        <v>120180.0</v>
      </c>
      <c r="H154" s="22">
        <v>128000.0</v>
      </c>
      <c r="I154" s="22">
        <v>7820.0</v>
      </c>
      <c r="J154" s="46">
        <v>0.06506906307205858</v>
      </c>
    </row>
    <row r="155" ht="26.25" customHeight="1">
      <c r="A155" s="47" t="s">
        <v>381</v>
      </c>
      <c r="B155" s="48" t="s">
        <v>17</v>
      </c>
      <c r="C155" s="50" t="s">
        <v>382</v>
      </c>
      <c r="D155" s="48" t="s">
        <v>321</v>
      </c>
      <c r="E155" s="48" t="s">
        <v>22</v>
      </c>
      <c r="F155" s="48" t="s">
        <v>23</v>
      </c>
      <c r="G155" s="53">
        <v>141414.0</v>
      </c>
      <c r="H155" s="53">
        <v>147000.0</v>
      </c>
      <c r="I155" s="53">
        <v>5586.0</v>
      </c>
      <c r="J155" s="54">
        <v>0.0395010395010395</v>
      </c>
    </row>
    <row r="156" ht="26.25" customHeight="1">
      <c r="A156" s="11" t="s">
        <v>385</v>
      </c>
      <c r="B156" s="13" t="s">
        <v>17</v>
      </c>
      <c r="C156" s="16" t="s">
        <v>386</v>
      </c>
      <c r="D156" s="13" t="s">
        <v>321</v>
      </c>
      <c r="E156" s="13" t="s">
        <v>22</v>
      </c>
      <c r="F156" s="13" t="s">
        <v>23</v>
      </c>
      <c r="G156" s="22">
        <v>0.0</v>
      </c>
      <c r="H156" s="22">
        <v>0.0</v>
      </c>
      <c r="I156" s="22">
        <v>0.0</v>
      </c>
      <c r="J156" s="46">
        <v>0.0</v>
      </c>
    </row>
    <row r="157" ht="26.25" customHeight="1">
      <c r="A157" s="47" t="s">
        <v>388</v>
      </c>
      <c r="B157" s="48" t="s">
        <v>17</v>
      </c>
      <c r="C157" s="50" t="s">
        <v>389</v>
      </c>
      <c r="D157" s="48" t="s">
        <v>321</v>
      </c>
      <c r="E157" s="48" t="s">
        <v>22</v>
      </c>
      <c r="F157" s="48" t="s">
        <v>23</v>
      </c>
      <c r="G157" s="53">
        <v>0.0</v>
      </c>
      <c r="H157" s="53">
        <v>0.0</v>
      </c>
      <c r="I157" s="53">
        <v>0.0</v>
      </c>
      <c r="J157" s="54">
        <v>0.0</v>
      </c>
    </row>
    <row r="158" ht="26.25" customHeight="1">
      <c r="A158" s="11" t="s">
        <v>390</v>
      </c>
      <c r="B158" s="13" t="s">
        <v>17</v>
      </c>
      <c r="C158" s="16" t="s">
        <v>391</v>
      </c>
      <c r="D158" s="13" t="s">
        <v>321</v>
      </c>
      <c r="E158" s="13" t="s">
        <v>22</v>
      </c>
      <c r="F158" s="13" t="s">
        <v>23</v>
      </c>
      <c r="G158" s="22">
        <v>150045.0</v>
      </c>
      <c r="H158" s="22">
        <v>155000.0</v>
      </c>
      <c r="I158" s="22">
        <v>4955.0</v>
      </c>
      <c r="J158" s="46">
        <v>0.0330234263054417</v>
      </c>
    </row>
    <row r="159" ht="26.25" customHeight="1">
      <c r="A159" s="47" t="s">
        <v>392</v>
      </c>
      <c r="B159" s="48" t="s">
        <v>17</v>
      </c>
      <c r="C159" s="50" t="s">
        <v>393</v>
      </c>
      <c r="D159" s="48" t="s">
        <v>321</v>
      </c>
      <c r="E159" s="48" t="s">
        <v>22</v>
      </c>
      <c r="F159" s="48" t="s">
        <v>23</v>
      </c>
      <c r="G159" s="53">
        <v>0.0</v>
      </c>
      <c r="H159" s="53">
        <v>0.0</v>
      </c>
      <c r="I159" s="53">
        <v>0.0</v>
      </c>
      <c r="J159" s="54">
        <v>0.0</v>
      </c>
    </row>
    <row r="160" ht="26.25" customHeight="1">
      <c r="A160" s="11" t="s">
        <v>394</v>
      </c>
      <c r="B160" s="13" t="s">
        <v>17</v>
      </c>
      <c r="C160" s="16" t="s">
        <v>395</v>
      </c>
      <c r="D160" s="13" t="s">
        <v>321</v>
      </c>
      <c r="E160" s="13" t="s">
        <v>22</v>
      </c>
      <c r="F160" s="13" t="s">
        <v>23</v>
      </c>
      <c r="G160" s="22">
        <v>0.0</v>
      </c>
      <c r="H160" s="22">
        <v>0.0</v>
      </c>
      <c r="I160" s="22">
        <v>0.0</v>
      </c>
      <c r="J160" s="46">
        <v>0.0</v>
      </c>
    </row>
    <row r="161" ht="26.25" customHeight="1">
      <c r="A161" s="47" t="s">
        <v>396</v>
      </c>
      <c r="B161" s="48" t="s">
        <v>17</v>
      </c>
      <c r="C161" s="50" t="s">
        <v>397</v>
      </c>
      <c r="D161" s="48" t="s">
        <v>321</v>
      </c>
      <c r="E161" s="48" t="s">
        <v>22</v>
      </c>
      <c r="F161" s="48" t="s">
        <v>23</v>
      </c>
      <c r="G161" s="53">
        <v>0.0</v>
      </c>
      <c r="H161" s="53">
        <v>0.0</v>
      </c>
      <c r="I161" s="53">
        <v>0.0</v>
      </c>
      <c r="J161" s="54">
        <v>0.0</v>
      </c>
    </row>
    <row r="162" ht="26.25" customHeight="1">
      <c r="A162" s="11" t="s">
        <v>398</v>
      </c>
      <c r="B162" s="13" t="s">
        <v>17</v>
      </c>
      <c r="C162" s="16" t="s">
        <v>399</v>
      </c>
      <c r="D162" s="13" t="s">
        <v>321</v>
      </c>
      <c r="E162" s="13" t="s">
        <v>22</v>
      </c>
      <c r="F162" s="13" t="s">
        <v>23</v>
      </c>
      <c r="G162" s="22">
        <v>0.0</v>
      </c>
      <c r="H162" s="22">
        <v>0.0</v>
      </c>
      <c r="I162" s="22">
        <v>0.0</v>
      </c>
      <c r="J162" s="46">
        <v>0.0</v>
      </c>
    </row>
    <row r="163" ht="26.25" customHeight="1">
      <c r="A163" s="47" t="s">
        <v>400</v>
      </c>
      <c r="B163" s="48" t="s">
        <v>17</v>
      </c>
      <c r="C163" s="50" t="s">
        <v>401</v>
      </c>
      <c r="D163" s="48" t="s">
        <v>321</v>
      </c>
      <c r="E163" s="48" t="s">
        <v>22</v>
      </c>
      <c r="F163" s="48" t="s">
        <v>23</v>
      </c>
      <c r="G163" s="53">
        <v>0.0</v>
      </c>
      <c r="H163" s="53">
        <v>0.0</v>
      </c>
      <c r="I163" s="53">
        <v>0.0</v>
      </c>
      <c r="J163" s="54">
        <v>0.0</v>
      </c>
    </row>
    <row r="164" ht="26.25" customHeight="1">
      <c r="A164" s="11" t="s">
        <v>402</v>
      </c>
      <c r="B164" s="13" t="s">
        <v>17</v>
      </c>
      <c r="C164" s="16" t="s">
        <v>403</v>
      </c>
      <c r="D164" s="13" t="s">
        <v>321</v>
      </c>
      <c r="E164" s="13" t="s">
        <v>22</v>
      </c>
      <c r="F164" s="13" t="s">
        <v>23</v>
      </c>
      <c r="G164" s="22">
        <v>0.0</v>
      </c>
      <c r="H164" s="22">
        <v>0.0</v>
      </c>
      <c r="I164" s="22">
        <v>0.0</v>
      </c>
      <c r="J164" s="46">
        <v>0.0</v>
      </c>
    </row>
    <row r="165" ht="26.25" customHeight="1">
      <c r="A165" s="47" t="s">
        <v>404</v>
      </c>
      <c r="B165" s="48" t="s">
        <v>17</v>
      </c>
      <c r="C165" s="50" t="s">
        <v>405</v>
      </c>
      <c r="D165" s="48" t="s">
        <v>321</v>
      </c>
      <c r="E165" s="48" t="s">
        <v>22</v>
      </c>
      <c r="F165" s="48" t="s">
        <v>23</v>
      </c>
      <c r="G165" s="53">
        <v>0.0</v>
      </c>
      <c r="H165" s="53">
        <v>0.0</v>
      </c>
      <c r="I165" s="53">
        <v>0.0</v>
      </c>
      <c r="J165" s="54">
        <v>0.0</v>
      </c>
    </row>
    <row r="166" ht="26.25" customHeight="1">
      <c r="A166" s="11" t="s">
        <v>407</v>
      </c>
      <c r="B166" s="13" t="s">
        <v>17</v>
      </c>
      <c r="C166" s="16" t="s">
        <v>408</v>
      </c>
      <c r="D166" s="13" t="s">
        <v>321</v>
      </c>
      <c r="E166" s="13" t="s">
        <v>22</v>
      </c>
      <c r="F166" s="13" t="s">
        <v>23</v>
      </c>
      <c r="G166" s="22">
        <v>0.0</v>
      </c>
      <c r="H166" s="22">
        <v>0.0</v>
      </c>
      <c r="I166" s="22">
        <v>0.0</v>
      </c>
      <c r="J166" s="46">
        <v>0.0</v>
      </c>
    </row>
    <row r="167" ht="26.25" customHeight="1">
      <c r="A167" s="47" t="s">
        <v>411</v>
      </c>
      <c r="B167" s="48" t="s">
        <v>17</v>
      </c>
      <c r="C167" s="50" t="s">
        <v>412</v>
      </c>
      <c r="D167" s="48" t="s">
        <v>321</v>
      </c>
      <c r="E167" s="48" t="s">
        <v>22</v>
      </c>
      <c r="F167" s="48" t="s">
        <v>23</v>
      </c>
      <c r="G167" s="53">
        <v>0.0</v>
      </c>
      <c r="H167" s="53">
        <v>0.0</v>
      </c>
      <c r="I167" s="53">
        <v>0.0</v>
      </c>
      <c r="J167" s="54">
        <v>0.0</v>
      </c>
    </row>
    <row r="168" ht="26.25" customHeight="1">
      <c r="A168" s="11" t="s">
        <v>413</v>
      </c>
      <c r="B168" s="13" t="s">
        <v>17</v>
      </c>
      <c r="C168" s="16" t="s">
        <v>414</v>
      </c>
      <c r="D168" s="13" t="s">
        <v>321</v>
      </c>
      <c r="E168" s="13" t="s">
        <v>22</v>
      </c>
      <c r="F168" s="13" t="s">
        <v>23</v>
      </c>
      <c r="G168" s="22">
        <v>0.0</v>
      </c>
      <c r="H168" s="22">
        <v>0.0</v>
      </c>
      <c r="I168" s="22">
        <v>0.0</v>
      </c>
      <c r="J168" s="46">
        <v>0.0</v>
      </c>
    </row>
    <row r="169" ht="26.25" customHeight="1">
      <c r="A169" s="47" t="s">
        <v>415</v>
      </c>
      <c r="B169" s="48" t="s">
        <v>17</v>
      </c>
      <c r="C169" s="50" t="s">
        <v>416</v>
      </c>
      <c r="D169" s="48" t="s">
        <v>321</v>
      </c>
      <c r="E169" s="48" t="s">
        <v>22</v>
      </c>
      <c r="F169" s="48" t="s">
        <v>23</v>
      </c>
      <c r="G169" s="53">
        <v>6099.0</v>
      </c>
      <c r="H169" s="53">
        <v>9000.0</v>
      </c>
      <c r="I169" s="53">
        <v>2901.0</v>
      </c>
      <c r="J169" s="54">
        <v>0.4756517461878997</v>
      </c>
    </row>
    <row r="170" ht="26.25" customHeight="1">
      <c r="A170" s="11" t="s">
        <v>417</v>
      </c>
      <c r="B170" s="13" t="s">
        <v>17</v>
      </c>
      <c r="C170" s="16" t="s">
        <v>418</v>
      </c>
      <c r="D170" s="13" t="s">
        <v>321</v>
      </c>
      <c r="E170" s="13" t="s">
        <v>22</v>
      </c>
      <c r="F170" s="13" t="s">
        <v>23</v>
      </c>
      <c r="G170" s="22">
        <v>9090.0</v>
      </c>
      <c r="H170" s="22">
        <v>11000.0</v>
      </c>
      <c r="I170" s="22">
        <v>1910.0</v>
      </c>
      <c r="J170" s="46">
        <v>0.21012101210121012</v>
      </c>
    </row>
    <row r="171" ht="26.25" customHeight="1">
      <c r="A171" s="47" t="s">
        <v>419</v>
      </c>
      <c r="B171" s="48" t="s">
        <v>17</v>
      </c>
      <c r="C171" s="50" t="s">
        <v>420</v>
      </c>
      <c r="D171" s="48" t="s">
        <v>321</v>
      </c>
      <c r="E171" s="48" t="s">
        <v>22</v>
      </c>
      <c r="F171" s="48" t="s">
        <v>23</v>
      </c>
      <c r="G171" s="53">
        <v>9185.0</v>
      </c>
      <c r="H171" s="53">
        <v>12000.0</v>
      </c>
      <c r="I171" s="53">
        <v>2815.0</v>
      </c>
      <c r="J171" s="54">
        <v>0.30647795318454</v>
      </c>
    </row>
    <row r="172" ht="26.25" customHeight="1">
      <c r="A172" s="11" t="s">
        <v>421</v>
      </c>
      <c r="B172" s="13" t="s">
        <v>17</v>
      </c>
      <c r="C172" s="16" t="s">
        <v>422</v>
      </c>
      <c r="D172" s="13" t="s">
        <v>321</v>
      </c>
      <c r="E172" s="13" t="s">
        <v>22</v>
      </c>
      <c r="F172" s="13" t="s">
        <v>23</v>
      </c>
      <c r="G172" s="22">
        <v>11888.0</v>
      </c>
      <c r="H172" s="22">
        <v>15000.0</v>
      </c>
      <c r="I172" s="22">
        <v>3112.0</v>
      </c>
      <c r="J172" s="46">
        <v>0.2617765814266487</v>
      </c>
    </row>
    <row r="173" ht="26.25" customHeight="1">
      <c r="A173" s="47" t="s">
        <v>423</v>
      </c>
      <c r="B173" s="48" t="s">
        <v>17</v>
      </c>
      <c r="C173" s="50" t="s">
        <v>424</v>
      </c>
      <c r="D173" s="48" t="s">
        <v>321</v>
      </c>
      <c r="E173" s="48" t="s">
        <v>22</v>
      </c>
      <c r="F173" s="48" t="s">
        <v>23</v>
      </c>
      <c r="G173" s="53">
        <v>12750.0</v>
      </c>
      <c r="H173" s="53">
        <v>15000.0</v>
      </c>
      <c r="I173" s="53">
        <v>2250.0</v>
      </c>
      <c r="J173" s="54">
        <v>0.17647058823529413</v>
      </c>
    </row>
    <row r="174" ht="26.25" customHeight="1">
      <c r="A174" s="11" t="s">
        <v>425</v>
      </c>
      <c r="B174" s="13" t="s">
        <v>17</v>
      </c>
      <c r="C174" s="16" t="s">
        <v>426</v>
      </c>
      <c r="D174" s="13" t="s">
        <v>321</v>
      </c>
      <c r="E174" s="13" t="s">
        <v>22</v>
      </c>
      <c r="F174" s="13" t="s">
        <v>23</v>
      </c>
      <c r="G174" s="22">
        <v>13084.0</v>
      </c>
      <c r="H174" s="22">
        <v>15000.0</v>
      </c>
      <c r="I174" s="22">
        <v>1916.0</v>
      </c>
      <c r="J174" s="46">
        <v>0.1464383980434118</v>
      </c>
    </row>
    <row r="175" ht="26.25" customHeight="1">
      <c r="A175" s="47" t="s">
        <v>428</v>
      </c>
      <c r="B175" s="48" t="s">
        <v>17</v>
      </c>
      <c r="C175" s="50" t="s">
        <v>429</v>
      </c>
      <c r="D175" s="48" t="s">
        <v>321</v>
      </c>
      <c r="E175" s="48" t="s">
        <v>22</v>
      </c>
      <c r="F175" s="48" t="s">
        <v>23</v>
      </c>
      <c r="G175" s="53">
        <v>0.0</v>
      </c>
      <c r="H175" s="53">
        <v>0.0</v>
      </c>
      <c r="I175" s="53">
        <v>0.0</v>
      </c>
      <c r="J175" s="54">
        <v>0.0</v>
      </c>
    </row>
    <row r="176" ht="26.25" customHeight="1">
      <c r="A176" s="11" t="s">
        <v>431</v>
      </c>
      <c r="B176" s="13" t="s">
        <v>17</v>
      </c>
      <c r="C176" s="16" t="s">
        <v>432</v>
      </c>
      <c r="D176" s="13" t="s">
        <v>321</v>
      </c>
      <c r="E176" s="13" t="s">
        <v>22</v>
      </c>
      <c r="F176" s="13" t="s">
        <v>23</v>
      </c>
      <c r="G176" s="22">
        <v>14525.0</v>
      </c>
      <c r="H176" s="22">
        <v>17000.0</v>
      </c>
      <c r="I176" s="22">
        <v>2475.0</v>
      </c>
      <c r="J176" s="46">
        <v>0.1703958691910499</v>
      </c>
    </row>
    <row r="177" ht="26.25" customHeight="1">
      <c r="A177" s="47" t="s">
        <v>433</v>
      </c>
      <c r="B177" s="48" t="s">
        <v>17</v>
      </c>
      <c r="C177" s="50" t="s">
        <v>434</v>
      </c>
      <c r="D177" s="48" t="s">
        <v>321</v>
      </c>
      <c r="E177" s="48" t="s">
        <v>22</v>
      </c>
      <c r="F177" s="48" t="s">
        <v>23</v>
      </c>
      <c r="G177" s="53">
        <v>14838.0</v>
      </c>
      <c r="H177" s="53">
        <v>17000.0</v>
      </c>
      <c r="I177" s="53">
        <v>2162.0</v>
      </c>
      <c r="J177" s="54">
        <v>0.14570696859415017</v>
      </c>
    </row>
    <row r="178" ht="26.25" customHeight="1">
      <c r="A178" s="11" t="s">
        <v>435</v>
      </c>
      <c r="B178" s="13" t="s">
        <v>17</v>
      </c>
      <c r="C178" s="16" t="s">
        <v>436</v>
      </c>
      <c r="D178" s="13" t="s">
        <v>321</v>
      </c>
      <c r="E178" s="13" t="s">
        <v>22</v>
      </c>
      <c r="F178" s="13" t="s">
        <v>23</v>
      </c>
      <c r="G178" s="22">
        <v>17215.0</v>
      </c>
      <c r="H178" s="22">
        <v>20000.0</v>
      </c>
      <c r="I178" s="22">
        <v>2785.0</v>
      </c>
      <c r="J178" s="46">
        <v>0.16177751960499565</v>
      </c>
    </row>
    <row r="179" ht="26.25" customHeight="1">
      <c r="A179" s="47" t="s">
        <v>437</v>
      </c>
      <c r="B179" s="48" t="s">
        <v>17</v>
      </c>
      <c r="C179" s="50" t="s">
        <v>438</v>
      </c>
      <c r="D179" s="48" t="s">
        <v>321</v>
      </c>
      <c r="E179" s="48" t="s">
        <v>22</v>
      </c>
      <c r="F179" s="48" t="s">
        <v>23</v>
      </c>
      <c r="G179" s="53">
        <v>17700.0</v>
      </c>
      <c r="H179" s="53">
        <v>22000.0</v>
      </c>
      <c r="I179" s="53">
        <v>4300.0</v>
      </c>
      <c r="J179" s="54">
        <v>0.24293785310734464</v>
      </c>
    </row>
    <row r="180" ht="26.25" customHeight="1">
      <c r="A180" s="11" t="s">
        <v>439</v>
      </c>
      <c r="B180" s="13" t="s">
        <v>17</v>
      </c>
      <c r="C180" s="16" t="s">
        <v>440</v>
      </c>
      <c r="D180" s="13" t="s">
        <v>321</v>
      </c>
      <c r="E180" s="13" t="s">
        <v>22</v>
      </c>
      <c r="F180" s="13" t="s">
        <v>23</v>
      </c>
      <c r="G180" s="22">
        <v>18500.0</v>
      </c>
      <c r="H180" s="22">
        <v>20000.0</v>
      </c>
      <c r="I180" s="22">
        <v>1500.0</v>
      </c>
      <c r="J180" s="46">
        <v>0.08108108108108109</v>
      </c>
    </row>
    <row r="181" ht="26.25" customHeight="1">
      <c r="A181" s="47" t="s">
        <v>441</v>
      </c>
      <c r="B181" s="48" t="s">
        <v>17</v>
      </c>
      <c r="C181" s="50" t="s">
        <v>443</v>
      </c>
      <c r="D181" s="48" t="s">
        <v>321</v>
      </c>
      <c r="E181" s="48" t="s">
        <v>22</v>
      </c>
      <c r="F181" s="48" t="s">
        <v>23</v>
      </c>
      <c r="G181" s="53">
        <v>21300.0</v>
      </c>
      <c r="H181" s="53">
        <v>24000.0</v>
      </c>
      <c r="I181" s="53">
        <v>2700.0</v>
      </c>
      <c r="J181" s="54">
        <v>0.1267605633802817</v>
      </c>
    </row>
    <row r="182" ht="26.25" customHeight="1">
      <c r="A182" s="11" t="s">
        <v>445</v>
      </c>
      <c r="B182" s="13" t="s">
        <v>17</v>
      </c>
      <c r="C182" s="16" t="s">
        <v>446</v>
      </c>
      <c r="D182" s="13" t="s">
        <v>321</v>
      </c>
      <c r="E182" s="13" t="s">
        <v>22</v>
      </c>
      <c r="F182" s="13" t="s">
        <v>23</v>
      </c>
      <c r="G182" s="22">
        <v>22500.0</v>
      </c>
      <c r="H182" s="22">
        <v>0.0</v>
      </c>
      <c r="I182" s="22">
        <v>-22500.0</v>
      </c>
      <c r="J182" s="46">
        <v>-1.0</v>
      </c>
    </row>
    <row r="183" ht="26.25" customHeight="1">
      <c r="A183" s="47" t="s">
        <v>447</v>
      </c>
      <c r="B183" s="48" t="s">
        <v>17</v>
      </c>
      <c r="C183" s="50" t="s">
        <v>448</v>
      </c>
      <c r="D183" s="48" t="s">
        <v>321</v>
      </c>
      <c r="E183" s="48" t="s">
        <v>22</v>
      </c>
      <c r="F183" s="48" t="s">
        <v>23</v>
      </c>
      <c r="G183" s="53">
        <v>26000.0</v>
      </c>
      <c r="H183" s="53">
        <v>28000.0</v>
      </c>
      <c r="I183" s="53">
        <v>2000.0</v>
      </c>
      <c r="J183" s="54">
        <v>0.07692307692307693</v>
      </c>
    </row>
    <row r="184" ht="26.25" customHeight="1">
      <c r="A184" s="11" t="s">
        <v>449</v>
      </c>
      <c r="B184" s="13" t="s">
        <v>17</v>
      </c>
      <c r="C184" s="16" t="s">
        <v>450</v>
      </c>
      <c r="D184" s="13" t="s">
        <v>321</v>
      </c>
      <c r="E184" s="13" t="s">
        <v>22</v>
      </c>
      <c r="F184" s="13" t="s">
        <v>23</v>
      </c>
      <c r="G184" s="22">
        <v>26575.0</v>
      </c>
      <c r="H184" s="22">
        <v>30000.0</v>
      </c>
      <c r="I184" s="22">
        <v>3425.0</v>
      </c>
      <c r="J184" s="46">
        <v>0.1288805268109125</v>
      </c>
    </row>
    <row r="185" ht="26.25" customHeight="1">
      <c r="A185" s="47" t="s">
        <v>451</v>
      </c>
      <c r="B185" s="48" t="s">
        <v>17</v>
      </c>
      <c r="C185" s="50" t="s">
        <v>452</v>
      </c>
      <c r="D185" s="48" t="s">
        <v>321</v>
      </c>
      <c r="E185" s="48" t="s">
        <v>22</v>
      </c>
      <c r="F185" s="48" t="s">
        <v>23</v>
      </c>
      <c r="G185" s="53">
        <v>28250.0</v>
      </c>
      <c r="H185" s="53">
        <v>31000.0</v>
      </c>
      <c r="I185" s="53">
        <v>2750.0</v>
      </c>
      <c r="J185" s="54">
        <v>0.09734513274336283</v>
      </c>
    </row>
    <row r="186" ht="26.25" customHeight="1">
      <c r="A186" s="11" t="s">
        <v>453</v>
      </c>
      <c r="B186" s="13" t="s">
        <v>17</v>
      </c>
      <c r="C186" s="16" t="s">
        <v>454</v>
      </c>
      <c r="D186" s="13" t="s">
        <v>321</v>
      </c>
      <c r="E186" s="13" t="s">
        <v>22</v>
      </c>
      <c r="F186" s="13" t="s">
        <v>23</v>
      </c>
      <c r="G186" s="22">
        <v>0.0</v>
      </c>
      <c r="H186" s="22">
        <v>0.0</v>
      </c>
      <c r="I186" s="22">
        <v>0.0</v>
      </c>
      <c r="J186" s="46">
        <v>0.0</v>
      </c>
    </row>
    <row r="187" ht="26.25" customHeight="1">
      <c r="A187" s="47" t="s">
        <v>455</v>
      </c>
      <c r="B187" s="48" t="s">
        <v>17</v>
      </c>
      <c r="C187" s="50" t="s">
        <v>456</v>
      </c>
      <c r="D187" s="48" t="s">
        <v>321</v>
      </c>
      <c r="E187" s="48" t="s">
        <v>22</v>
      </c>
      <c r="F187" s="48" t="s">
        <v>23</v>
      </c>
      <c r="G187" s="53">
        <v>0.0</v>
      </c>
      <c r="H187" s="53">
        <v>0.0</v>
      </c>
      <c r="I187" s="53">
        <v>0.0</v>
      </c>
      <c r="J187" s="54">
        <v>0.0</v>
      </c>
    </row>
    <row r="188" ht="26.25" customHeight="1">
      <c r="A188" s="11" t="s">
        <v>457</v>
      </c>
      <c r="B188" s="13" t="s">
        <v>17</v>
      </c>
      <c r="C188" s="16" t="s">
        <v>458</v>
      </c>
      <c r="D188" s="13" t="s">
        <v>321</v>
      </c>
      <c r="E188" s="13" t="s">
        <v>22</v>
      </c>
      <c r="F188" s="13" t="s">
        <v>23</v>
      </c>
      <c r="G188" s="22">
        <v>0.0</v>
      </c>
      <c r="H188" s="22">
        <v>0.0</v>
      </c>
      <c r="I188" s="22">
        <v>0.0</v>
      </c>
      <c r="J188" s="46">
        <v>0.0</v>
      </c>
    </row>
    <row r="189" ht="26.25" customHeight="1">
      <c r="A189" s="47" t="s">
        <v>459</v>
      </c>
      <c r="B189" s="48" t="s">
        <v>17</v>
      </c>
      <c r="C189" s="50" t="s">
        <v>460</v>
      </c>
      <c r="D189" s="48" t="s">
        <v>321</v>
      </c>
      <c r="E189" s="48" t="s">
        <v>22</v>
      </c>
      <c r="F189" s="48" t="s">
        <v>23</v>
      </c>
      <c r="G189" s="53">
        <v>32984.0</v>
      </c>
      <c r="H189" s="53">
        <v>35000.0</v>
      </c>
      <c r="I189" s="53">
        <v>2016.0</v>
      </c>
      <c r="J189" s="54">
        <v>0.06112054329371817</v>
      </c>
    </row>
    <row r="190" ht="26.25" customHeight="1">
      <c r="A190" s="11" t="s">
        <v>461</v>
      </c>
      <c r="B190" s="13" t="s">
        <v>17</v>
      </c>
      <c r="C190" s="16" t="s">
        <v>462</v>
      </c>
      <c r="D190" s="13" t="s">
        <v>321</v>
      </c>
      <c r="E190" s="13" t="s">
        <v>22</v>
      </c>
      <c r="F190" s="13" t="s">
        <v>23</v>
      </c>
      <c r="G190" s="22">
        <v>44700.0</v>
      </c>
      <c r="H190" s="22">
        <v>48000.0</v>
      </c>
      <c r="I190" s="22">
        <v>3300.0</v>
      </c>
      <c r="J190" s="46">
        <v>0.0738255033557047</v>
      </c>
    </row>
    <row r="191" ht="26.25" customHeight="1">
      <c r="A191" s="47" t="s">
        <v>464</v>
      </c>
      <c r="B191" s="48" t="s">
        <v>17</v>
      </c>
      <c r="C191" s="50" t="s">
        <v>465</v>
      </c>
      <c r="D191" s="48" t="s">
        <v>321</v>
      </c>
      <c r="E191" s="48" t="s">
        <v>22</v>
      </c>
      <c r="F191" s="48" t="s">
        <v>23</v>
      </c>
      <c r="G191" s="53">
        <v>0.0</v>
      </c>
      <c r="H191" s="53">
        <v>0.0</v>
      </c>
      <c r="I191" s="53">
        <v>0.0</v>
      </c>
      <c r="J191" s="54">
        <v>0.0</v>
      </c>
    </row>
    <row r="192" ht="26.25" customHeight="1">
      <c r="A192" s="11" t="s">
        <v>467</v>
      </c>
      <c r="B192" s="13" t="s">
        <v>17</v>
      </c>
      <c r="C192" s="16" t="s">
        <v>468</v>
      </c>
      <c r="D192" s="13" t="s">
        <v>321</v>
      </c>
      <c r="E192" s="13" t="s">
        <v>22</v>
      </c>
      <c r="F192" s="13" t="s">
        <v>23</v>
      </c>
      <c r="G192" s="22">
        <v>88000.0</v>
      </c>
      <c r="H192" s="22">
        <v>92000.0</v>
      </c>
      <c r="I192" s="22">
        <v>4000.0</v>
      </c>
      <c r="J192" s="46">
        <v>0.045454545454545456</v>
      </c>
    </row>
    <row r="193" ht="26.25" customHeight="1">
      <c r="A193" s="47" t="s">
        <v>469</v>
      </c>
      <c r="B193" s="48" t="s">
        <v>17</v>
      </c>
      <c r="C193" s="50" t="s">
        <v>470</v>
      </c>
      <c r="D193" s="48" t="s">
        <v>471</v>
      </c>
      <c r="E193" s="48" t="s">
        <v>22</v>
      </c>
      <c r="F193" s="48" t="s">
        <v>23</v>
      </c>
      <c r="G193" s="53">
        <v>5970.0</v>
      </c>
      <c r="H193" s="53">
        <v>8000.0</v>
      </c>
      <c r="I193" s="53">
        <v>2030.0</v>
      </c>
      <c r="J193" s="54">
        <v>0.34003350083752093</v>
      </c>
    </row>
    <row r="194" ht="26.25" customHeight="1">
      <c r="A194" s="11" t="s">
        <v>472</v>
      </c>
      <c r="B194" s="13" t="s">
        <v>17</v>
      </c>
      <c r="C194" s="16" t="s">
        <v>473</v>
      </c>
      <c r="D194" s="13" t="s">
        <v>471</v>
      </c>
      <c r="E194" s="13" t="s">
        <v>22</v>
      </c>
      <c r="F194" s="13" t="s">
        <v>23</v>
      </c>
      <c r="G194" s="22">
        <v>8907.0</v>
      </c>
      <c r="H194" s="22">
        <v>12000.0</v>
      </c>
      <c r="I194" s="22">
        <v>3093.0</v>
      </c>
      <c r="J194" s="46">
        <v>0.3472549680026945</v>
      </c>
    </row>
    <row r="195" ht="26.25" customHeight="1">
      <c r="A195" s="47" t="s">
        <v>474</v>
      </c>
      <c r="B195" s="48" t="s">
        <v>17</v>
      </c>
      <c r="C195" s="50" t="s">
        <v>475</v>
      </c>
      <c r="D195" s="48" t="s">
        <v>471</v>
      </c>
      <c r="E195" s="48" t="s">
        <v>22</v>
      </c>
      <c r="F195" s="48" t="s">
        <v>23</v>
      </c>
      <c r="G195" s="53">
        <v>9350.0</v>
      </c>
      <c r="H195" s="53">
        <v>13000.0</v>
      </c>
      <c r="I195" s="53">
        <v>3650.0</v>
      </c>
      <c r="J195" s="54">
        <v>0.39037433155080214</v>
      </c>
    </row>
    <row r="196" ht="26.25" customHeight="1">
      <c r="A196" s="11" t="s">
        <v>476</v>
      </c>
      <c r="B196" s="13" t="s">
        <v>17</v>
      </c>
      <c r="C196" s="16" t="s">
        <v>477</v>
      </c>
      <c r="D196" s="13" t="s">
        <v>471</v>
      </c>
      <c r="E196" s="13" t="s">
        <v>22</v>
      </c>
      <c r="F196" s="13" t="s">
        <v>23</v>
      </c>
      <c r="G196" s="22">
        <v>14650.0</v>
      </c>
      <c r="H196" s="22">
        <v>17000.0</v>
      </c>
      <c r="I196" s="22">
        <v>2350.0</v>
      </c>
      <c r="J196" s="46">
        <v>0.16040955631399317</v>
      </c>
    </row>
    <row r="197" ht="26.25" customHeight="1">
      <c r="A197" s="47" t="s">
        <v>478</v>
      </c>
      <c r="B197" s="48" t="s">
        <v>17</v>
      </c>
      <c r="C197" s="50" t="s">
        <v>479</v>
      </c>
      <c r="D197" s="48" t="s">
        <v>471</v>
      </c>
      <c r="E197" s="48" t="s">
        <v>22</v>
      </c>
      <c r="F197" s="48" t="s">
        <v>23</v>
      </c>
      <c r="G197" s="53">
        <v>13210.0</v>
      </c>
      <c r="H197" s="53">
        <v>15000.0</v>
      </c>
      <c r="I197" s="53">
        <v>1790.0</v>
      </c>
      <c r="J197" s="54">
        <v>0.13550340651021953</v>
      </c>
    </row>
    <row r="198" ht="26.25" customHeight="1">
      <c r="A198" s="11" t="s">
        <v>480</v>
      </c>
      <c r="B198" s="13" t="s">
        <v>17</v>
      </c>
      <c r="C198" s="16" t="s">
        <v>481</v>
      </c>
      <c r="D198" s="13" t="s">
        <v>471</v>
      </c>
      <c r="E198" s="13" t="s">
        <v>22</v>
      </c>
      <c r="F198" s="13" t="s">
        <v>23</v>
      </c>
      <c r="G198" s="22">
        <v>14589.0</v>
      </c>
      <c r="H198" s="22">
        <v>17000.0</v>
      </c>
      <c r="I198" s="22">
        <v>2411.0</v>
      </c>
      <c r="J198" s="46">
        <v>0.16526149838919735</v>
      </c>
    </row>
    <row r="199" ht="26.25" customHeight="1">
      <c r="A199" s="47" t="s">
        <v>482</v>
      </c>
      <c r="B199" s="48" t="s">
        <v>17</v>
      </c>
      <c r="C199" s="50" t="s">
        <v>483</v>
      </c>
      <c r="D199" s="48" t="s">
        <v>471</v>
      </c>
      <c r="E199" s="48" t="s">
        <v>22</v>
      </c>
      <c r="F199" s="48" t="s">
        <v>23</v>
      </c>
      <c r="G199" s="53">
        <v>19125.0</v>
      </c>
      <c r="H199" s="53">
        <v>22000.0</v>
      </c>
      <c r="I199" s="53">
        <v>2875.0</v>
      </c>
      <c r="J199" s="54">
        <v>0.1503267973856209</v>
      </c>
    </row>
    <row r="200" ht="26.25" customHeight="1">
      <c r="A200" s="11" t="s">
        <v>486</v>
      </c>
      <c r="B200" s="13" t="s">
        <v>17</v>
      </c>
      <c r="C200" s="16" t="s">
        <v>487</v>
      </c>
      <c r="D200" s="13" t="s">
        <v>471</v>
      </c>
      <c r="E200" s="13" t="s">
        <v>22</v>
      </c>
      <c r="F200" s="13" t="s">
        <v>23</v>
      </c>
      <c r="G200" s="22">
        <v>20100.0</v>
      </c>
      <c r="H200" s="22">
        <v>22000.0</v>
      </c>
      <c r="I200" s="22">
        <v>1900.0</v>
      </c>
      <c r="J200" s="46">
        <v>0.0945273631840796</v>
      </c>
    </row>
    <row r="201" ht="26.25" customHeight="1">
      <c r="A201" s="47" t="s">
        <v>488</v>
      </c>
      <c r="B201" s="48" t="s">
        <v>17</v>
      </c>
      <c r="C201" s="50" t="s">
        <v>489</v>
      </c>
      <c r="D201" s="48" t="s">
        <v>471</v>
      </c>
      <c r="E201" s="48" t="s">
        <v>22</v>
      </c>
      <c r="F201" s="48" t="s">
        <v>23</v>
      </c>
      <c r="G201" s="53">
        <v>19150.0</v>
      </c>
      <c r="H201" s="53">
        <v>23000.0</v>
      </c>
      <c r="I201" s="53">
        <v>3850.0</v>
      </c>
      <c r="J201" s="54">
        <v>0.2010443864229765</v>
      </c>
    </row>
    <row r="202" ht="26.25" customHeight="1">
      <c r="A202" s="11" t="s">
        <v>490</v>
      </c>
      <c r="B202" s="13" t="s">
        <v>17</v>
      </c>
      <c r="C202" s="16" t="s">
        <v>491</v>
      </c>
      <c r="D202" s="13" t="s">
        <v>471</v>
      </c>
      <c r="E202" s="13" t="s">
        <v>22</v>
      </c>
      <c r="F202" s="13" t="s">
        <v>23</v>
      </c>
      <c r="G202" s="22">
        <v>31050.0</v>
      </c>
      <c r="H202" s="22">
        <v>34000.0</v>
      </c>
      <c r="I202" s="22">
        <v>2950.0</v>
      </c>
      <c r="J202" s="46">
        <v>0.09500805152979067</v>
      </c>
    </row>
    <row r="203" ht="26.25" customHeight="1">
      <c r="A203" s="47" t="s">
        <v>492</v>
      </c>
      <c r="B203" s="48" t="s">
        <v>17</v>
      </c>
      <c r="C203" s="50" t="s">
        <v>493</v>
      </c>
      <c r="D203" s="48" t="s">
        <v>471</v>
      </c>
      <c r="E203" s="48" t="s">
        <v>22</v>
      </c>
      <c r="F203" s="48" t="s">
        <v>23</v>
      </c>
      <c r="G203" s="53">
        <v>33000.0</v>
      </c>
      <c r="H203" s="53">
        <v>36000.0</v>
      </c>
      <c r="I203" s="53">
        <v>3000.0</v>
      </c>
      <c r="J203" s="54">
        <v>0.09090909090909091</v>
      </c>
    </row>
    <row r="204" ht="26.25" customHeight="1">
      <c r="A204" s="11" t="s">
        <v>494</v>
      </c>
      <c r="B204" s="13" t="s">
        <v>17</v>
      </c>
      <c r="C204" s="16" t="s">
        <v>495</v>
      </c>
      <c r="D204" s="13" t="s">
        <v>471</v>
      </c>
      <c r="E204" s="13" t="s">
        <v>22</v>
      </c>
      <c r="F204" s="13" t="s">
        <v>23</v>
      </c>
      <c r="G204" s="22">
        <v>37300.0</v>
      </c>
      <c r="H204" s="22">
        <v>40000.0</v>
      </c>
      <c r="I204" s="22">
        <v>2700.0</v>
      </c>
      <c r="J204" s="46">
        <v>0.07238605898123325</v>
      </c>
    </row>
    <row r="205" ht="26.25" customHeight="1">
      <c r="A205" s="47" t="s">
        <v>496</v>
      </c>
      <c r="B205" s="48" t="s">
        <v>17</v>
      </c>
      <c r="C205" s="50" t="s">
        <v>497</v>
      </c>
      <c r="D205" s="48" t="s">
        <v>471</v>
      </c>
      <c r="E205" s="48" t="s">
        <v>22</v>
      </c>
      <c r="F205" s="48" t="s">
        <v>23</v>
      </c>
      <c r="G205" s="53">
        <v>63200.0</v>
      </c>
      <c r="H205" s="53">
        <v>67000.0</v>
      </c>
      <c r="I205" s="53">
        <v>3800.0</v>
      </c>
      <c r="J205" s="54">
        <v>0.060126582278481014</v>
      </c>
    </row>
    <row r="206" ht="26.25" customHeight="1">
      <c r="A206" s="11" t="s">
        <v>498</v>
      </c>
      <c r="B206" s="13" t="s">
        <v>17</v>
      </c>
      <c r="C206" s="16" t="s">
        <v>499</v>
      </c>
      <c r="D206" s="13" t="s">
        <v>471</v>
      </c>
      <c r="E206" s="13" t="s">
        <v>22</v>
      </c>
      <c r="F206" s="13" t="s">
        <v>23</v>
      </c>
      <c r="G206" s="22">
        <v>97265.0</v>
      </c>
      <c r="H206" s="22">
        <v>102000.0</v>
      </c>
      <c r="I206" s="22">
        <v>4735.0</v>
      </c>
      <c r="J206" s="46">
        <v>0.04868143731044055</v>
      </c>
    </row>
    <row r="207" ht="26.25" customHeight="1">
      <c r="A207" s="47" t="s">
        <v>500</v>
      </c>
      <c r="B207" s="48" t="s">
        <v>17</v>
      </c>
      <c r="C207" s="50" t="s">
        <v>501</v>
      </c>
      <c r="D207" s="48" t="s">
        <v>471</v>
      </c>
      <c r="E207" s="48" t="s">
        <v>22</v>
      </c>
      <c r="F207" s="48" t="s">
        <v>23</v>
      </c>
      <c r="G207" s="53">
        <v>18311.0</v>
      </c>
      <c r="H207" s="53">
        <v>21000.0</v>
      </c>
      <c r="I207" s="53">
        <v>2689.0</v>
      </c>
      <c r="J207" s="54">
        <v>0.1468516192452624</v>
      </c>
    </row>
    <row r="208" ht="26.25" customHeight="1">
      <c r="A208" s="11" t="s">
        <v>502</v>
      </c>
      <c r="B208" s="13" t="s">
        <v>17</v>
      </c>
      <c r="C208" s="16" t="s">
        <v>503</v>
      </c>
      <c r="D208" s="13" t="s">
        <v>471</v>
      </c>
      <c r="E208" s="13" t="s">
        <v>22</v>
      </c>
      <c r="F208" s="13" t="s">
        <v>23</v>
      </c>
      <c r="G208" s="22">
        <v>27701.0</v>
      </c>
      <c r="H208" s="22">
        <v>32000.0</v>
      </c>
      <c r="I208" s="22">
        <v>4299.0</v>
      </c>
      <c r="J208" s="46">
        <v>0.15519295332298472</v>
      </c>
    </row>
    <row r="209" ht="26.25" customHeight="1">
      <c r="A209" s="47" t="s">
        <v>504</v>
      </c>
      <c r="B209" s="48" t="s">
        <v>17</v>
      </c>
      <c r="C209" s="50" t="s">
        <v>505</v>
      </c>
      <c r="D209" s="48" t="s">
        <v>471</v>
      </c>
      <c r="E209" s="48" t="s">
        <v>22</v>
      </c>
      <c r="F209" s="48" t="s">
        <v>23</v>
      </c>
      <c r="G209" s="53">
        <v>33000.0</v>
      </c>
      <c r="H209" s="53">
        <v>36000.0</v>
      </c>
      <c r="I209" s="53">
        <v>3000.0</v>
      </c>
      <c r="J209" s="54">
        <v>0.09090909090909091</v>
      </c>
    </row>
    <row r="210" ht="26.25" customHeight="1">
      <c r="A210" s="11" t="s">
        <v>507</v>
      </c>
      <c r="B210" s="13" t="s">
        <v>17</v>
      </c>
      <c r="C210" s="16" t="s">
        <v>509</v>
      </c>
      <c r="D210" s="13" t="s">
        <v>471</v>
      </c>
      <c r="E210" s="13" t="s">
        <v>22</v>
      </c>
      <c r="F210" s="13" t="s">
        <v>23</v>
      </c>
      <c r="G210" s="22">
        <v>37300.0</v>
      </c>
      <c r="H210" s="22">
        <v>40000.0</v>
      </c>
      <c r="I210" s="22">
        <v>2700.0</v>
      </c>
      <c r="J210" s="46">
        <v>0.07238605898123325</v>
      </c>
    </row>
    <row r="211" ht="26.25" customHeight="1">
      <c r="A211" s="47" t="s">
        <v>511</v>
      </c>
      <c r="B211" s="48" t="s">
        <v>17</v>
      </c>
      <c r="C211" s="50" t="s">
        <v>512</v>
      </c>
      <c r="D211" s="48" t="s">
        <v>471</v>
      </c>
      <c r="E211" s="48" t="s">
        <v>22</v>
      </c>
      <c r="F211" s="48" t="s">
        <v>23</v>
      </c>
      <c r="G211" s="53">
        <v>62939.0</v>
      </c>
      <c r="H211" s="53">
        <v>66000.0</v>
      </c>
      <c r="I211" s="53">
        <v>3061.0</v>
      </c>
      <c r="J211" s="54">
        <v>0.04863439203037862</v>
      </c>
    </row>
    <row r="212" ht="26.25" customHeight="1">
      <c r="A212" s="11" t="s">
        <v>513</v>
      </c>
      <c r="B212" s="13" t="s">
        <v>17</v>
      </c>
      <c r="C212" s="16" t="s">
        <v>514</v>
      </c>
      <c r="D212" s="13" t="s">
        <v>471</v>
      </c>
      <c r="E212" s="13" t="s">
        <v>22</v>
      </c>
      <c r="F212" s="13" t="s">
        <v>23</v>
      </c>
      <c r="G212" s="22">
        <v>97242.0</v>
      </c>
      <c r="H212" s="22">
        <v>103000.0</v>
      </c>
      <c r="I212" s="22">
        <v>5758.0</v>
      </c>
      <c r="J212" s="46">
        <v>0.05921309722136525</v>
      </c>
    </row>
    <row r="213" ht="26.25" customHeight="1">
      <c r="A213" s="47" t="s">
        <v>515</v>
      </c>
      <c r="B213" s="48" t="s">
        <v>17</v>
      </c>
      <c r="C213" s="50" t="s">
        <v>516</v>
      </c>
      <c r="D213" s="48" t="s">
        <v>471</v>
      </c>
      <c r="E213" s="52" t="s">
        <v>22</v>
      </c>
      <c r="F213" s="48" t="s">
        <v>23</v>
      </c>
      <c r="G213" s="53">
        <v>97265.0</v>
      </c>
      <c r="H213" s="53">
        <v>102000.0</v>
      </c>
      <c r="I213" s="53">
        <v>4735.0</v>
      </c>
      <c r="J213" s="54">
        <v>0.04868143731044055</v>
      </c>
    </row>
    <row r="214" ht="26.25" customHeight="1">
      <c r="A214" s="11" t="s">
        <v>517</v>
      </c>
      <c r="B214" s="13" t="s">
        <v>17</v>
      </c>
      <c r="C214" s="16" t="s">
        <v>518</v>
      </c>
      <c r="D214" s="13" t="s">
        <v>471</v>
      </c>
      <c r="E214" s="13" t="s">
        <v>22</v>
      </c>
      <c r="F214" s="13" t="s">
        <v>23</v>
      </c>
      <c r="G214" s="22">
        <v>0.0</v>
      </c>
      <c r="H214" s="22">
        <v>0.0</v>
      </c>
      <c r="I214" s="22">
        <v>0.0</v>
      </c>
      <c r="J214" s="46">
        <v>0.0</v>
      </c>
    </row>
    <row r="215" ht="26.25" customHeight="1">
      <c r="A215" s="47" t="s">
        <v>519</v>
      </c>
      <c r="B215" s="48" t="s">
        <v>17</v>
      </c>
      <c r="C215" s="50" t="s">
        <v>523</v>
      </c>
      <c r="D215" s="48" t="s">
        <v>471</v>
      </c>
      <c r="E215" s="48" t="s">
        <v>22</v>
      </c>
      <c r="F215" s="48" t="s">
        <v>23</v>
      </c>
      <c r="G215" s="53">
        <v>14165.0</v>
      </c>
      <c r="H215" s="53">
        <v>17000.0</v>
      </c>
      <c r="I215" s="53">
        <v>2835.0</v>
      </c>
      <c r="J215" s="54">
        <v>0.200141193081539</v>
      </c>
    </row>
    <row r="216" ht="26.25" customHeight="1">
      <c r="A216" s="11" t="s">
        <v>524</v>
      </c>
      <c r="B216" s="13" t="s">
        <v>17</v>
      </c>
      <c r="C216" s="16" t="s">
        <v>526</v>
      </c>
      <c r="D216" s="13" t="s">
        <v>471</v>
      </c>
      <c r="E216" s="13" t="s">
        <v>22</v>
      </c>
      <c r="F216" s="13" t="s">
        <v>23</v>
      </c>
      <c r="G216" s="22">
        <v>16640.0</v>
      </c>
      <c r="H216" s="22">
        <v>19000.0</v>
      </c>
      <c r="I216" s="22">
        <v>2360.0</v>
      </c>
      <c r="J216" s="46">
        <v>0.14182692307692307</v>
      </c>
    </row>
    <row r="217" ht="26.25" customHeight="1">
      <c r="A217" s="47" t="s">
        <v>528</v>
      </c>
      <c r="B217" s="48" t="s">
        <v>17</v>
      </c>
      <c r="C217" s="50" t="s">
        <v>529</v>
      </c>
      <c r="D217" s="48" t="s">
        <v>471</v>
      </c>
      <c r="E217" s="52" t="s">
        <v>22</v>
      </c>
      <c r="F217" s="48" t="s">
        <v>23</v>
      </c>
      <c r="G217" s="53">
        <v>23132.0</v>
      </c>
      <c r="H217" s="53">
        <v>26000.0</v>
      </c>
      <c r="I217" s="53">
        <v>2868.0</v>
      </c>
      <c r="J217" s="54">
        <v>0.12398409130209234</v>
      </c>
    </row>
    <row r="218" ht="26.25" customHeight="1">
      <c r="A218" s="11" t="s">
        <v>530</v>
      </c>
      <c r="B218" s="13" t="s">
        <v>17</v>
      </c>
      <c r="C218" s="16" t="s">
        <v>531</v>
      </c>
      <c r="D218" s="13" t="s">
        <v>471</v>
      </c>
      <c r="E218" s="13" t="s">
        <v>22</v>
      </c>
      <c r="F218" s="13" t="s">
        <v>23</v>
      </c>
      <c r="G218" s="22">
        <v>29075.0</v>
      </c>
      <c r="H218" s="22">
        <v>32000.0</v>
      </c>
      <c r="I218" s="22">
        <v>2925.0</v>
      </c>
      <c r="J218" s="46">
        <v>0.10060189165950129</v>
      </c>
    </row>
    <row r="219" ht="26.25" customHeight="1">
      <c r="A219" s="47" t="s">
        <v>532</v>
      </c>
      <c r="B219" s="48" t="s">
        <v>17</v>
      </c>
      <c r="C219" s="50" t="s">
        <v>533</v>
      </c>
      <c r="D219" s="48" t="s">
        <v>471</v>
      </c>
      <c r="E219" s="48" t="s">
        <v>22</v>
      </c>
      <c r="F219" s="48" t="s">
        <v>23</v>
      </c>
      <c r="G219" s="53">
        <v>31525.0</v>
      </c>
      <c r="H219" s="53">
        <v>34000.0</v>
      </c>
      <c r="I219" s="53">
        <v>2475.0</v>
      </c>
      <c r="J219" s="54">
        <v>0.07850911974623315</v>
      </c>
    </row>
    <row r="220" ht="26.25" customHeight="1">
      <c r="A220" s="11" t="s">
        <v>534</v>
      </c>
      <c r="B220" s="13" t="s">
        <v>17</v>
      </c>
      <c r="C220" s="16" t="s">
        <v>535</v>
      </c>
      <c r="D220" s="13" t="s">
        <v>471</v>
      </c>
      <c r="E220" s="13" t="s">
        <v>22</v>
      </c>
      <c r="F220" s="13" t="s">
        <v>23</v>
      </c>
      <c r="G220" s="22">
        <v>63118.0</v>
      </c>
      <c r="H220" s="22">
        <v>68000.0</v>
      </c>
      <c r="I220" s="22">
        <v>4882.0</v>
      </c>
      <c r="J220" s="46">
        <v>0.07734719097563295</v>
      </c>
    </row>
    <row r="221" ht="26.25" customHeight="1">
      <c r="A221" s="47" t="s">
        <v>536</v>
      </c>
      <c r="B221" s="48" t="s">
        <v>17</v>
      </c>
      <c r="C221" s="50" t="s">
        <v>537</v>
      </c>
      <c r="D221" s="48" t="s">
        <v>471</v>
      </c>
      <c r="E221" s="48" t="s">
        <v>22</v>
      </c>
      <c r="F221" s="48" t="s">
        <v>23</v>
      </c>
      <c r="G221" s="53">
        <v>88865.0</v>
      </c>
      <c r="H221" s="53">
        <v>93000.0</v>
      </c>
      <c r="I221" s="53">
        <v>4135.0</v>
      </c>
      <c r="J221" s="54">
        <v>0.04653125527485512</v>
      </c>
    </row>
    <row r="222" ht="26.25" customHeight="1">
      <c r="A222" s="11" t="s">
        <v>538</v>
      </c>
      <c r="B222" s="13" t="s">
        <v>17</v>
      </c>
      <c r="C222" s="16" t="s">
        <v>539</v>
      </c>
      <c r="D222" s="13" t="s">
        <v>471</v>
      </c>
      <c r="E222" s="13" t="s">
        <v>22</v>
      </c>
      <c r="F222" s="13" t="s">
        <v>23</v>
      </c>
      <c r="G222" s="22">
        <v>117500.0</v>
      </c>
      <c r="H222" s="22">
        <v>123000.0</v>
      </c>
      <c r="I222" s="22">
        <v>5500.0</v>
      </c>
      <c r="J222" s="46">
        <v>0.04680851063829787</v>
      </c>
    </row>
    <row r="223" ht="26.25" customHeight="1">
      <c r="A223" s="47" t="s">
        <v>543</v>
      </c>
      <c r="B223" s="48" t="s">
        <v>17</v>
      </c>
      <c r="C223" s="50" t="s">
        <v>544</v>
      </c>
      <c r="D223" s="48" t="s">
        <v>471</v>
      </c>
      <c r="E223" s="52" t="s">
        <v>22</v>
      </c>
      <c r="F223" s="48" t="s">
        <v>23</v>
      </c>
      <c r="G223" s="53">
        <v>38696.0</v>
      </c>
      <c r="H223" s="53">
        <v>42000.0</v>
      </c>
      <c r="I223" s="53">
        <v>3304.0</v>
      </c>
      <c r="J223" s="54">
        <v>0.085383502170767</v>
      </c>
    </row>
    <row r="224" ht="26.25" customHeight="1">
      <c r="A224" s="11" t="s">
        <v>545</v>
      </c>
      <c r="B224" s="13" t="s">
        <v>17</v>
      </c>
      <c r="C224" s="16" t="s">
        <v>546</v>
      </c>
      <c r="D224" s="13" t="s">
        <v>471</v>
      </c>
      <c r="E224" s="13" t="s">
        <v>22</v>
      </c>
      <c r="F224" s="13" t="s">
        <v>23</v>
      </c>
      <c r="G224" s="22">
        <v>58523.0</v>
      </c>
      <c r="H224" s="22">
        <v>62000.0</v>
      </c>
      <c r="I224" s="22">
        <v>3477.0</v>
      </c>
      <c r="J224" s="46">
        <v>0.05941253866001401</v>
      </c>
    </row>
    <row r="225" ht="26.25" customHeight="1">
      <c r="A225" s="47" t="s">
        <v>547</v>
      </c>
      <c r="B225" s="48" t="s">
        <v>17</v>
      </c>
      <c r="C225" s="50" t="s">
        <v>548</v>
      </c>
      <c r="D225" s="48" t="s">
        <v>471</v>
      </c>
      <c r="E225" s="52" t="s">
        <v>22</v>
      </c>
      <c r="F225" s="48" t="s">
        <v>23</v>
      </c>
      <c r="G225" s="53">
        <v>72595.0</v>
      </c>
      <c r="H225" s="53">
        <v>77000.0</v>
      </c>
      <c r="I225" s="53">
        <v>4405.0</v>
      </c>
      <c r="J225" s="54">
        <v>0.06067911013155176</v>
      </c>
    </row>
    <row r="226" ht="26.25" customHeight="1">
      <c r="A226" s="11" t="s">
        <v>549</v>
      </c>
      <c r="B226" s="13" t="s">
        <v>17</v>
      </c>
      <c r="C226" s="16" t="s">
        <v>550</v>
      </c>
      <c r="D226" s="13" t="s">
        <v>471</v>
      </c>
      <c r="E226" s="13" t="s">
        <v>22</v>
      </c>
      <c r="F226" s="13" t="s">
        <v>23</v>
      </c>
      <c r="G226" s="22">
        <v>76447.0</v>
      </c>
      <c r="H226" s="22">
        <v>80000.0</v>
      </c>
      <c r="I226" s="22">
        <v>3553.0</v>
      </c>
      <c r="J226" s="46">
        <v>0.04647664394940285</v>
      </c>
    </row>
    <row r="227" ht="26.25" customHeight="1">
      <c r="A227" s="47" t="s">
        <v>551</v>
      </c>
      <c r="B227" s="48" t="s">
        <v>17</v>
      </c>
      <c r="C227" s="50" t="s">
        <v>552</v>
      </c>
      <c r="D227" s="48" t="s">
        <v>471</v>
      </c>
      <c r="E227" s="48" t="s">
        <v>22</v>
      </c>
      <c r="F227" s="48" t="s">
        <v>23</v>
      </c>
      <c r="G227" s="53">
        <v>11695.0</v>
      </c>
      <c r="H227" s="53">
        <v>14000.0</v>
      </c>
      <c r="I227" s="53">
        <v>2305.0</v>
      </c>
      <c r="J227" s="54">
        <v>0.19709277469003847</v>
      </c>
    </row>
    <row r="228" ht="26.25" customHeight="1">
      <c r="A228" s="11" t="s">
        <v>553</v>
      </c>
      <c r="B228" s="13" t="s">
        <v>17</v>
      </c>
      <c r="C228" s="16" t="s">
        <v>554</v>
      </c>
      <c r="D228" s="13" t="s">
        <v>471</v>
      </c>
      <c r="E228" s="13" t="s">
        <v>22</v>
      </c>
      <c r="F228" s="13" t="s">
        <v>23</v>
      </c>
      <c r="G228" s="22">
        <v>12395.0</v>
      </c>
      <c r="H228" s="22">
        <v>16000.0</v>
      </c>
      <c r="I228" s="22">
        <v>3605.0</v>
      </c>
      <c r="J228" s="46">
        <v>0.290843081887858</v>
      </c>
    </row>
    <row r="229" ht="26.25" customHeight="1">
      <c r="A229" s="47" t="s">
        <v>556</v>
      </c>
      <c r="B229" s="48" t="s">
        <v>17</v>
      </c>
      <c r="C229" s="50" t="s">
        <v>557</v>
      </c>
      <c r="D229" s="48" t="s">
        <v>471</v>
      </c>
      <c r="E229" s="48" t="s">
        <v>22</v>
      </c>
      <c r="F229" s="48" t="s">
        <v>23</v>
      </c>
      <c r="G229" s="53">
        <v>19549.0</v>
      </c>
      <c r="H229" s="53">
        <v>23000.0</v>
      </c>
      <c r="I229" s="53">
        <v>3451.0</v>
      </c>
      <c r="J229" s="54">
        <v>0.17653076883728067</v>
      </c>
    </row>
    <row r="230" ht="26.25" customHeight="1">
      <c r="A230" s="11" t="s">
        <v>559</v>
      </c>
      <c r="B230" s="13" t="s">
        <v>17</v>
      </c>
      <c r="C230" s="16" t="s">
        <v>560</v>
      </c>
      <c r="D230" s="13" t="s">
        <v>471</v>
      </c>
      <c r="E230" s="13" t="s">
        <v>22</v>
      </c>
      <c r="F230" s="13" t="s">
        <v>23</v>
      </c>
      <c r="G230" s="22">
        <v>18665.0</v>
      </c>
      <c r="H230" s="22">
        <v>21000.0</v>
      </c>
      <c r="I230" s="22">
        <v>2335.0</v>
      </c>
      <c r="J230" s="46">
        <v>0.12510045539780337</v>
      </c>
    </row>
    <row r="231" ht="26.25" customHeight="1">
      <c r="A231" s="47" t="s">
        <v>561</v>
      </c>
      <c r="B231" s="48" t="s">
        <v>17</v>
      </c>
      <c r="C231" s="50" t="s">
        <v>562</v>
      </c>
      <c r="D231" s="48" t="s">
        <v>471</v>
      </c>
      <c r="E231" s="48" t="s">
        <v>22</v>
      </c>
      <c r="F231" s="48" t="s">
        <v>23</v>
      </c>
      <c r="G231" s="53">
        <v>38175.0</v>
      </c>
      <c r="H231" s="53">
        <v>42000.0</v>
      </c>
      <c r="I231" s="53">
        <v>3825.0</v>
      </c>
      <c r="J231" s="54">
        <v>0.10019646365422397</v>
      </c>
    </row>
    <row r="232" ht="26.25" customHeight="1">
      <c r="A232" s="11" t="s">
        <v>563</v>
      </c>
      <c r="B232" s="13" t="s">
        <v>17</v>
      </c>
      <c r="C232" s="16" t="s">
        <v>564</v>
      </c>
      <c r="D232" s="13" t="s">
        <v>471</v>
      </c>
      <c r="E232" s="19" t="s">
        <v>22</v>
      </c>
      <c r="F232" s="13" t="s">
        <v>23</v>
      </c>
      <c r="G232" s="22">
        <v>18975.0</v>
      </c>
      <c r="H232" s="22">
        <v>22000.0</v>
      </c>
      <c r="I232" s="22">
        <v>3025.0</v>
      </c>
      <c r="J232" s="46">
        <v>0.15942028985507245</v>
      </c>
    </row>
    <row r="233" ht="26.25" customHeight="1">
      <c r="A233" s="47" t="s">
        <v>565</v>
      </c>
      <c r="B233" s="48" t="s">
        <v>17</v>
      </c>
      <c r="C233" s="50" t="s">
        <v>566</v>
      </c>
      <c r="D233" s="48" t="s">
        <v>471</v>
      </c>
      <c r="E233" s="48" t="s">
        <v>22</v>
      </c>
      <c r="F233" s="48" t="s">
        <v>23</v>
      </c>
      <c r="G233" s="53">
        <v>19070.0</v>
      </c>
      <c r="H233" s="53">
        <v>23000.0</v>
      </c>
      <c r="I233" s="53">
        <v>3930.0</v>
      </c>
      <c r="J233" s="54">
        <v>0.20608285264813844</v>
      </c>
    </row>
    <row r="234" ht="26.25" customHeight="1">
      <c r="A234" s="11" t="s">
        <v>567</v>
      </c>
      <c r="B234" s="13" t="s">
        <v>17</v>
      </c>
      <c r="C234" s="16" t="s">
        <v>568</v>
      </c>
      <c r="D234" s="13" t="s">
        <v>471</v>
      </c>
      <c r="E234" s="19" t="s">
        <v>22</v>
      </c>
      <c r="F234" s="13" t="s">
        <v>23</v>
      </c>
      <c r="G234" s="22">
        <v>27400.0</v>
      </c>
      <c r="H234" s="22">
        <v>30000.0</v>
      </c>
      <c r="I234" s="22">
        <v>2600.0</v>
      </c>
      <c r="J234" s="46">
        <v>0.0948905109489051</v>
      </c>
    </row>
    <row r="235" ht="26.25" customHeight="1">
      <c r="A235" s="47" t="s">
        <v>569</v>
      </c>
      <c r="B235" s="48" t="s">
        <v>17</v>
      </c>
      <c r="C235" s="50" t="s">
        <v>570</v>
      </c>
      <c r="D235" s="48" t="s">
        <v>471</v>
      </c>
      <c r="E235" s="48" t="s">
        <v>22</v>
      </c>
      <c r="F235" s="48" t="s">
        <v>23</v>
      </c>
      <c r="G235" s="53">
        <v>28175.0</v>
      </c>
      <c r="H235" s="53">
        <v>32000.0</v>
      </c>
      <c r="I235" s="53">
        <v>3825.0</v>
      </c>
      <c r="J235" s="54">
        <v>0.13575865128660158</v>
      </c>
    </row>
    <row r="236" ht="26.25" customHeight="1">
      <c r="A236" s="11" t="s">
        <v>571</v>
      </c>
      <c r="B236" s="13" t="s">
        <v>17</v>
      </c>
      <c r="C236" s="16" t="s">
        <v>572</v>
      </c>
      <c r="D236" s="13" t="s">
        <v>471</v>
      </c>
      <c r="E236" s="13" t="s">
        <v>22</v>
      </c>
      <c r="F236" s="13" t="s">
        <v>23</v>
      </c>
      <c r="G236" s="22">
        <v>31760.0</v>
      </c>
      <c r="H236" s="22">
        <v>35000.0</v>
      </c>
      <c r="I236" s="22">
        <v>3240.0</v>
      </c>
      <c r="J236" s="46">
        <v>0.10201511335012595</v>
      </c>
    </row>
    <row r="237" ht="26.25" customHeight="1">
      <c r="A237" s="47" t="s">
        <v>573</v>
      </c>
      <c r="B237" s="48" t="s">
        <v>17</v>
      </c>
      <c r="C237" s="50" t="s">
        <v>574</v>
      </c>
      <c r="D237" s="48" t="s">
        <v>575</v>
      </c>
      <c r="E237" s="48" t="s">
        <v>22</v>
      </c>
      <c r="F237" s="48" t="s">
        <v>23</v>
      </c>
      <c r="G237" s="53">
        <v>5777.0</v>
      </c>
      <c r="H237" s="53">
        <v>8000.0</v>
      </c>
      <c r="I237" s="53">
        <v>2223.0</v>
      </c>
      <c r="J237" s="54">
        <v>0.38480180024234034</v>
      </c>
    </row>
    <row r="238" ht="26.25" customHeight="1">
      <c r="A238" s="11" t="s">
        <v>578</v>
      </c>
      <c r="B238" s="13" t="s">
        <v>17</v>
      </c>
      <c r="C238" s="16" t="s">
        <v>579</v>
      </c>
      <c r="D238" s="13" t="s">
        <v>575</v>
      </c>
      <c r="E238" s="13" t="s">
        <v>22</v>
      </c>
      <c r="F238" s="13" t="s">
        <v>23</v>
      </c>
      <c r="G238" s="22">
        <v>11615.0</v>
      </c>
      <c r="H238" s="22">
        <v>14000.0</v>
      </c>
      <c r="I238" s="22">
        <v>2385.0</v>
      </c>
      <c r="J238" s="46">
        <v>0.2053379250968575</v>
      </c>
    </row>
    <row r="239" ht="26.25" customHeight="1">
      <c r="A239" s="47" t="s">
        <v>580</v>
      </c>
      <c r="B239" s="48" t="s">
        <v>17</v>
      </c>
      <c r="C239" s="50" t="s">
        <v>581</v>
      </c>
      <c r="D239" s="48" t="s">
        <v>575</v>
      </c>
      <c r="E239" s="48" t="s">
        <v>22</v>
      </c>
      <c r="F239" s="48" t="s">
        <v>23</v>
      </c>
      <c r="G239" s="53">
        <v>22176.0</v>
      </c>
      <c r="H239" s="53">
        <v>25000.0</v>
      </c>
      <c r="I239" s="53">
        <v>2824.0</v>
      </c>
      <c r="J239" s="54">
        <v>0.12734487734487734</v>
      </c>
    </row>
    <row r="240" ht="26.25" customHeight="1">
      <c r="A240" s="11" t="s">
        <v>582</v>
      </c>
      <c r="B240" s="13" t="s">
        <v>17</v>
      </c>
      <c r="C240" s="16" t="s">
        <v>583</v>
      </c>
      <c r="D240" s="13" t="s">
        <v>575</v>
      </c>
      <c r="E240" s="13" t="s">
        <v>22</v>
      </c>
      <c r="F240" s="13" t="s">
        <v>23</v>
      </c>
      <c r="G240" s="22">
        <v>22873.0</v>
      </c>
      <c r="H240" s="22">
        <v>26000.0</v>
      </c>
      <c r="I240" s="22">
        <v>3127.0</v>
      </c>
      <c r="J240" s="46">
        <v>0.13671140646176716</v>
      </c>
    </row>
    <row r="241" ht="26.25" customHeight="1">
      <c r="A241" s="47" t="s">
        <v>584</v>
      </c>
      <c r="B241" s="48" t="s">
        <v>17</v>
      </c>
      <c r="C241" s="50" t="s">
        <v>585</v>
      </c>
      <c r="D241" s="48" t="s">
        <v>575</v>
      </c>
      <c r="E241" s="52" t="s">
        <v>22</v>
      </c>
      <c r="F241" s="48" t="s">
        <v>23</v>
      </c>
      <c r="G241" s="53">
        <v>28599.0</v>
      </c>
      <c r="H241" s="53">
        <v>32000.0</v>
      </c>
      <c r="I241" s="53">
        <v>3401.0</v>
      </c>
      <c r="J241" s="54">
        <v>0.11892024196650232</v>
      </c>
    </row>
    <row r="242" ht="26.25" customHeight="1">
      <c r="A242" s="11" t="s">
        <v>586</v>
      </c>
      <c r="B242" s="13" t="s">
        <v>17</v>
      </c>
      <c r="C242" s="16" t="s">
        <v>587</v>
      </c>
      <c r="D242" s="13" t="s">
        <v>575</v>
      </c>
      <c r="E242" s="13" t="s">
        <v>22</v>
      </c>
      <c r="F242" s="13" t="s">
        <v>23</v>
      </c>
      <c r="G242" s="22">
        <v>34500.0</v>
      </c>
      <c r="H242" s="22">
        <v>37000.0</v>
      </c>
      <c r="I242" s="22">
        <v>2500.0</v>
      </c>
      <c r="J242" s="46">
        <v>0.07246376811594203</v>
      </c>
    </row>
    <row r="243" ht="26.25" customHeight="1">
      <c r="A243" s="47" t="s">
        <v>588</v>
      </c>
      <c r="B243" s="48" t="s">
        <v>17</v>
      </c>
      <c r="C243" s="50" t="s">
        <v>589</v>
      </c>
      <c r="D243" s="48" t="s">
        <v>575</v>
      </c>
      <c r="E243" s="52" t="s">
        <v>22</v>
      </c>
      <c r="F243" s="48" t="s">
        <v>23</v>
      </c>
      <c r="G243" s="53">
        <v>35170.0</v>
      </c>
      <c r="H243" s="53">
        <v>39000.0</v>
      </c>
      <c r="I243" s="53">
        <v>3830.0</v>
      </c>
      <c r="J243" s="54">
        <v>0.10889963036678987</v>
      </c>
    </row>
    <row r="244" ht="26.25" customHeight="1">
      <c r="A244" s="11" t="s">
        <v>590</v>
      </c>
      <c r="B244" s="13" t="s">
        <v>17</v>
      </c>
      <c r="C244" s="16" t="s">
        <v>591</v>
      </c>
      <c r="D244" s="13" t="s">
        <v>575</v>
      </c>
      <c r="E244" s="13" t="s">
        <v>22</v>
      </c>
      <c r="F244" s="13" t="s">
        <v>23</v>
      </c>
      <c r="G244" s="22">
        <v>38923.0</v>
      </c>
      <c r="H244" s="22">
        <v>42000.0</v>
      </c>
      <c r="I244" s="22">
        <v>3077.0</v>
      </c>
      <c r="J244" s="46">
        <v>0.07905351591603936</v>
      </c>
    </row>
    <row r="245" ht="26.25" customHeight="1">
      <c r="A245" s="47" t="s">
        <v>592</v>
      </c>
      <c r="B245" s="48" t="s">
        <v>17</v>
      </c>
      <c r="C245" s="50" t="s">
        <v>593</v>
      </c>
      <c r="D245" s="48" t="s">
        <v>575</v>
      </c>
      <c r="E245" s="52" t="s">
        <v>22</v>
      </c>
      <c r="F245" s="48" t="s">
        <v>23</v>
      </c>
      <c r="G245" s="53">
        <v>46190.0</v>
      </c>
      <c r="H245" s="53">
        <v>49000.0</v>
      </c>
      <c r="I245" s="53">
        <v>2810.0</v>
      </c>
      <c r="J245" s="54">
        <v>0.060835678718337304</v>
      </c>
    </row>
    <row r="246" ht="26.25" customHeight="1">
      <c r="A246" s="11" t="s">
        <v>595</v>
      </c>
      <c r="B246" s="13" t="s">
        <v>17</v>
      </c>
      <c r="C246" s="16" t="s">
        <v>597</v>
      </c>
      <c r="D246" s="13" t="s">
        <v>575</v>
      </c>
      <c r="E246" s="13" t="s">
        <v>22</v>
      </c>
      <c r="F246" s="13" t="s">
        <v>23</v>
      </c>
      <c r="G246" s="22">
        <v>47995.0</v>
      </c>
      <c r="H246" s="22">
        <v>52000.0</v>
      </c>
      <c r="I246" s="22">
        <v>4005.0</v>
      </c>
      <c r="J246" s="46">
        <v>0.08344619231169914</v>
      </c>
    </row>
    <row r="247" ht="26.25" customHeight="1">
      <c r="A247" s="47" t="s">
        <v>598</v>
      </c>
      <c r="B247" s="48" t="s">
        <v>17</v>
      </c>
      <c r="C247" s="50" t="s">
        <v>599</v>
      </c>
      <c r="D247" s="48" t="s">
        <v>575</v>
      </c>
      <c r="E247" s="48" t="s">
        <v>22</v>
      </c>
      <c r="F247" s="48" t="s">
        <v>23</v>
      </c>
      <c r="G247" s="53">
        <v>48600.0</v>
      </c>
      <c r="H247" s="53">
        <v>53000.0</v>
      </c>
      <c r="I247" s="53">
        <v>4400.0</v>
      </c>
      <c r="J247" s="54">
        <v>0.09053497942386832</v>
      </c>
    </row>
    <row r="248" ht="26.25" customHeight="1">
      <c r="A248" s="11" t="s">
        <v>600</v>
      </c>
      <c r="B248" s="13" t="s">
        <v>17</v>
      </c>
      <c r="C248" s="16" t="s">
        <v>601</v>
      </c>
      <c r="D248" s="13" t="s">
        <v>575</v>
      </c>
      <c r="E248" s="13" t="s">
        <v>22</v>
      </c>
      <c r="F248" s="13" t="s">
        <v>23</v>
      </c>
      <c r="G248" s="22">
        <v>11615.0</v>
      </c>
      <c r="H248" s="22">
        <v>14000.0</v>
      </c>
      <c r="I248" s="22">
        <v>2385.0</v>
      </c>
      <c r="J248" s="46">
        <v>0.2053379250968575</v>
      </c>
    </row>
    <row r="249" ht="26.25" customHeight="1">
      <c r="A249" s="47" t="s">
        <v>602</v>
      </c>
      <c r="B249" s="48" t="s">
        <v>17</v>
      </c>
      <c r="C249" s="50" t="s">
        <v>603</v>
      </c>
      <c r="D249" s="48" t="s">
        <v>575</v>
      </c>
      <c r="E249" s="52" t="s">
        <v>22</v>
      </c>
      <c r="F249" s="48" t="s">
        <v>23</v>
      </c>
      <c r="G249" s="53">
        <v>22176.0</v>
      </c>
      <c r="H249" s="53">
        <v>25000.0</v>
      </c>
      <c r="I249" s="53">
        <v>2824.0</v>
      </c>
      <c r="J249" s="54">
        <v>0.12734487734487734</v>
      </c>
    </row>
    <row r="250" ht="26.25" customHeight="1">
      <c r="A250" s="11" t="s">
        <v>604</v>
      </c>
      <c r="B250" s="13" t="s">
        <v>17</v>
      </c>
      <c r="C250" s="16" t="s">
        <v>605</v>
      </c>
      <c r="D250" s="13" t="s">
        <v>575</v>
      </c>
      <c r="E250" s="19" t="s">
        <v>22</v>
      </c>
      <c r="F250" s="13" t="s">
        <v>23</v>
      </c>
      <c r="G250" s="22">
        <v>28599.0</v>
      </c>
      <c r="H250" s="22">
        <v>32000.0</v>
      </c>
      <c r="I250" s="22">
        <v>3401.0</v>
      </c>
      <c r="J250" s="46">
        <v>0.11892024196650232</v>
      </c>
    </row>
    <row r="251" ht="26.25" customHeight="1">
      <c r="A251" s="47" t="s">
        <v>606</v>
      </c>
      <c r="B251" s="48" t="s">
        <v>17</v>
      </c>
      <c r="C251" s="50" t="s">
        <v>607</v>
      </c>
      <c r="D251" s="48" t="s">
        <v>575</v>
      </c>
      <c r="E251" s="48" t="s">
        <v>22</v>
      </c>
      <c r="F251" s="48" t="s">
        <v>23</v>
      </c>
      <c r="G251" s="53">
        <v>34500.0</v>
      </c>
      <c r="H251" s="53">
        <v>37000.0</v>
      </c>
      <c r="I251" s="53">
        <v>2500.0</v>
      </c>
      <c r="J251" s="54">
        <v>0.07246376811594203</v>
      </c>
    </row>
    <row r="252" ht="26.25" customHeight="1">
      <c r="A252" s="11" t="s">
        <v>608</v>
      </c>
      <c r="B252" s="13" t="s">
        <v>17</v>
      </c>
      <c r="C252" s="16" t="s">
        <v>609</v>
      </c>
      <c r="D252" s="13" t="s">
        <v>575</v>
      </c>
      <c r="E252" s="13" t="s">
        <v>22</v>
      </c>
      <c r="F252" s="13" t="s">
        <v>23</v>
      </c>
      <c r="G252" s="22">
        <v>38923.0</v>
      </c>
      <c r="H252" s="22">
        <v>42000.0</v>
      </c>
      <c r="I252" s="22">
        <v>3077.0</v>
      </c>
      <c r="J252" s="46">
        <v>0.07905351591603936</v>
      </c>
    </row>
    <row r="253" ht="26.25" customHeight="1">
      <c r="A253" s="47" t="s">
        <v>611</v>
      </c>
      <c r="B253" s="48" t="s">
        <v>17</v>
      </c>
      <c r="C253" s="50" t="s">
        <v>613</v>
      </c>
      <c r="D253" s="48" t="s">
        <v>575</v>
      </c>
      <c r="E253" s="48" t="s">
        <v>22</v>
      </c>
      <c r="F253" s="48" t="s">
        <v>23</v>
      </c>
      <c r="G253" s="53">
        <v>46190.0</v>
      </c>
      <c r="H253" s="53">
        <v>49000.0</v>
      </c>
      <c r="I253" s="53">
        <v>2810.0</v>
      </c>
      <c r="J253" s="54">
        <v>0.060835678718337304</v>
      </c>
    </row>
    <row r="254" ht="26.25" customHeight="1">
      <c r="A254" s="11" t="s">
        <v>614</v>
      </c>
      <c r="B254" s="13" t="s">
        <v>17</v>
      </c>
      <c r="C254" s="16" t="s">
        <v>615</v>
      </c>
      <c r="D254" s="13" t="s">
        <v>575</v>
      </c>
      <c r="E254" s="13" t="s">
        <v>22</v>
      </c>
      <c r="F254" s="13" t="s">
        <v>23</v>
      </c>
      <c r="G254" s="22">
        <v>77650.0</v>
      </c>
      <c r="H254" s="22">
        <v>83000.0</v>
      </c>
      <c r="I254" s="22">
        <v>5350.0</v>
      </c>
      <c r="J254" s="46">
        <v>0.06889890534449453</v>
      </c>
    </row>
    <row r="255" ht="26.25" customHeight="1">
      <c r="A255" s="47" t="s">
        <v>616</v>
      </c>
      <c r="B255" s="48" t="s">
        <v>17</v>
      </c>
      <c r="C255" s="50" t="s">
        <v>617</v>
      </c>
      <c r="D255" s="48" t="s">
        <v>575</v>
      </c>
      <c r="E255" s="52" t="s">
        <v>22</v>
      </c>
      <c r="F255" s="48" t="s">
        <v>23</v>
      </c>
      <c r="G255" s="53">
        <v>34500.0</v>
      </c>
      <c r="H255" s="53">
        <v>37000.0</v>
      </c>
      <c r="I255" s="53">
        <v>2500.0</v>
      </c>
      <c r="J255" s="54">
        <v>0.07246376811594203</v>
      </c>
    </row>
    <row r="256" ht="26.25" customHeight="1">
      <c r="A256" s="11" t="s">
        <v>618</v>
      </c>
      <c r="B256" s="13" t="s">
        <v>17</v>
      </c>
      <c r="C256" s="16" t="s">
        <v>619</v>
      </c>
      <c r="D256" s="13" t="s">
        <v>575</v>
      </c>
      <c r="E256" s="19" t="s">
        <v>22</v>
      </c>
      <c r="F256" s="13" t="s">
        <v>23</v>
      </c>
      <c r="G256" s="22">
        <v>99425.0</v>
      </c>
      <c r="H256" s="22">
        <v>105000.0</v>
      </c>
      <c r="I256" s="22">
        <v>5575.0</v>
      </c>
      <c r="J256" s="46">
        <v>0.056072416394267036</v>
      </c>
    </row>
    <row r="257" ht="26.25" customHeight="1">
      <c r="A257" s="47" t="s">
        <v>620</v>
      </c>
      <c r="B257" s="48" t="s">
        <v>17</v>
      </c>
      <c r="C257" s="50" t="s">
        <v>621</v>
      </c>
      <c r="D257" s="48" t="s">
        <v>575</v>
      </c>
      <c r="E257" s="52" t="s">
        <v>22</v>
      </c>
      <c r="F257" s="48" t="s">
        <v>23</v>
      </c>
      <c r="G257" s="53">
        <v>10890.0</v>
      </c>
      <c r="H257" s="53">
        <v>12500.0</v>
      </c>
      <c r="I257" s="53">
        <v>1610.0</v>
      </c>
      <c r="J257" s="54">
        <v>0.14784205693296604</v>
      </c>
    </row>
    <row r="258" ht="26.25" customHeight="1">
      <c r="A258" s="11" t="s">
        <v>622</v>
      </c>
      <c r="B258" s="13" t="s">
        <v>17</v>
      </c>
      <c r="C258" s="16" t="s">
        <v>623</v>
      </c>
      <c r="D258" s="13" t="s">
        <v>575</v>
      </c>
      <c r="E258" s="19" t="s">
        <v>22</v>
      </c>
      <c r="F258" s="13" t="s">
        <v>23</v>
      </c>
      <c r="G258" s="22">
        <v>13210.0</v>
      </c>
      <c r="H258" s="22">
        <v>15000.0</v>
      </c>
      <c r="I258" s="22">
        <v>1790.0</v>
      </c>
      <c r="J258" s="46">
        <v>0.13550340651021953</v>
      </c>
    </row>
    <row r="259" ht="26.25" customHeight="1">
      <c r="A259" s="47" t="s">
        <v>626</v>
      </c>
      <c r="B259" s="48" t="s">
        <v>17</v>
      </c>
      <c r="C259" s="50" t="s">
        <v>627</v>
      </c>
      <c r="D259" s="48" t="s">
        <v>575</v>
      </c>
      <c r="E259" s="48" t="s">
        <v>22</v>
      </c>
      <c r="F259" s="48" t="s">
        <v>23</v>
      </c>
      <c r="G259" s="53">
        <v>15200.0</v>
      </c>
      <c r="H259" s="53">
        <v>18000.0</v>
      </c>
      <c r="I259" s="53">
        <v>2800.0</v>
      </c>
      <c r="J259" s="54">
        <v>0.18421052631578946</v>
      </c>
    </row>
    <row r="260" ht="26.25" customHeight="1">
      <c r="A260" s="11" t="s">
        <v>628</v>
      </c>
      <c r="B260" s="13" t="s">
        <v>17</v>
      </c>
      <c r="C260" s="16" t="s">
        <v>629</v>
      </c>
      <c r="D260" s="13" t="s">
        <v>575</v>
      </c>
      <c r="E260" s="13" t="s">
        <v>22</v>
      </c>
      <c r="F260" s="13" t="s">
        <v>23</v>
      </c>
      <c r="G260" s="22">
        <v>15200.0</v>
      </c>
      <c r="H260" s="22">
        <v>18000.0</v>
      </c>
      <c r="I260" s="22">
        <v>2800.0</v>
      </c>
      <c r="J260" s="46">
        <v>0.18421052631578946</v>
      </c>
    </row>
    <row r="261" ht="26.25" customHeight="1">
      <c r="A261" s="47" t="s">
        <v>630</v>
      </c>
      <c r="B261" s="48" t="s">
        <v>17</v>
      </c>
      <c r="C261" s="50" t="s">
        <v>631</v>
      </c>
      <c r="D261" s="48" t="s">
        <v>575</v>
      </c>
      <c r="E261" s="48" t="s">
        <v>22</v>
      </c>
      <c r="F261" s="48" t="s">
        <v>23</v>
      </c>
      <c r="G261" s="53">
        <v>20225.0</v>
      </c>
      <c r="H261" s="53">
        <v>25000.0</v>
      </c>
      <c r="I261" s="53">
        <v>4775.0</v>
      </c>
      <c r="J261" s="54">
        <v>0.2360939431396786</v>
      </c>
    </row>
    <row r="262" ht="26.25" customHeight="1">
      <c r="A262" s="11" t="s">
        <v>632</v>
      </c>
      <c r="B262" s="13" t="s">
        <v>17</v>
      </c>
      <c r="C262" s="16" t="s">
        <v>633</v>
      </c>
      <c r="D262" s="13" t="s">
        <v>575</v>
      </c>
      <c r="E262" s="13" t="s">
        <v>22</v>
      </c>
      <c r="F262" s="13" t="s">
        <v>23</v>
      </c>
      <c r="G262" s="22">
        <v>18225.0</v>
      </c>
      <c r="H262" s="22">
        <v>20000.0</v>
      </c>
      <c r="I262" s="22">
        <v>1775.0</v>
      </c>
      <c r="J262" s="46">
        <v>0.09739368998628258</v>
      </c>
    </row>
    <row r="263" ht="26.25" customHeight="1">
      <c r="A263" s="47" t="s">
        <v>634</v>
      </c>
      <c r="B263" s="48" t="s">
        <v>17</v>
      </c>
      <c r="C263" s="50" t="s">
        <v>635</v>
      </c>
      <c r="D263" s="48" t="s">
        <v>575</v>
      </c>
      <c r="E263" s="52" t="s">
        <v>22</v>
      </c>
      <c r="F263" s="48" t="s">
        <v>23</v>
      </c>
      <c r="G263" s="53">
        <v>22980.0</v>
      </c>
      <c r="H263" s="53">
        <v>25000.0</v>
      </c>
      <c r="I263" s="53">
        <v>2020.0</v>
      </c>
      <c r="J263" s="54">
        <v>0.08790252393385553</v>
      </c>
    </row>
    <row r="264" ht="26.25" customHeight="1">
      <c r="A264" s="11" t="s">
        <v>636</v>
      </c>
      <c r="B264" s="13" t="s">
        <v>17</v>
      </c>
      <c r="C264" s="16" t="s">
        <v>637</v>
      </c>
      <c r="D264" s="13" t="s">
        <v>575</v>
      </c>
      <c r="E264" s="19" t="s">
        <v>22</v>
      </c>
      <c r="F264" s="13" t="s">
        <v>23</v>
      </c>
      <c r="G264" s="22">
        <v>23527.0</v>
      </c>
      <c r="H264" s="22">
        <v>27000.0</v>
      </c>
      <c r="I264" s="22">
        <v>3473.0</v>
      </c>
      <c r="J264" s="46">
        <v>0.14761763080715773</v>
      </c>
    </row>
    <row r="265" ht="26.25" customHeight="1">
      <c r="A265" s="47" t="s">
        <v>638</v>
      </c>
      <c r="B265" s="48" t="s">
        <v>17</v>
      </c>
      <c r="C265" s="50" t="s">
        <v>639</v>
      </c>
      <c r="D265" s="48" t="s">
        <v>575</v>
      </c>
      <c r="E265" s="48" t="s">
        <v>22</v>
      </c>
      <c r="F265" s="48" t="s">
        <v>23</v>
      </c>
      <c r="G265" s="53">
        <v>28380.0</v>
      </c>
      <c r="H265" s="53">
        <v>31000.0</v>
      </c>
      <c r="I265" s="53">
        <v>2620.0</v>
      </c>
      <c r="J265" s="54">
        <v>0.0923185341789993</v>
      </c>
    </row>
    <row r="266" ht="26.25" customHeight="1">
      <c r="A266" s="11" t="s">
        <v>640</v>
      </c>
      <c r="B266" s="13" t="s">
        <v>17</v>
      </c>
      <c r="C266" s="16" t="s">
        <v>641</v>
      </c>
      <c r="D266" s="13" t="s">
        <v>575</v>
      </c>
      <c r="E266" s="13" t="s">
        <v>22</v>
      </c>
      <c r="F266" s="13" t="s">
        <v>23</v>
      </c>
      <c r="G266" s="22">
        <v>33612.0</v>
      </c>
      <c r="H266" s="22">
        <v>37000.0</v>
      </c>
      <c r="I266" s="22">
        <v>3388.0</v>
      </c>
      <c r="J266" s="46">
        <v>0.10079733428537427</v>
      </c>
    </row>
    <row r="267" ht="26.25" customHeight="1">
      <c r="A267" s="47" t="s">
        <v>643</v>
      </c>
      <c r="B267" s="48" t="s">
        <v>17</v>
      </c>
      <c r="C267" s="50" t="s">
        <v>644</v>
      </c>
      <c r="D267" s="48" t="s">
        <v>575</v>
      </c>
      <c r="E267" s="48" t="s">
        <v>22</v>
      </c>
      <c r="F267" s="48" t="s">
        <v>23</v>
      </c>
      <c r="G267" s="53">
        <v>38050.0</v>
      </c>
      <c r="H267" s="53">
        <v>41000.0</v>
      </c>
      <c r="I267" s="53">
        <v>2950.0</v>
      </c>
      <c r="J267" s="54">
        <v>0.07752956636005257</v>
      </c>
    </row>
    <row r="268" ht="26.25" customHeight="1">
      <c r="A268" s="11" t="s">
        <v>646</v>
      </c>
      <c r="B268" s="13" t="s">
        <v>17</v>
      </c>
      <c r="C268" s="16" t="s">
        <v>647</v>
      </c>
      <c r="D268" s="13" t="s">
        <v>575</v>
      </c>
      <c r="E268" s="13" t="s">
        <v>22</v>
      </c>
      <c r="F268" s="13" t="s">
        <v>23</v>
      </c>
      <c r="G268" s="22">
        <v>42575.0</v>
      </c>
      <c r="H268" s="22">
        <v>45000.0</v>
      </c>
      <c r="I268" s="22">
        <v>2425.0</v>
      </c>
      <c r="J268" s="46">
        <v>0.05695830886670581</v>
      </c>
    </row>
    <row r="269" ht="26.25" customHeight="1">
      <c r="A269" s="47" t="s">
        <v>648</v>
      </c>
      <c r="B269" s="48" t="s">
        <v>17</v>
      </c>
      <c r="C269" s="50" t="s">
        <v>649</v>
      </c>
      <c r="D269" s="48" t="s">
        <v>575</v>
      </c>
      <c r="E269" s="48" t="s">
        <v>22</v>
      </c>
      <c r="F269" s="48" t="s">
        <v>23</v>
      </c>
      <c r="G269" s="53">
        <v>52450.0</v>
      </c>
      <c r="H269" s="53">
        <v>55000.0</v>
      </c>
      <c r="I269" s="53">
        <v>2550.0</v>
      </c>
      <c r="J269" s="54">
        <v>0.04861773117254528</v>
      </c>
    </row>
    <row r="270" ht="26.25" customHeight="1">
      <c r="A270" s="11" t="s">
        <v>650</v>
      </c>
      <c r="B270" s="13" t="s">
        <v>17</v>
      </c>
      <c r="C270" s="16" t="s">
        <v>651</v>
      </c>
      <c r="D270" s="13" t="s">
        <v>575</v>
      </c>
      <c r="E270" s="13" t="s">
        <v>22</v>
      </c>
      <c r="F270" s="13" t="s">
        <v>23</v>
      </c>
      <c r="G270" s="22">
        <v>65410.0</v>
      </c>
      <c r="H270" s="22">
        <v>69000.0</v>
      </c>
      <c r="I270" s="22">
        <v>3590.0</v>
      </c>
      <c r="J270" s="46">
        <v>0.05488457422412475</v>
      </c>
    </row>
    <row r="271" ht="26.25" customHeight="1">
      <c r="A271" s="47" t="s">
        <v>652</v>
      </c>
      <c r="B271" s="48" t="s">
        <v>17</v>
      </c>
      <c r="C271" s="50" t="s">
        <v>653</v>
      </c>
      <c r="D271" s="48" t="s">
        <v>575</v>
      </c>
      <c r="E271" s="48" t="s">
        <v>22</v>
      </c>
      <c r="F271" s="48" t="s">
        <v>23</v>
      </c>
      <c r="G271" s="53">
        <v>88325.0</v>
      </c>
      <c r="H271" s="53">
        <v>93000.0</v>
      </c>
      <c r="I271" s="53">
        <v>4675.0</v>
      </c>
      <c r="J271" s="54">
        <v>0.05292952165298613</v>
      </c>
    </row>
    <row r="272" ht="26.25" customHeight="1">
      <c r="A272" s="11" t="s">
        <v>654</v>
      </c>
      <c r="B272" s="13" t="s">
        <v>17</v>
      </c>
      <c r="C272" s="16" t="s">
        <v>655</v>
      </c>
      <c r="D272" s="13" t="s">
        <v>575</v>
      </c>
      <c r="E272" s="13" t="s">
        <v>22</v>
      </c>
      <c r="F272" s="13" t="s">
        <v>23</v>
      </c>
      <c r="G272" s="22">
        <v>9200.0</v>
      </c>
      <c r="H272" s="22">
        <v>11000.0</v>
      </c>
      <c r="I272" s="22">
        <v>1800.0</v>
      </c>
      <c r="J272" s="46">
        <v>0.1956521739130435</v>
      </c>
    </row>
    <row r="273" ht="26.25" customHeight="1">
      <c r="A273" s="47" t="s">
        <v>656</v>
      </c>
      <c r="B273" s="48" t="s">
        <v>17</v>
      </c>
      <c r="C273" s="50" t="s">
        <v>657</v>
      </c>
      <c r="D273" s="48" t="s">
        <v>575</v>
      </c>
      <c r="E273" s="48" t="s">
        <v>22</v>
      </c>
      <c r="F273" s="48" t="s">
        <v>23</v>
      </c>
      <c r="G273" s="53">
        <v>9470.0</v>
      </c>
      <c r="H273" s="53">
        <v>11500.0</v>
      </c>
      <c r="I273" s="53">
        <v>2030.0</v>
      </c>
      <c r="J273" s="54">
        <v>0.21436114044350582</v>
      </c>
    </row>
    <row r="274" ht="26.25" customHeight="1">
      <c r="A274" s="11" t="s">
        <v>658</v>
      </c>
      <c r="B274" s="13" t="s">
        <v>17</v>
      </c>
      <c r="C274" s="16" t="s">
        <v>659</v>
      </c>
      <c r="D274" s="13" t="s">
        <v>575</v>
      </c>
      <c r="E274" s="13" t="s">
        <v>22</v>
      </c>
      <c r="F274" s="13" t="s">
        <v>23</v>
      </c>
      <c r="G274" s="22">
        <v>10900.0</v>
      </c>
      <c r="H274" s="22">
        <v>13000.0</v>
      </c>
      <c r="I274" s="22">
        <v>2100.0</v>
      </c>
      <c r="J274" s="46">
        <v>0.1926605504587156</v>
      </c>
    </row>
    <row r="275" ht="26.25" customHeight="1">
      <c r="A275" s="47" t="s">
        <v>660</v>
      </c>
      <c r="B275" s="48" t="s">
        <v>17</v>
      </c>
      <c r="C275" s="50" t="s">
        <v>661</v>
      </c>
      <c r="D275" s="48" t="s">
        <v>575</v>
      </c>
      <c r="E275" s="48" t="s">
        <v>22</v>
      </c>
      <c r="F275" s="48" t="s">
        <v>23</v>
      </c>
      <c r="G275" s="53">
        <v>10101.0</v>
      </c>
      <c r="H275" s="53">
        <v>12000.0</v>
      </c>
      <c r="I275" s="53">
        <v>1899.0</v>
      </c>
      <c r="J275" s="54">
        <v>0.188001188001188</v>
      </c>
    </row>
    <row r="276" ht="26.25" customHeight="1">
      <c r="A276" s="11" t="s">
        <v>663</v>
      </c>
      <c r="B276" s="13" t="s">
        <v>17</v>
      </c>
      <c r="C276" s="16" t="s">
        <v>665</v>
      </c>
      <c r="D276" s="13" t="s">
        <v>575</v>
      </c>
      <c r="E276" s="13" t="s">
        <v>22</v>
      </c>
      <c r="F276" s="13" t="s">
        <v>23</v>
      </c>
      <c r="G276" s="22">
        <v>15000.0</v>
      </c>
      <c r="H276" s="22">
        <v>17000.0</v>
      </c>
      <c r="I276" s="22">
        <v>2000.0</v>
      </c>
      <c r="J276" s="46">
        <v>0.13333333333333333</v>
      </c>
    </row>
    <row r="277" ht="26.25" customHeight="1">
      <c r="A277" s="47" t="s">
        <v>666</v>
      </c>
      <c r="B277" s="48" t="s">
        <v>17</v>
      </c>
      <c r="C277" s="50" t="s">
        <v>667</v>
      </c>
      <c r="D277" s="48" t="s">
        <v>575</v>
      </c>
      <c r="E277" s="48" t="s">
        <v>22</v>
      </c>
      <c r="F277" s="48" t="s">
        <v>23</v>
      </c>
      <c r="G277" s="53">
        <v>25000.0</v>
      </c>
      <c r="H277" s="53">
        <v>27000.0</v>
      </c>
      <c r="I277" s="53">
        <v>2000.0</v>
      </c>
      <c r="J277" s="54">
        <v>0.08</v>
      </c>
    </row>
    <row r="278" ht="26.25" customHeight="1">
      <c r="A278" s="11" t="s">
        <v>668</v>
      </c>
      <c r="B278" s="13" t="s">
        <v>17</v>
      </c>
      <c r="C278" s="16" t="s">
        <v>669</v>
      </c>
      <c r="D278" s="13" t="s">
        <v>575</v>
      </c>
      <c r="E278" s="13" t="s">
        <v>22</v>
      </c>
      <c r="F278" s="13" t="s">
        <v>23</v>
      </c>
      <c r="G278" s="22">
        <v>30000.0</v>
      </c>
      <c r="H278" s="22">
        <v>32000.0</v>
      </c>
      <c r="I278" s="22">
        <v>2000.0</v>
      </c>
      <c r="J278" s="46">
        <v>0.06666666666666667</v>
      </c>
    </row>
    <row r="279" ht="26.25" customHeight="1">
      <c r="A279" s="47" t="s">
        <v>670</v>
      </c>
      <c r="B279" s="48" t="s">
        <v>17</v>
      </c>
      <c r="C279" s="50" t="s">
        <v>671</v>
      </c>
      <c r="D279" s="48" t="s">
        <v>575</v>
      </c>
      <c r="E279" s="48" t="s">
        <v>22</v>
      </c>
      <c r="F279" s="48" t="s">
        <v>23</v>
      </c>
      <c r="G279" s="53">
        <v>40000.0</v>
      </c>
      <c r="H279" s="53">
        <v>42000.0</v>
      </c>
      <c r="I279" s="53">
        <v>2000.0</v>
      </c>
      <c r="J279" s="54">
        <v>0.05</v>
      </c>
    </row>
    <row r="280" ht="26.25" customHeight="1">
      <c r="A280" s="11" t="s">
        <v>672</v>
      </c>
      <c r="B280" s="13" t="s">
        <v>17</v>
      </c>
      <c r="C280" s="16" t="s">
        <v>673</v>
      </c>
      <c r="D280" s="13" t="s">
        <v>575</v>
      </c>
      <c r="E280" s="13" t="s">
        <v>22</v>
      </c>
      <c r="F280" s="13" t="s">
        <v>23</v>
      </c>
      <c r="G280" s="22">
        <v>10060.0</v>
      </c>
      <c r="H280" s="22">
        <v>12000.0</v>
      </c>
      <c r="I280" s="22">
        <v>1940.0</v>
      </c>
      <c r="J280" s="46">
        <v>0.19284294234592445</v>
      </c>
    </row>
    <row r="281" ht="26.25" customHeight="1">
      <c r="A281" s="47" t="s">
        <v>674</v>
      </c>
      <c r="B281" s="48" t="s">
        <v>17</v>
      </c>
      <c r="C281" s="50" t="s">
        <v>675</v>
      </c>
      <c r="D281" s="48" t="s">
        <v>575</v>
      </c>
      <c r="E281" s="48" t="s">
        <v>22</v>
      </c>
      <c r="F281" s="48" t="s">
        <v>23</v>
      </c>
      <c r="G281" s="53">
        <v>12112.0</v>
      </c>
      <c r="H281" s="53">
        <v>14000.0</v>
      </c>
      <c r="I281" s="53">
        <v>1888.0</v>
      </c>
      <c r="J281" s="54">
        <v>0.15587846763540292</v>
      </c>
    </row>
    <row r="282" ht="26.25" customHeight="1">
      <c r="A282" s="11" t="s">
        <v>676</v>
      </c>
      <c r="B282" s="13" t="s">
        <v>17</v>
      </c>
      <c r="C282" s="16" t="s">
        <v>677</v>
      </c>
      <c r="D282" s="13" t="s">
        <v>575</v>
      </c>
      <c r="E282" s="13" t="s">
        <v>22</v>
      </c>
      <c r="F282" s="13" t="s">
        <v>23</v>
      </c>
      <c r="G282" s="22">
        <v>15048.0</v>
      </c>
      <c r="H282" s="22">
        <v>17000.0</v>
      </c>
      <c r="I282" s="22">
        <v>1952.0</v>
      </c>
      <c r="J282" s="46">
        <v>0.12971823498139287</v>
      </c>
    </row>
    <row r="283" ht="26.25" customHeight="1">
      <c r="A283" s="47" t="s">
        <v>678</v>
      </c>
      <c r="B283" s="48" t="s">
        <v>17</v>
      </c>
      <c r="C283" s="50" t="s">
        <v>679</v>
      </c>
      <c r="D283" s="48" t="s">
        <v>575</v>
      </c>
      <c r="E283" s="48" t="s">
        <v>22</v>
      </c>
      <c r="F283" s="48" t="s">
        <v>23</v>
      </c>
      <c r="G283" s="53">
        <v>20194.0</v>
      </c>
      <c r="H283" s="53">
        <v>22000.0</v>
      </c>
      <c r="I283" s="53">
        <v>1806.0</v>
      </c>
      <c r="J283" s="54">
        <v>0.08943250470436763</v>
      </c>
    </row>
    <row r="284" ht="26.25" customHeight="1">
      <c r="A284" s="11" t="s">
        <v>680</v>
      </c>
      <c r="B284" s="13" t="s">
        <v>17</v>
      </c>
      <c r="C284" s="16" t="s">
        <v>681</v>
      </c>
      <c r="D284" s="13" t="s">
        <v>575</v>
      </c>
      <c r="E284" s="13" t="s">
        <v>22</v>
      </c>
      <c r="F284" s="13" t="s">
        <v>23</v>
      </c>
      <c r="G284" s="22">
        <v>35320.0</v>
      </c>
      <c r="H284" s="22">
        <v>37500.0</v>
      </c>
      <c r="I284" s="22">
        <v>2180.0</v>
      </c>
      <c r="J284" s="46">
        <v>0.06172140430351076</v>
      </c>
    </row>
    <row r="285" ht="26.25" customHeight="1">
      <c r="A285" s="47" t="s">
        <v>682</v>
      </c>
      <c r="B285" s="48" t="s">
        <v>17</v>
      </c>
      <c r="C285" s="50" t="s">
        <v>683</v>
      </c>
      <c r="D285" s="48" t="s">
        <v>575</v>
      </c>
      <c r="E285" s="48" t="s">
        <v>22</v>
      </c>
      <c r="F285" s="48" t="s">
        <v>23</v>
      </c>
      <c r="G285" s="53">
        <v>40290.0</v>
      </c>
      <c r="H285" s="53">
        <v>42500.0</v>
      </c>
      <c r="I285" s="53">
        <v>2210.0</v>
      </c>
      <c r="J285" s="54">
        <v>0.05485232067510549</v>
      </c>
    </row>
    <row r="286" ht="26.25" customHeight="1">
      <c r="A286" s="11" t="s">
        <v>686</v>
      </c>
      <c r="B286" s="13" t="s">
        <v>17</v>
      </c>
      <c r="C286" s="16" t="s">
        <v>687</v>
      </c>
      <c r="D286" s="13" t="s">
        <v>575</v>
      </c>
      <c r="E286" s="13" t="s">
        <v>22</v>
      </c>
      <c r="F286" s="13" t="s">
        <v>23</v>
      </c>
      <c r="G286" s="22">
        <v>25105.0</v>
      </c>
      <c r="H286" s="22">
        <v>27000.0</v>
      </c>
      <c r="I286" s="22">
        <v>1895.0</v>
      </c>
      <c r="J286" s="46">
        <v>0.07548297151961761</v>
      </c>
    </row>
    <row r="287" ht="26.25" customHeight="1">
      <c r="A287" s="47" t="s">
        <v>688</v>
      </c>
      <c r="B287" s="48" t="s">
        <v>17</v>
      </c>
      <c r="C287" s="50" t="s">
        <v>689</v>
      </c>
      <c r="D287" s="48" t="s">
        <v>575</v>
      </c>
      <c r="E287" s="48" t="s">
        <v>22</v>
      </c>
      <c r="F287" s="48" t="s">
        <v>23</v>
      </c>
      <c r="G287" s="53">
        <v>30000.0</v>
      </c>
      <c r="H287" s="53">
        <v>32000.0</v>
      </c>
      <c r="I287" s="53">
        <v>2000.0</v>
      </c>
      <c r="J287" s="54">
        <v>0.06666666666666667</v>
      </c>
    </row>
    <row r="288" ht="26.25" customHeight="1">
      <c r="A288" s="11" t="s">
        <v>690</v>
      </c>
      <c r="B288" s="13" t="s">
        <v>17</v>
      </c>
      <c r="C288" s="16" t="s">
        <v>691</v>
      </c>
      <c r="D288" s="13" t="s">
        <v>575</v>
      </c>
      <c r="E288" s="13" t="s">
        <v>22</v>
      </c>
      <c r="F288" s="13" t="s">
        <v>23</v>
      </c>
      <c r="G288" s="22">
        <v>45468.0</v>
      </c>
      <c r="H288" s="22">
        <v>47500.0</v>
      </c>
      <c r="I288" s="22">
        <v>2032.0</v>
      </c>
      <c r="J288" s="46">
        <v>0.044690771531626636</v>
      </c>
    </row>
    <row r="289" ht="26.25" customHeight="1">
      <c r="A289" s="47" t="s">
        <v>692</v>
      </c>
      <c r="B289" s="48" t="s">
        <v>17</v>
      </c>
      <c r="C289" s="50" t="s">
        <v>693</v>
      </c>
      <c r="D289" s="48" t="s">
        <v>575</v>
      </c>
      <c r="E289" s="48" t="s">
        <v>22</v>
      </c>
      <c r="F289" s="48" t="s">
        <v>23</v>
      </c>
      <c r="G289" s="53">
        <v>50528.0</v>
      </c>
      <c r="H289" s="53">
        <v>52500.0</v>
      </c>
      <c r="I289" s="53">
        <v>1972.0</v>
      </c>
      <c r="J289" s="54">
        <v>0.03902786573780874</v>
      </c>
    </row>
    <row r="290" ht="26.25" customHeight="1">
      <c r="A290" s="11" t="s">
        <v>694</v>
      </c>
      <c r="B290" s="13" t="s">
        <v>17</v>
      </c>
      <c r="C290" s="16" t="s">
        <v>695</v>
      </c>
      <c r="D290" s="13" t="s">
        <v>575</v>
      </c>
      <c r="E290" s="13" t="s">
        <v>22</v>
      </c>
      <c r="F290" s="13" t="s">
        <v>23</v>
      </c>
      <c r="G290" s="22">
        <v>55153.0</v>
      </c>
      <c r="H290" s="22">
        <v>57500.0</v>
      </c>
      <c r="I290" s="22">
        <v>2347.0</v>
      </c>
      <c r="J290" s="46">
        <v>0.04255434881148804</v>
      </c>
    </row>
    <row r="291" ht="26.25" customHeight="1">
      <c r="A291" s="47" t="s">
        <v>696</v>
      </c>
      <c r="B291" s="48" t="s">
        <v>17</v>
      </c>
      <c r="C291" s="50" t="s">
        <v>698</v>
      </c>
      <c r="D291" s="48" t="s">
        <v>575</v>
      </c>
      <c r="E291" s="48" t="s">
        <v>22</v>
      </c>
      <c r="F291" s="48" t="s">
        <v>23</v>
      </c>
      <c r="G291" s="53">
        <v>15000.0</v>
      </c>
      <c r="H291" s="53">
        <v>17000.0</v>
      </c>
      <c r="I291" s="53">
        <v>2000.0</v>
      </c>
      <c r="J291" s="54">
        <v>0.13333333333333333</v>
      </c>
    </row>
    <row r="292" ht="26.25" customHeight="1">
      <c r="A292" s="11" t="s">
        <v>700</v>
      </c>
      <c r="B292" s="13" t="s">
        <v>17</v>
      </c>
      <c r="C292" s="16" t="s">
        <v>701</v>
      </c>
      <c r="D292" s="13" t="s">
        <v>575</v>
      </c>
      <c r="E292" s="13" t="s">
        <v>22</v>
      </c>
      <c r="F292" s="13" t="s">
        <v>23</v>
      </c>
      <c r="G292" s="22">
        <v>20000.0</v>
      </c>
      <c r="H292" s="22">
        <v>22000.0</v>
      </c>
      <c r="I292" s="22">
        <v>2000.0</v>
      </c>
      <c r="J292" s="46">
        <v>0.1</v>
      </c>
    </row>
    <row r="293" ht="26.25" customHeight="1">
      <c r="A293" s="47" t="s">
        <v>702</v>
      </c>
      <c r="B293" s="48" t="s">
        <v>17</v>
      </c>
      <c r="C293" s="50" t="s">
        <v>703</v>
      </c>
      <c r="D293" s="48" t="s">
        <v>575</v>
      </c>
      <c r="E293" s="48" t="s">
        <v>22</v>
      </c>
      <c r="F293" s="48" t="s">
        <v>23</v>
      </c>
      <c r="G293" s="53">
        <v>27000.0</v>
      </c>
      <c r="H293" s="53">
        <v>30000.0</v>
      </c>
      <c r="I293" s="53">
        <v>3000.0</v>
      </c>
      <c r="J293" s="54">
        <v>0.1111111111111111</v>
      </c>
    </row>
    <row r="294" ht="26.25" customHeight="1">
      <c r="A294" s="11" t="s">
        <v>704</v>
      </c>
      <c r="B294" s="13" t="s">
        <v>17</v>
      </c>
      <c r="C294" s="16" t="s">
        <v>705</v>
      </c>
      <c r="D294" s="13" t="s">
        <v>575</v>
      </c>
      <c r="E294" s="13" t="s">
        <v>22</v>
      </c>
      <c r="F294" s="13" t="s">
        <v>23</v>
      </c>
      <c r="G294" s="22">
        <v>40000.0</v>
      </c>
      <c r="H294" s="22">
        <v>43000.0</v>
      </c>
      <c r="I294" s="22">
        <v>3000.0</v>
      </c>
      <c r="J294" s="46">
        <v>0.075</v>
      </c>
    </row>
    <row r="295" ht="26.25" customHeight="1">
      <c r="A295" s="47" t="s">
        <v>706</v>
      </c>
      <c r="B295" s="48" t="s">
        <v>17</v>
      </c>
      <c r="C295" s="50" t="s">
        <v>707</v>
      </c>
      <c r="D295" s="48" t="s">
        <v>575</v>
      </c>
      <c r="E295" s="48" t="s">
        <v>22</v>
      </c>
      <c r="F295" s="48" t="s">
        <v>23</v>
      </c>
      <c r="G295" s="53">
        <v>45200.0</v>
      </c>
      <c r="H295" s="53">
        <v>48000.0</v>
      </c>
      <c r="I295" s="53">
        <v>2800.0</v>
      </c>
      <c r="J295" s="54">
        <v>0.061946902654867256</v>
      </c>
    </row>
    <row r="296" ht="26.25" customHeight="1">
      <c r="A296" s="11" t="s">
        <v>708</v>
      </c>
      <c r="B296" s="13" t="s">
        <v>17</v>
      </c>
      <c r="C296" s="16" t="s">
        <v>709</v>
      </c>
      <c r="D296" s="13" t="s">
        <v>575</v>
      </c>
      <c r="E296" s="13" t="s">
        <v>22</v>
      </c>
      <c r="F296" s="13" t="s">
        <v>23</v>
      </c>
      <c r="G296" s="22">
        <v>51500.0</v>
      </c>
      <c r="H296" s="22">
        <v>55000.0</v>
      </c>
      <c r="I296" s="22">
        <v>3500.0</v>
      </c>
      <c r="J296" s="46">
        <v>0.06796116504854369</v>
      </c>
    </row>
    <row r="297" ht="26.25" customHeight="1">
      <c r="A297" s="47" t="s">
        <v>710</v>
      </c>
      <c r="B297" s="48" t="s">
        <v>17</v>
      </c>
      <c r="C297" s="50" t="s">
        <v>711</v>
      </c>
      <c r="D297" s="48" t="s">
        <v>575</v>
      </c>
      <c r="E297" s="48" t="s">
        <v>22</v>
      </c>
      <c r="F297" s="48" t="s">
        <v>23</v>
      </c>
      <c r="G297" s="53">
        <v>23250.0</v>
      </c>
      <c r="H297" s="53">
        <v>26000.0</v>
      </c>
      <c r="I297" s="53">
        <v>2750.0</v>
      </c>
      <c r="J297" s="54">
        <v>0.11827956989247312</v>
      </c>
    </row>
    <row r="298" ht="26.25" customHeight="1">
      <c r="A298" s="11" t="s">
        <v>712</v>
      </c>
      <c r="B298" s="13" t="s">
        <v>17</v>
      </c>
      <c r="C298" s="16" t="s">
        <v>713</v>
      </c>
      <c r="D298" s="13" t="s">
        <v>575</v>
      </c>
      <c r="E298" s="13" t="s">
        <v>22</v>
      </c>
      <c r="F298" s="13" t="s">
        <v>23</v>
      </c>
      <c r="G298" s="22">
        <v>24300.0</v>
      </c>
      <c r="H298" s="22">
        <v>27000.0</v>
      </c>
      <c r="I298" s="22">
        <v>2700.0</v>
      </c>
      <c r="J298" s="46">
        <v>0.1111111111111111</v>
      </c>
    </row>
    <row r="299" ht="26.25" customHeight="1">
      <c r="A299" s="47" t="s">
        <v>714</v>
      </c>
      <c r="B299" s="48" t="s">
        <v>17</v>
      </c>
      <c r="C299" s="50" t="s">
        <v>715</v>
      </c>
      <c r="D299" s="48" t="s">
        <v>575</v>
      </c>
      <c r="E299" s="48" t="s">
        <v>22</v>
      </c>
      <c r="F299" s="48" t="s">
        <v>23</v>
      </c>
      <c r="G299" s="53">
        <v>0.0</v>
      </c>
      <c r="H299" s="53">
        <v>0.0</v>
      </c>
      <c r="I299" s="53">
        <v>0.0</v>
      </c>
      <c r="J299" s="54">
        <v>0.0</v>
      </c>
    </row>
    <row r="300" ht="26.25" customHeight="1">
      <c r="A300" s="11" t="s">
        <v>716</v>
      </c>
      <c r="B300" s="13" t="s">
        <v>17</v>
      </c>
      <c r="C300" s="16" t="s">
        <v>717</v>
      </c>
      <c r="D300" s="13" t="s">
        <v>575</v>
      </c>
      <c r="E300" s="13" t="s">
        <v>22</v>
      </c>
      <c r="F300" s="13" t="s">
        <v>23</v>
      </c>
      <c r="G300" s="22">
        <v>0.0</v>
      </c>
      <c r="H300" s="22">
        <v>0.0</v>
      </c>
      <c r="I300" s="22">
        <v>0.0</v>
      </c>
      <c r="J300" s="46">
        <v>0.0</v>
      </c>
    </row>
    <row r="301" ht="26.25" customHeight="1">
      <c r="A301" s="47" t="s">
        <v>718</v>
      </c>
      <c r="B301" s="48" t="s">
        <v>17</v>
      </c>
      <c r="C301" s="50" t="s">
        <v>719</v>
      </c>
      <c r="D301" s="48" t="s">
        <v>575</v>
      </c>
      <c r="E301" s="48" t="s">
        <v>22</v>
      </c>
      <c r="F301" s="48" t="s">
        <v>23</v>
      </c>
      <c r="G301" s="53">
        <v>0.0</v>
      </c>
      <c r="H301" s="53">
        <v>0.0</v>
      </c>
      <c r="I301" s="53">
        <v>0.0</v>
      </c>
      <c r="J301" s="54">
        <v>0.0</v>
      </c>
    </row>
    <row r="302" ht="26.25" customHeight="1">
      <c r="A302" s="11" t="s">
        <v>722</v>
      </c>
      <c r="B302" s="13" t="s">
        <v>17</v>
      </c>
      <c r="C302" s="16" t="s">
        <v>723</v>
      </c>
      <c r="D302" s="13" t="s">
        <v>575</v>
      </c>
      <c r="E302" s="13" t="s">
        <v>22</v>
      </c>
      <c r="F302" s="13" t="s">
        <v>23</v>
      </c>
      <c r="G302" s="22">
        <v>0.0</v>
      </c>
      <c r="H302" s="22">
        <v>0.0</v>
      </c>
      <c r="I302" s="22">
        <v>0.0</v>
      </c>
      <c r="J302" s="46">
        <v>0.0</v>
      </c>
    </row>
    <row r="303" ht="26.25" customHeight="1">
      <c r="A303" s="47" t="s">
        <v>725</v>
      </c>
      <c r="B303" s="48" t="s">
        <v>17</v>
      </c>
      <c r="C303" s="50" t="s">
        <v>726</v>
      </c>
      <c r="D303" s="48" t="s">
        <v>575</v>
      </c>
      <c r="E303" s="48" t="s">
        <v>22</v>
      </c>
      <c r="F303" s="48" t="s">
        <v>23</v>
      </c>
      <c r="G303" s="53">
        <v>5245.0</v>
      </c>
      <c r="H303" s="53">
        <v>7000.0</v>
      </c>
      <c r="I303" s="53">
        <v>1755.0</v>
      </c>
      <c r="J303" s="54">
        <v>0.334604385128694</v>
      </c>
    </row>
    <row r="304" ht="26.25" customHeight="1">
      <c r="A304" s="11" t="s">
        <v>727</v>
      </c>
      <c r="B304" s="13" t="s">
        <v>17</v>
      </c>
      <c r="C304" s="16" t="s">
        <v>728</v>
      </c>
      <c r="D304" s="13" t="s">
        <v>575</v>
      </c>
      <c r="E304" s="13" t="s">
        <v>22</v>
      </c>
      <c r="F304" s="13" t="s">
        <v>23</v>
      </c>
      <c r="G304" s="22">
        <v>6970.0</v>
      </c>
      <c r="H304" s="22">
        <v>8500.0</v>
      </c>
      <c r="I304" s="22">
        <v>1530.0</v>
      </c>
      <c r="J304" s="46">
        <v>0.21951219512195122</v>
      </c>
    </row>
    <row r="305" ht="26.25" customHeight="1">
      <c r="A305" s="47" t="s">
        <v>729</v>
      </c>
      <c r="B305" s="48" t="s">
        <v>17</v>
      </c>
      <c r="C305" s="50" t="s">
        <v>731</v>
      </c>
      <c r="D305" s="48" t="s">
        <v>575</v>
      </c>
      <c r="E305" s="48" t="s">
        <v>22</v>
      </c>
      <c r="F305" s="48" t="s">
        <v>23</v>
      </c>
      <c r="G305" s="53">
        <v>10182.0</v>
      </c>
      <c r="H305" s="53">
        <v>12000.0</v>
      </c>
      <c r="I305" s="53">
        <v>1818.0</v>
      </c>
      <c r="J305" s="54">
        <v>0.1785503830288745</v>
      </c>
    </row>
    <row r="306" ht="26.25" customHeight="1">
      <c r="A306" s="11" t="s">
        <v>733</v>
      </c>
      <c r="B306" s="13" t="s">
        <v>17</v>
      </c>
      <c r="C306" s="16" t="s">
        <v>735</v>
      </c>
      <c r="D306" s="13" t="s">
        <v>575</v>
      </c>
      <c r="E306" s="13" t="s">
        <v>22</v>
      </c>
      <c r="F306" s="13" t="s">
        <v>23</v>
      </c>
      <c r="G306" s="22">
        <v>14882.0</v>
      </c>
      <c r="H306" s="22">
        <v>17000.0</v>
      </c>
      <c r="I306" s="22">
        <v>2118.0</v>
      </c>
      <c r="J306" s="46">
        <v>0.14231958070151862</v>
      </c>
    </row>
    <row r="307" ht="26.25" customHeight="1">
      <c r="A307" s="47" t="s">
        <v>737</v>
      </c>
      <c r="B307" s="48" t="s">
        <v>17</v>
      </c>
      <c r="C307" s="50" t="s">
        <v>738</v>
      </c>
      <c r="D307" s="48" t="s">
        <v>575</v>
      </c>
      <c r="E307" s="48" t="s">
        <v>22</v>
      </c>
      <c r="F307" s="48" t="s">
        <v>23</v>
      </c>
      <c r="G307" s="53">
        <v>19865.0</v>
      </c>
      <c r="H307" s="53">
        <v>22000.0</v>
      </c>
      <c r="I307" s="53">
        <v>2135.0</v>
      </c>
      <c r="J307" s="54">
        <v>0.10747545935061666</v>
      </c>
    </row>
    <row r="308" ht="26.25" customHeight="1">
      <c r="A308" s="11" t="s">
        <v>741</v>
      </c>
      <c r="B308" s="13" t="s">
        <v>17</v>
      </c>
      <c r="C308" s="16" t="s">
        <v>742</v>
      </c>
      <c r="D308" s="13" t="s">
        <v>575</v>
      </c>
      <c r="E308" s="13" t="s">
        <v>22</v>
      </c>
      <c r="F308" s="13" t="s">
        <v>23</v>
      </c>
      <c r="G308" s="22">
        <v>24875.0</v>
      </c>
      <c r="H308" s="22">
        <v>27000.0</v>
      </c>
      <c r="I308" s="22">
        <v>2125.0</v>
      </c>
      <c r="J308" s="46">
        <v>0.08542713567839195</v>
      </c>
    </row>
    <row r="309" ht="26.25" customHeight="1">
      <c r="A309" s="47" t="s">
        <v>745</v>
      </c>
      <c r="B309" s="48" t="s">
        <v>17</v>
      </c>
      <c r="C309" s="50" t="s">
        <v>746</v>
      </c>
      <c r="D309" s="48" t="s">
        <v>575</v>
      </c>
      <c r="E309" s="48" t="s">
        <v>22</v>
      </c>
      <c r="F309" s="48" t="s">
        <v>23</v>
      </c>
      <c r="G309" s="53">
        <v>29630.0</v>
      </c>
      <c r="H309" s="53">
        <v>32000.0</v>
      </c>
      <c r="I309" s="53">
        <v>2370.0</v>
      </c>
      <c r="J309" s="54">
        <v>0.07998650016874789</v>
      </c>
    </row>
    <row r="310" ht="26.25" customHeight="1">
      <c r="A310" s="11" t="s">
        <v>747</v>
      </c>
      <c r="B310" s="13" t="s">
        <v>17</v>
      </c>
      <c r="C310" s="16" t="s">
        <v>748</v>
      </c>
      <c r="D310" s="13" t="s">
        <v>575</v>
      </c>
      <c r="E310" s="13" t="s">
        <v>22</v>
      </c>
      <c r="F310" s="13" t="s">
        <v>23</v>
      </c>
      <c r="G310" s="22">
        <v>34783.0</v>
      </c>
      <c r="H310" s="22">
        <v>37000.0</v>
      </c>
      <c r="I310" s="22">
        <v>2217.0</v>
      </c>
      <c r="J310" s="46">
        <v>0.06373803294712935</v>
      </c>
    </row>
    <row r="311" ht="26.25" customHeight="1">
      <c r="A311" s="47" t="s">
        <v>750</v>
      </c>
      <c r="B311" s="48" t="s">
        <v>17</v>
      </c>
      <c r="C311" s="50" t="s">
        <v>751</v>
      </c>
      <c r="D311" s="48" t="s">
        <v>575</v>
      </c>
      <c r="E311" s="48" t="s">
        <v>22</v>
      </c>
      <c r="F311" s="48" t="s">
        <v>23</v>
      </c>
      <c r="G311" s="53">
        <v>39305.0</v>
      </c>
      <c r="H311" s="53">
        <v>42000.0</v>
      </c>
      <c r="I311" s="53">
        <v>2695.0</v>
      </c>
      <c r="J311" s="54">
        <v>0.06856634016028496</v>
      </c>
    </row>
    <row r="312" ht="26.25" customHeight="1">
      <c r="A312" s="11" t="s">
        <v>754</v>
      </c>
      <c r="B312" s="13" t="s">
        <v>17</v>
      </c>
      <c r="C312" s="16" t="s">
        <v>755</v>
      </c>
      <c r="D312" s="13" t="s">
        <v>575</v>
      </c>
      <c r="E312" s="13" t="s">
        <v>22</v>
      </c>
      <c r="F312" s="13" t="s">
        <v>23</v>
      </c>
      <c r="G312" s="22">
        <v>44655.0</v>
      </c>
      <c r="H312" s="22">
        <v>47000.0</v>
      </c>
      <c r="I312" s="22">
        <v>2345.0</v>
      </c>
      <c r="J312" s="46">
        <v>0.05251371626917478</v>
      </c>
    </row>
    <row r="313" ht="26.25" customHeight="1">
      <c r="A313" s="47" t="s">
        <v>756</v>
      </c>
      <c r="B313" s="48" t="s">
        <v>17</v>
      </c>
      <c r="C313" s="50" t="s">
        <v>757</v>
      </c>
      <c r="D313" s="48" t="s">
        <v>575</v>
      </c>
      <c r="E313" s="48" t="s">
        <v>22</v>
      </c>
      <c r="F313" s="48" t="s">
        <v>23</v>
      </c>
      <c r="G313" s="53">
        <v>49490.0</v>
      </c>
      <c r="H313" s="53">
        <v>52000.0</v>
      </c>
      <c r="I313" s="53">
        <v>2510.0</v>
      </c>
      <c r="J313" s="54">
        <v>0.050717316629622144</v>
      </c>
    </row>
    <row r="314" ht="26.25" customHeight="1">
      <c r="A314" s="11" t="s">
        <v>758</v>
      </c>
      <c r="B314" s="13" t="s">
        <v>17</v>
      </c>
      <c r="C314" s="16" t="s">
        <v>759</v>
      </c>
      <c r="D314" s="13" t="s">
        <v>575</v>
      </c>
      <c r="E314" s="13" t="s">
        <v>22</v>
      </c>
      <c r="F314" s="13" t="s">
        <v>23</v>
      </c>
      <c r="G314" s="22">
        <v>54515.0</v>
      </c>
      <c r="H314" s="22">
        <v>57000.0</v>
      </c>
      <c r="I314" s="22">
        <v>2485.0</v>
      </c>
      <c r="J314" s="46">
        <v>0.04558378427955609</v>
      </c>
    </row>
    <row r="315" ht="26.25" customHeight="1">
      <c r="A315" s="47" t="s">
        <v>760</v>
      </c>
      <c r="B315" s="48" t="s">
        <v>17</v>
      </c>
      <c r="C315" s="50" t="s">
        <v>761</v>
      </c>
      <c r="D315" s="48" t="s">
        <v>575</v>
      </c>
      <c r="E315" s="48" t="s">
        <v>22</v>
      </c>
      <c r="F315" s="48" t="s">
        <v>23</v>
      </c>
      <c r="G315" s="53">
        <v>59493.0</v>
      </c>
      <c r="H315" s="53">
        <v>62000.0</v>
      </c>
      <c r="I315" s="53">
        <v>2507.0</v>
      </c>
      <c r="J315" s="54">
        <v>0.04213941135931958</v>
      </c>
    </row>
    <row r="316" ht="26.25" customHeight="1">
      <c r="A316" s="11" t="s">
        <v>762</v>
      </c>
      <c r="B316" s="13" t="s">
        <v>17</v>
      </c>
      <c r="C316" s="16" t="s">
        <v>763</v>
      </c>
      <c r="D316" s="13" t="s">
        <v>575</v>
      </c>
      <c r="E316" s="13" t="s">
        <v>22</v>
      </c>
      <c r="F316" s="13" t="s">
        <v>23</v>
      </c>
      <c r="G316" s="22">
        <v>64390.0</v>
      </c>
      <c r="H316" s="22">
        <v>62000.0</v>
      </c>
      <c r="I316" s="22">
        <v>-2390.0</v>
      </c>
      <c r="J316" s="46">
        <v>-0.03711756483926076</v>
      </c>
    </row>
    <row r="317" ht="26.25" customHeight="1">
      <c r="A317" s="47" t="s">
        <v>764</v>
      </c>
      <c r="B317" s="48" t="s">
        <v>17</v>
      </c>
      <c r="C317" s="50" t="s">
        <v>765</v>
      </c>
      <c r="D317" s="48" t="s">
        <v>575</v>
      </c>
      <c r="E317" s="48" t="s">
        <v>22</v>
      </c>
      <c r="F317" s="48" t="s">
        <v>23</v>
      </c>
      <c r="G317" s="53">
        <v>69347.0</v>
      </c>
      <c r="H317" s="53">
        <v>72000.0</v>
      </c>
      <c r="I317" s="53">
        <v>2653.0</v>
      </c>
      <c r="J317" s="54">
        <v>0.038256882056902246</v>
      </c>
    </row>
    <row r="318" ht="26.25" customHeight="1">
      <c r="A318" s="11" t="s">
        <v>768</v>
      </c>
      <c r="B318" s="13" t="s">
        <v>17</v>
      </c>
      <c r="C318" s="16" t="s">
        <v>769</v>
      </c>
      <c r="D318" s="13" t="s">
        <v>575</v>
      </c>
      <c r="E318" s="13" t="s">
        <v>22</v>
      </c>
      <c r="F318" s="13" t="s">
        <v>23</v>
      </c>
      <c r="G318" s="22">
        <v>73360.0</v>
      </c>
      <c r="H318" s="22">
        <v>77000.0</v>
      </c>
      <c r="I318" s="22">
        <v>3640.0</v>
      </c>
      <c r="J318" s="46">
        <v>0.04961832061068702</v>
      </c>
    </row>
    <row r="319" ht="26.25" customHeight="1">
      <c r="A319" s="47" t="s">
        <v>770</v>
      </c>
      <c r="B319" s="48" t="s">
        <v>17</v>
      </c>
      <c r="C319" s="50" t="s">
        <v>771</v>
      </c>
      <c r="D319" s="48" t="s">
        <v>575</v>
      </c>
      <c r="E319" s="48" t="s">
        <v>22</v>
      </c>
      <c r="F319" s="48" t="s">
        <v>23</v>
      </c>
      <c r="G319" s="53">
        <v>79249.0</v>
      </c>
      <c r="H319" s="53">
        <v>82000.0</v>
      </c>
      <c r="I319" s="53">
        <v>2751.0</v>
      </c>
      <c r="J319" s="54">
        <v>0.03471337177756186</v>
      </c>
    </row>
    <row r="320" ht="26.25" customHeight="1">
      <c r="A320" s="11" t="s">
        <v>774</v>
      </c>
      <c r="B320" s="13" t="s">
        <v>17</v>
      </c>
      <c r="C320" s="16" t="s">
        <v>775</v>
      </c>
      <c r="D320" s="13" t="s">
        <v>575</v>
      </c>
      <c r="E320" s="13" t="s">
        <v>22</v>
      </c>
      <c r="F320" s="13" t="s">
        <v>23</v>
      </c>
      <c r="G320" s="22">
        <v>84189.0</v>
      </c>
      <c r="H320" s="22">
        <v>87000.0</v>
      </c>
      <c r="I320" s="22">
        <v>2811.0</v>
      </c>
      <c r="J320" s="46">
        <v>0.033389160104051595</v>
      </c>
    </row>
    <row r="321" ht="26.25" customHeight="1">
      <c r="A321" s="47" t="s">
        <v>777</v>
      </c>
      <c r="B321" s="48" t="s">
        <v>17</v>
      </c>
      <c r="C321" s="50" t="s">
        <v>778</v>
      </c>
      <c r="D321" s="48" t="s">
        <v>575</v>
      </c>
      <c r="E321" s="48" t="s">
        <v>22</v>
      </c>
      <c r="F321" s="48" t="s">
        <v>23</v>
      </c>
      <c r="G321" s="53">
        <v>89062.0</v>
      </c>
      <c r="H321" s="53">
        <v>92000.0</v>
      </c>
      <c r="I321" s="53">
        <v>2938.0</v>
      </c>
      <c r="J321" s="54">
        <v>0.03298825537266174</v>
      </c>
    </row>
    <row r="322" ht="26.25" customHeight="1">
      <c r="A322" s="11" t="s">
        <v>779</v>
      </c>
      <c r="B322" s="13" t="s">
        <v>17</v>
      </c>
      <c r="C322" s="16" t="s">
        <v>780</v>
      </c>
      <c r="D322" s="13" t="s">
        <v>575</v>
      </c>
      <c r="E322" s="13" t="s">
        <v>22</v>
      </c>
      <c r="F322" s="13" t="s">
        <v>23</v>
      </c>
      <c r="G322" s="22">
        <v>94019.0</v>
      </c>
      <c r="H322" s="22">
        <v>97000.0</v>
      </c>
      <c r="I322" s="22">
        <v>2981.0</v>
      </c>
      <c r="J322" s="46">
        <v>0.03170635722566715</v>
      </c>
    </row>
    <row r="323" ht="26.25" customHeight="1">
      <c r="A323" s="47" t="s">
        <v>781</v>
      </c>
      <c r="B323" s="48" t="s">
        <v>17</v>
      </c>
      <c r="C323" s="50" t="s">
        <v>782</v>
      </c>
      <c r="D323" s="48" t="s">
        <v>575</v>
      </c>
      <c r="E323" s="48" t="s">
        <v>22</v>
      </c>
      <c r="F323" s="48" t="s">
        <v>23</v>
      </c>
      <c r="G323" s="53">
        <v>97310.0</v>
      </c>
      <c r="H323" s="53">
        <v>103000.0</v>
      </c>
      <c r="I323" s="53">
        <v>5690.0</v>
      </c>
      <c r="J323" s="54">
        <v>0.058472921590792315</v>
      </c>
    </row>
    <row r="324" ht="26.25" customHeight="1">
      <c r="A324" s="11" t="s">
        <v>783</v>
      </c>
      <c r="B324" s="13" t="s">
        <v>17</v>
      </c>
      <c r="C324" s="16" t="s">
        <v>784</v>
      </c>
      <c r="D324" s="13" t="s">
        <v>321</v>
      </c>
      <c r="E324" s="13" t="s">
        <v>22</v>
      </c>
      <c r="F324" s="13" t="s">
        <v>23</v>
      </c>
      <c r="G324" s="22">
        <v>6483.0</v>
      </c>
      <c r="H324" s="22">
        <v>8000.0</v>
      </c>
      <c r="I324" s="22">
        <v>1517.0</v>
      </c>
      <c r="J324" s="46">
        <v>0.2339966065093321</v>
      </c>
    </row>
    <row r="325" ht="26.25" customHeight="1">
      <c r="A325" s="47" t="s">
        <v>785</v>
      </c>
      <c r="B325" s="48" t="s">
        <v>17</v>
      </c>
      <c r="C325" s="50" t="s">
        <v>786</v>
      </c>
      <c r="D325" s="48" t="s">
        <v>321</v>
      </c>
      <c r="E325" s="48" t="s">
        <v>22</v>
      </c>
      <c r="F325" s="48" t="s">
        <v>23</v>
      </c>
      <c r="G325" s="53">
        <v>11032.0</v>
      </c>
      <c r="H325" s="53">
        <v>13000.0</v>
      </c>
      <c r="I325" s="53">
        <v>1968.0</v>
      </c>
      <c r="J325" s="54">
        <v>0.1783901377810007</v>
      </c>
    </row>
    <row r="326" ht="26.25" customHeight="1">
      <c r="A326" s="11" t="s">
        <v>787</v>
      </c>
      <c r="B326" s="13" t="s">
        <v>17</v>
      </c>
      <c r="C326" s="16" t="s">
        <v>788</v>
      </c>
      <c r="D326" s="13" t="s">
        <v>321</v>
      </c>
      <c r="E326" s="13" t="s">
        <v>22</v>
      </c>
      <c r="F326" s="13" t="s">
        <v>23</v>
      </c>
      <c r="G326" s="22">
        <v>12972.0</v>
      </c>
      <c r="H326" s="22">
        <v>14500.0</v>
      </c>
      <c r="I326" s="22">
        <v>1528.0</v>
      </c>
      <c r="J326" s="46">
        <v>0.11779216774591428</v>
      </c>
    </row>
    <row r="327" ht="26.25" customHeight="1">
      <c r="A327" s="47" t="s">
        <v>789</v>
      </c>
      <c r="B327" s="48" t="s">
        <v>17</v>
      </c>
      <c r="C327" s="50" t="s">
        <v>790</v>
      </c>
      <c r="D327" s="48" t="s">
        <v>321</v>
      </c>
      <c r="E327" s="48" t="s">
        <v>22</v>
      </c>
      <c r="F327" s="48" t="s">
        <v>23</v>
      </c>
      <c r="G327" s="53">
        <v>15695.0</v>
      </c>
      <c r="H327" s="53">
        <v>17500.0</v>
      </c>
      <c r="I327" s="53">
        <v>1805.0</v>
      </c>
      <c r="J327" s="54">
        <v>0.11500477859190825</v>
      </c>
    </row>
    <row r="328" ht="26.25" customHeight="1">
      <c r="A328" s="11" t="s">
        <v>791</v>
      </c>
      <c r="B328" s="13" t="s">
        <v>17</v>
      </c>
      <c r="C328" s="16" t="s">
        <v>792</v>
      </c>
      <c r="D328" s="13" t="s">
        <v>321</v>
      </c>
      <c r="E328" s="13" t="s">
        <v>22</v>
      </c>
      <c r="F328" s="13" t="s">
        <v>23</v>
      </c>
      <c r="G328" s="22">
        <v>20583.0</v>
      </c>
      <c r="H328" s="22">
        <v>22500.0</v>
      </c>
      <c r="I328" s="22">
        <v>1917.0</v>
      </c>
      <c r="J328" s="46">
        <v>0.09313511149978138</v>
      </c>
    </row>
    <row r="329" ht="26.25" customHeight="1">
      <c r="A329" s="47" t="s">
        <v>793</v>
      </c>
      <c r="B329" s="48" t="s">
        <v>17</v>
      </c>
      <c r="C329" s="50" t="s">
        <v>794</v>
      </c>
      <c r="D329" s="48" t="s">
        <v>321</v>
      </c>
      <c r="E329" s="48" t="s">
        <v>22</v>
      </c>
      <c r="F329" s="48" t="s">
        <v>23</v>
      </c>
      <c r="G329" s="53">
        <v>25370.0</v>
      </c>
      <c r="H329" s="53">
        <v>27000.0</v>
      </c>
      <c r="I329" s="53">
        <v>1630.0</v>
      </c>
      <c r="J329" s="54">
        <v>0.06424911312573907</v>
      </c>
    </row>
    <row r="330" ht="26.25" customHeight="1">
      <c r="A330" s="11" t="s">
        <v>795</v>
      </c>
      <c r="B330" s="13" t="s">
        <v>17</v>
      </c>
      <c r="C330" s="16" t="s">
        <v>796</v>
      </c>
      <c r="D330" s="13" t="s">
        <v>321</v>
      </c>
      <c r="E330" s="13" t="s">
        <v>22</v>
      </c>
      <c r="F330" s="13" t="s">
        <v>23</v>
      </c>
      <c r="G330" s="22">
        <v>30472.0</v>
      </c>
      <c r="H330" s="22">
        <v>32500.0</v>
      </c>
      <c r="I330" s="22">
        <v>2028.0</v>
      </c>
      <c r="J330" s="46">
        <v>0.06655290102389079</v>
      </c>
    </row>
    <row r="331" ht="26.25" customHeight="1">
      <c r="A331" s="47" t="s">
        <v>797</v>
      </c>
      <c r="B331" s="48" t="s">
        <v>17</v>
      </c>
      <c r="C331" s="50" t="s">
        <v>798</v>
      </c>
      <c r="D331" s="48" t="s">
        <v>321</v>
      </c>
      <c r="E331" s="48" t="s">
        <v>22</v>
      </c>
      <c r="F331" s="48" t="s">
        <v>23</v>
      </c>
      <c r="G331" s="53">
        <v>39900.0</v>
      </c>
      <c r="H331" s="53">
        <v>42000.0</v>
      </c>
      <c r="I331" s="53">
        <v>2100.0</v>
      </c>
      <c r="J331" s="54">
        <v>0.05263157894736842</v>
      </c>
    </row>
    <row r="332" ht="26.25" customHeight="1">
      <c r="A332" s="11" t="s">
        <v>799</v>
      </c>
      <c r="B332" s="13" t="s">
        <v>17</v>
      </c>
      <c r="C332" s="16" t="s">
        <v>800</v>
      </c>
      <c r="D332" s="13" t="s">
        <v>321</v>
      </c>
      <c r="E332" s="13" t="s">
        <v>22</v>
      </c>
      <c r="F332" s="13" t="s">
        <v>23</v>
      </c>
      <c r="G332" s="22">
        <v>49770.0</v>
      </c>
      <c r="H332" s="22">
        <v>52000.0</v>
      </c>
      <c r="I332" s="22">
        <v>2230.0</v>
      </c>
      <c r="J332" s="46">
        <v>0.04480610809724734</v>
      </c>
    </row>
    <row r="333" ht="26.25" customHeight="1">
      <c r="A333" s="47" t="s">
        <v>801</v>
      </c>
      <c r="B333" s="48" t="s">
        <v>17</v>
      </c>
      <c r="C333" s="50" t="s">
        <v>802</v>
      </c>
      <c r="D333" s="48" t="s">
        <v>321</v>
      </c>
      <c r="E333" s="48" t="s">
        <v>22</v>
      </c>
      <c r="F333" s="48" t="s">
        <v>23</v>
      </c>
      <c r="G333" s="53">
        <v>58960.0</v>
      </c>
      <c r="H333" s="53">
        <v>62000.0</v>
      </c>
      <c r="I333" s="53">
        <v>3040.0</v>
      </c>
      <c r="J333" s="54">
        <v>0.051560379918588875</v>
      </c>
    </row>
    <row r="334" ht="26.25" customHeight="1">
      <c r="A334" s="11" t="s">
        <v>804</v>
      </c>
      <c r="B334" s="13" t="s">
        <v>17</v>
      </c>
      <c r="C334" s="16" t="s">
        <v>805</v>
      </c>
      <c r="D334" s="13" t="s">
        <v>321</v>
      </c>
      <c r="E334" s="13" t="s">
        <v>22</v>
      </c>
      <c r="F334" s="13" t="s">
        <v>23</v>
      </c>
      <c r="G334" s="22">
        <v>68800.0</v>
      </c>
      <c r="H334" s="22">
        <v>72000.0</v>
      </c>
      <c r="I334" s="22">
        <v>3200.0</v>
      </c>
      <c r="J334" s="46">
        <v>0.046511627906976744</v>
      </c>
    </row>
    <row r="335" ht="26.25" customHeight="1">
      <c r="A335" s="47" t="s">
        <v>806</v>
      </c>
      <c r="B335" s="48" t="s">
        <v>17</v>
      </c>
      <c r="C335" s="50" t="s">
        <v>808</v>
      </c>
      <c r="D335" s="48" t="s">
        <v>321</v>
      </c>
      <c r="E335" s="48" t="s">
        <v>22</v>
      </c>
      <c r="F335" s="48" t="s">
        <v>23</v>
      </c>
      <c r="G335" s="53">
        <v>78990.0</v>
      </c>
      <c r="H335" s="53">
        <v>82000.0</v>
      </c>
      <c r="I335" s="53">
        <v>3010.0</v>
      </c>
      <c r="J335" s="54">
        <v>0.038106089378402326</v>
      </c>
    </row>
    <row r="336" ht="26.25" customHeight="1">
      <c r="A336" s="11" t="s">
        <v>809</v>
      </c>
      <c r="B336" s="13" t="s">
        <v>17</v>
      </c>
      <c r="C336" s="16" t="s">
        <v>811</v>
      </c>
      <c r="D336" s="13" t="s">
        <v>321</v>
      </c>
      <c r="E336" s="13" t="s">
        <v>22</v>
      </c>
      <c r="F336" s="13" t="s">
        <v>23</v>
      </c>
      <c r="G336" s="22">
        <v>88545.0</v>
      </c>
      <c r="H336" s="22">
        <v>93000.0</v>
      </c>
      <c r="I336" s="22">
        <v>4455.0</v>
      </c>
      <c r="J336" s="46">
        <v>0.05031339996611892</v>
      </c>
    </row>
    <row r="337" ht="26.25" customHeight="1">
      <c r="A337" s="47" t="s">
        <v>812</v>
      </c>
      <c r="B337" s="48" t="s">
        <v>17</v>
      </c>
      <c r="C337" s="50" t="s">
        <v>813</v>
      </c>
      <c r="D337" s="48" t="s">
        <v>321</v>
      </c>
      <c r="E337" s="48" t="s">
        <v>22</v>
      </c>
      <c r="F337" s="48" t="s">
        <v>23</v>
      </c>
      <c r="G337" s="53">
        <v>97495.0</v>
      </c>
      <c r="H337" s="53">
        <v>100000.0</v>
      </c>
      <c r="I337" s="53">
        <v>2505.0</v>
      </c>
      <c r="J337" s="54">
        <v>0.025693625314118673</v>
      </c>
    </row>
    <row r="338" ht="26.25" customHeight="1">
      <c r="A338" s="11" t="s">
        <v>814</v>
      </c>
      <c r="B338" s="13" t="s">
        <v>17</v>
      </c>
      <c r="C338" s="16" t="s">
        <v>815</v>
      </c>
      <c r="D338" s="13" t="s">
        <v>321</v>
      </c>
      <c r="E338" s="13" t="s">
        <v>22</v>
      </c>
      <c r="F338" s="13" t="s">
        <v>23</v>
      </c>
      <c r="G338" s="22">
        <v>114000.0</v>
      </c>
      <c r="H338" s="22">
        <v>118000.0</v>
      </c>
      <c r="I338" s="22">
        <v>4000.0</v>
      </c>
      <c r="J338" s="46">
        <v>0.03508771929824561</v>
      </c>
    </row>
    <row r="339" ht="26.25" customHeight="1">
      <c r="A339" s="47" t="s">
        <v>816</v>
      </c>
      <c r="B339" s="48" t="s">
        <v>17</v>
      </c>
      <c r="C339" s="50" t="s">
        <v>817</v>
      </c>
      <c r="D339" s="48" t="s">
        <v>321</v>
      </c>
      <c r="E339" s="48" t="s">
        <v>22</v>
      </c>
      <c r="F339" s="48" t="s">
        <v>23</v>
      </c>
      <c r="G339" s="53">
        <v>122700.0</v>
      </c>
      <c r="H339" s="53">
        <v>125000.0</v>
      </c>
      <c r="I339" s="53">
        <v>2300.0</v>
      </c>
      <c r="J339" s="54">
        <v>0.018744906275468622</v>
      </c>
    </row>
    <row r="340" ht="26.25" customHeight="1">
      <c r="A340" s="11" t="s">
        <v>818</v>
      </c>
      <c r="B340" s="13" t="s">
        <v>17</v>
      </c>
      <c r="C340" s="16" t="s">
        <v>819</v>
      </c>
      <c r="D340" s="13" t="s">
        <v>321</v>
      </c>
      <c r="E340" s="13" t="s">
        <v>22</v>
      </c>
      <c r="F340" s="13" t="s">
        <v>23</v>
      </c>
      <c r="G340" s="22">
        <v>144400.0</v>
      </c>
      <c r="H340" s="22">
        <v>150000.0</v>
      </c>
      <c r="I340" s="22">
        <v>5600.0</v>
      </c>
      <c r="J340" s="46">
        <v>0.038781163434903045</v>
      </c>
    </row>
    <row r="341" ht="26.25" customHeight="1">
      <c r="A341" s="47" t="s">
        <v>820</v>
      </c>
      <c r="B341" s="48" t="s">
        <v>17</v>
      </c>
      <c r="C341" s="50" t="s">
        <v>821</v>
      </c>
      <c r="D341" s="48" t="s">
        <v>19</v>
      </c>
      <c r="E341" s="48" t="s">
        <v>22</v>
      </c>
      <c r="F341" s="48" t="s">
        <v>23</v>
      </c>
      <c r="G341" s="53">
        <v>6483.0</v>
      </c>
      <c r="H341" s="53">
        <v>7000.0</v>
      </c>
      <c r="I341" s="53">
        <v>517.0</v>
      </c>
      <c r="J341" s="54">
        <v>0.07974703069566559</v>
      </c>
    </row>
    <row r="342" ht="26.25" customHeight="1">
      <c r="A342" s="11" t="s">
        <v>822</v>
      </c>
      <c r="B342" s="13" t="s">
        <v>17</v>
      </c>
      <c r="C342" s="16" t="s">
        <v>823</v>
      </c>
      <c r="D342" s="13" t="s">
        <v>19</v>
      </c>
      <c r="E342" s="13" t="s">
        <v>22</v>
      </c>
      <c r="F342" s="13" t="s">
        <v>23</v>
      </c>
      <c r="G342" s="22">
        <v>10835.0</v>
      </c>
      <c r="H342" s="22">
        <v>12500.0</v>
      </c>
      <c r="I342" s="22">
        <v>1665.0</v>
      </c>
      <c r="J342" s="46">
        <v>0.15366866635902168</v>
      </c>
    </row>
    <row r="343" ht="26.25" customHeight="1">
      <c r="A343" s="47" t="s">
        <v>824</v>
      </c>
      <c r="B343" s="48" t="s">
        <v>17</v>
      </c>
      <c r="C343" s="50" t="s">
        <v>825</v>
      </c>
      <c r="D343" s="48" t="s">
        <v>19</v>
      </c>
      <c r="E343" s="48" t="s">
        <v>22</v>
      </c>
      <c r="F343" s="48" t="s">
        <v>23</v>
      </c>
      <c r="G343" s="53">
        <v>14990.0</v>
      </c>
      <c r="H343" s="53">
        <v>17000.0</v>
      </c>
      <c r="I343" s="53">
        <v>2010.0</v>
      </c>
      <c r="J343" s="54">
        <v>0.13408939292861907</v>
      </c>
    </row>
    <row r="344" ht="26.25" customHeight="1">
      <c r="A344" s="11" t="s">
        <v>826</v>
      </c>
      <c r="B344" s="13" t="s">
        <v>17</v>
      </c>
      <c r="C344" s="16" t="s">
        <v>827</v>
      </c>
      <c r="D344" s="13" t="s">
        <v>19</v>
      </c>
      <c r="E344" s="13" t="s">
        <v>22</v>
      </c>
      <c r="F344" s="13" t="s">
        <v>23</v>
      </c>
      <c r="G344" s="22">
        <v>24985.0</v>
      </c>
      <c r="H344" s="22">
        <v>27000.0</v>
      </c>
      <c r="I344" s="22">
        <v>2015.0</v>
      </c>
      <c r="J344" s="46">
        <v>0.08064838903342005</v>
      </c>
    </row>
    <row r="345" ht="26.25" customHeight="1">
      <c r="A345" s="47" t="s">
        <v>828</v>
      </c>
      <c r="B345" s="48" t="s">
        <v>17</v>
      </c>
      <c r="C345" s="50" t="s">
        <v>829</v>
      </c>
      <c r="D345" s="48" t="s">
        <v>19</v>
      </c>
      <c r="E345" s="48" t="s">
        <v>22</v>
      </c>
      <c r="F345" s="48" t="s">
        <v>23</v>
      </c>
      <c r="G345" s="53">
        <v>29975.0</v>
      </c>
      <c r="H345" s="53">
        <v>32500.0</v>
      </c>
      <c r="I345" s="53">
        <v>2525.0</v>
      </c>
      <c r="J345" s="54">
        <v>0.08423686405337781</v>
      </c>
    </row>
    <row r="346" ht="26.25" customHeight="1">
      <c r="A346" s="11" t="s">
        <v>830</v>
      </c>
      <c r="B346" s="13" t="s">
        <v>17</v>
      </c>
      <c r="C346" s="16" t="s">
        <v>831</v>
      </c>
      <c r="D346" s="13" t="s">
        <v>19</v>
      </c>
      <c r="E346" s="13" t="s">
        <v>22</v>
      </c>
      <c r="F346" s="13" t="s">
        <v>23</v>
      </c>
      <c r="G346" s="22">
        <v>40047.0</v>
      </c>
      <c r="H346" s="22">
        <v>42000.0</v>
      </c>
      <c r="I346" s="22">
        <v>1953.0</v>
      </c>
      <c r="J346" s="46">
        <v>0.04876769795490299</v>
      </c>
    </row>
    <row r="347" ht="26.25" customHeight="1">
      <c r="A347" s="47" t="s">
        <v>832</v>
      </c>
      <c r="B347" s="48" t="s">
        <v>17</v>
      </c>
      <c r="C347" s="50" t="s">
        <v>833</v>
      </c>
      <c r="D347" s="48" t="s">
        <v>19</v>
      </c>
      <c r="E347" s="48" t="s">
        <v>22</v>
      </c>
      <c r="F347" s="48" t="s">
        <v>23</v>
      </c>
      <c r="G347" s="53">
        <v>49770.0</v>
      </c>
      <c r="H347" s="53">
        <v>52000.0</v>
      </c>
      <c r="I347" s="53">
        <v>2230.0</v>
      </c>
      <c r="J347" s="54">
        <v>0.04480610809724734</v>
      </c>
    </row>
    <row r="348" ht="26.25" customHeight="1">
      <c r="A348" s="11" t="s">
        <v>835</v>
      </c>
      <c r="B348" s="13" t="s">
        <v>17</v>
      </c>
      <c r="C348" s="16" t="s">
        <v>836</v>
      </c>
      <c r="D348" s="13" t="s">
        <v>19</v>
      </c>
      <c r="E348" s="13" t="s">
        <v>22</v>
      </c>
      <c r="F348" s="13" t="s">
        <v>23</v>
      </c>
      <c r="G348" s="22">
        <v>59935.0</v>
      </c>
      <c r="H348" s="22">
        <v>62000.0</v>
      </c>
      <c r="I348" s="22">
        <v>2065.0</v>
      </c>
      <c r="J348" s="46">
        <v>0.03445399182447652</v>
      </c>
    </row>
    <row r="349" ht="26.25" customHeight="1">
      <c r="A349" s="47" t="s">
        <v>837</v>
      </c>
      <c r="B349" s="48" t="s">
        <v>17</v>
      </c>
      <c r="C349" s="50" t="s">
        <v>838</v>
      </c>
      <c r="D349" s="48" t="s">
        <v>19</v>
      </c>
      <c r="E349" s="48" t="s">
        <v>22</v>
      </c>
      <c r="F349" s="48" t="s">
        <v>23</v>
      </c>
      <c r="G349" s="53">
        <v>69974.0</v>
      </c>
      <c r="H349" s="53">
        <v>72000.0</v>
      </c>
      <c r="I349" s="53">
        <v>2026.0</v>
      </c>
      <c r="J349" s="54">
        <v>0.02895361134135536</v>
      </c>
    </row>
    <row r="350" ht="26.25" customHeight="1">
      <c r="A350" s="11" t="s">
        <v>839</v>
      </c>
      <c r="B350" s="13" t="s">
        <v>17</v>
      </c>
      <c r="C350" s="16" t="s">
        <v>841</v>
      </c>
      <c r="D350" s="13" t="s">
        <v>19</v>
      </c>
      <c r="E350" s="13" t="s">
        <v>22</v>
      </c>
      <c r="F350" s="13" t="s">
        <v>23</v>
      </c>
      <c r="G350" s="22">
        <v>79950.0</v>
      </c>
      <c r="H350" s="22">
        <v>82000.0</v>
      </c>
      <c r="I350" s="22">
        <v>2050.0</v>
      </c>
      <c r="J350" s="46">
        <v>0.02564102564102564</v>
      </c>
    </row>
    <row r="351" ht="26.25" customHeight="1">
      <c r="A351" s="47" t="s">
        <v>842</v>
      </c>
      <c r="B351" s="48" t="s">
        <v>17</v>
      </c>
      <c r="C351" s="50" t="s">
        <v>844</v>
      </c>
      <c r="D351" s="48" t="s">
        <v>19</v>
      </c>
      <c r="E351" s="48" t="s">
        <v>22</v>
      </c>
      <c r="F351" s="48" t="s">
        <v>23</v>
      </c>
      <c r="G351" s="53">
        <v>89930.0</v>
      </c>
      <c r="H351" s="53">
        <v>92000.0</v>
      </c>
      <c r="I351" s="53">
        <v>2070.0</v>
      </c>
      <c r="J351" s="54">
        <v>0.023017902813299233</v>
      </c>
    </row>
    <row r="352" ht="26.25" customHeight="1">
      <c r="A352" s="11" t="s">
        <v>847</v>
      </c>
      <c r="B352" s="13" t="s">
        <v>17</v>
      </c>
      <c r="C352" s="16" t="s">
        <v>848</v>
      </c>
      <c r="D352" s="13" t="s">
        <v>19</v>
      </c>
      <c r="E352" s="13" t="s">
        <v>22</v>
      </c>
      <c r="F352" s="13" t="s">
        <v>23</v>
      </c>
      <c r="G352" s="22">
        <v>99431.0</v>
      </c>
      <c r="H352" s="22">
        <v>103000.0</v>
      </c>
      <c r="I352" s="22">
        <v>3569.0</v>
      </c>
      <c r="J352" s="46">
        <v>0.035894238215445885</v>
      </c>
    </row>
    <row r="353" ht="26.25" customHeight="1">
      <c r="A353" s="47" t="s">
        <v>849</v>
      </c>
      <c r="B353" s="48" t="s">
        <v>17</v>
      </c>
      <c r="C353" s="50" t="s">
        <v>850</v>
      </c>
      <c r="D353" s="48" t="s">
        <v>19</v>
      </c>
      <c r="E353" s="48" t="s">
        <v>22</v>
      </c>
      <c r="F353" s="48" t="s">
        <v>23</v>
      </c>
      <c r="G353" s="53">
        <v>149945.0</v>
      </c>
      <c r="H353" s="53">
        <v>155000.0</v>
      </c>
      <c r="I353" s="53">
        <v>5055.0</v>
      </c>
      <c r="J353" s="54">
        <v>0.03371236119910634</v>
      </c>
    </row>
    <row r="354" ht="26.25" customHeight="1">
      <c r="A354" s="11" t="s">
        <v>851</v>
      </c>
      <c r="B354" s="13" t="s">
        <v>17</v>
      </c>
      <c r="C354" s="16" t="s">
        <v>852</v>
      </c>
      <c r="D354" s="13" t="s">
        <v>254</v>
      </c>
      <c r="E354" s="13" t="s">
        <v>22</v>
      </c>
      <c r="F354" s="13" t="s">
        <v>23</v>
      </c>
      <c r="G354" s="22">
        <v>5885.0</v>
      </c>
      <c r="H354" s="22">
        <v>8000.0</v>
      </c>
      <c r="I354" s="22">
        <v>2115.0</v>
      </c>
      <c r="J354" s="46">
        <v>0.35938827527612577</v>
      </c>
    </row>
    <row r="355" ht="26.25" customHeight="1">
      <c r="A355" s="47" t="s">
        <v>853</v>
      </c>
      <c r="B355" s="48" t="s">
        <v>17</v>
      </c>
      <c r="C355" s="50" t="s">
        <v>854</v>
      </c>
      <c r="D355" s="48" t="s">
        <v>254</v>
      </c>
      <c r="E355" s="48" t="s">
        <v>22</v>
      </c>
      <c r="F355" s="48" t="s">
        <v>23</v>
      </c>
      <c r="G355" s="53">
        <v>10901.0</v>
      </c>
      <c r="H355" s="53">
        <v>13000.0</v>
      </c>
      <c r="I355" s="53">
        <v>2099.0</v>
      </c>
      <c r="J355" s="54">
        <v>0.19255114209705532</v>
      </c>
    </row>
    <row r="356" ht="26.25" customHeight="1">
      <c r="A356" s="11" t="s">
        <v>855</v>
      </c>
      <c r="B356" s="13" t="s">
        <v>17</v>
      </c>
      <c r="C356" s="16" t="s">
        <v>856</v>
      </c>
      <c r="D356" s="13" t="s">
        <v>254</v>
      </c>
      <c r="E356" s="13" t="s">
        <v>22</v>
      </c>
      <c r="F356" s="13" t="s">
        <v>23</v>
      </c>
      <c r="G356" s="22">
        <v>15042.0</v>
      </c>
      <c r="H356" s="22">
        <v>17000.0</v>
      </c>
      <c r="I356" s="22">
        <v>1958.0</v>
      </c>
      <c r="J356" s="46">
        <v>0.1301688605238665</v>
      </c>
    </row>
    <row r="357" ht="26.25" customHeight="1">
      <c r="A357" s="47" t="s">
        <v>857</v>
      </c>
      <c r="B357" s="48" t="s">
        <v>17</v>
      </c>
      <c r="C357" s="50" t="s">
        <v>858</v>
      </c>
      <c r="D357" s="48" t="s">
        <v>254</v>
      </c>
      <c r="E357" s="48" t="s">
        <v>22</v>
      </c>
      <c r="F357" s="48" t="s">
        <v>23</v>
      </c>
      <c r="G357" s="53">
        <v>20035.0</v>
      </c>
      <c r="H357" s="53">
        <v>22000.0</v>
      </c>
      <c r="I357" s="53">
        <v>1965.0</v>
      </c>
      <c r="J357" s="54">
        <v>0.09807836286498628</v>
      </c>
    </row>
    <row r="358" ht="26.25" customHeight="1">
      <c r="A358" s="11" t="s">
        <v>859</v>
      </c>
      <c r="B358" s="13" t="s">
        <v>17</v>
      </c>
      <c r="C358" s="16" t="s">
        <v>860</v>
      </c>
      <c r="D358" s="13" t="s">
        <v>254</v>
      </c>
      <c r="E358" s="13" t="s">
        <v>22</v>
      </c>
      <c r="F358" s="13" t="s">
        <v>23</v>
      </c>
      <c r="G358" s="22">
        <v>25069.0</v>
      </c>
      <c r="H358" s="22">
        <v>27000.0</v>
      </c>
      <c r="I358" s="22">
        <v>1931.0</v>
      </c>
      <c r="J358" s="46">
        <v>0.07702740436395548</v>
      </c>
    </row>
    <row r="359" ht="26.25" customHeight="1">
      <c r="A359" s="47" t="s">
        <v>861</v>
      </c>
      <c r="B359" s="48" t="s">
        <v>17</v>
      </c>
      <c r="C359" s="50" t="s">
        <v>862</v>
      </c>
      <c r="D359" s="48" t="s">
        <v>254</v>
      </c>
      <c r="E359" s="48" t="s">
        <v>22</v>
      </c>
      <c r="F359" s="48" t="s">
        <v>23</v>
      </c>
      <c r="G359" s="53">
        <v>30034.0</v>
      </c>
      <c r="H359" s="53">
        <v>32500.0</v>
      </c>
      <c r="I359" s="53">
        <v>2466.0</v>
      </c>
      <c r="J359" s="54">
        <v>0.08210694546180995</v>
      </c>
    </row>
    <row r="360" ht="26.25" customHeight="1">
      <c r="A360" s="11" t="s">
        <v>863</v>
      </c>
      <c r="B360" s="13" t="s">
        <v>17</v>
      </c>
      <c r="C360" s="16" t="s">
        <v>865</v>
      </c>
      <c r="D360" s="13" t="s">
        <v>254</v>
      </c>
      <c r="E360" s="13" t="s">
        <v>22</v>
      </c>
      <c r="F360" s="13" t="s">
        <v>23</v>
      </c>
      <c r="G360" s="22">
        <v>40110.0</v>
      </c>
      <c r="H360" s="22">
        <v>42500.0</v>
      </c>
      <c r="I360" s="22">
        <v>2390.0</v>
      </c>
      <c r="J360" s="46">
        <v>0.05958613812016953</v>
      </c>
    </row>
    <row r="361" ht="26.25" customHeight="1">
      <c r="A361" s="47" t="s">
        <v>866</v>
      </c>
      <c r="B361" s="48" t="s">
        <v>17</v>
      </c>
      <c r="C361" s="50" t="s">
        <v>867</v>
      </c>
      <c r="D361" s="48" t="s">
        <v>254</v>
      </c>
      <c r="E361" s="48" t="s">
        <v>22</v>
      </c>
      <c r="F361" s="48" t="s">
        <v>23</v>
      </c>
      <c r="G361" s="53">
        <v>50044.0</v>
      </c>
      <c r="H361" s="53">
        <v>52500.0</v>
      </c>
      <c r="I361" s="53">
        <v>2456.0</v>
      </c>
      <c r="J361" s="54">
        <v>0.04907681240508353</v>
      </c>
    </row>
    <row r="362" ht="26.25" customHeight="1">
      <c r="A362" s="11" t="s">
        <v>868</v>
      </c>
      <c r="B362" s="13" t="s">
        <v>17</v>
      </c>
      <c r="C362" s="16" t="s">
        <v>869</v>
      </c>
      <c r="D362" s="13" t="s">
        <v>254</v>
      </c>
      <c r="E362" s="13" t="s">
        <v>22</v>
      </c>
      <c r="F362" s="13" t="s">
        <v>23</v>
      </c>
      <c r="G362" s="22">
        <v>60115.0</v>
      </c>
      <c r="H362" s="22">
        <v>62500.0</v>
      </c>
      <c r="I362" s="22">
        <v>2385.0</v>
      </c>
      <c r="J362" s="46">
        <v>0.039673958246693834</v>
      </c>
    </row>
    <row r="363" ht="26.25" customHeight="1">
      <c r="A363" s="47" t="s">
        <v>870</v>
      </c>
      <c r="B363" s="48" t="s">
        <v>17</v>
      </c>
      <c r="C363" s="50" t="s">
        <v>871</v>
      </c>
      <c r="D363" s="48" t="s">
        <v>254</v>
      </c>
      <c r="E363" s="48" t="s">
        <v>22</v>
      </c>
      <c r="F363" s="48" t="s">
        <v>23</v>
      </c>
      <c r="G363" s="53">
        <v>70095.0</v>
      </c>
      <c r="H363" s="53">
        <v>73000.0</v>
      </c>
      <c r="I363" s="53">
        <v>2905.0</v>
      </c>
      <c r="J363" s="54">
        <v>0.04144375490405878</v>
      </c>
    </row>
    <row r="364" ht="26.25" customHeight="1">
      <c r="A364" s="11" t="s">
        <v>873</v>
      </c>
      <c r="B364" s="13" t="s">
        <v>17</v>
      </c>
      <c r="C364" s="16" t="s">
        <v>874</v>
      </c>
      <c r="D364" s="13" t="s">
        <v>254</v>
      </c>
      <c r="E364" s="13" t="s">
        <v>22</v>
      </c>
      <c r="F364" s="13" t="s">
        <v>23</v>
      </c>
      <c r="G364" s="22">
        <v>80109.0</v>
      </c>
      <c r="H364" s="22">
        <v>83000.0</v>
      </c>
      <c r="I364" s="22">
        <v>2891.0</v>
      </c>
      <c r="J364" s="46">
        <v>0.036088329650850716</v>
      </c>
    </row>
    <row r="365" ht="26.25" customHeight="1">
      <c r="A365" s="47" t="s">
        <v>876</v>
      </c>
      <c r="B365" s="48" t="s">
        <v>17</v>
      </c>
      <c r="C365" s="50" t="s">
        <v>877</v>
      </c>
      <c r="D365" s="48" t="s">
        <v>254</v>
      </c>
      <c r="E365" s="48" t="s">
        <v>22</v>
      </c>
      <c r="F365" s="48" t="s">
        <v>23</v>
      </c>
      <c r="G365" s="53">
        <v>90125.0</v>
      </c>
      <c r="H365" s="53">
        <v>93000.0</v>
      </c>
      <c r="I365" s="53">
        <v>2875.0</v>
      </c>
      <c r="J365" s="54">
        <v>0.0319001386962552</v>
      </c>
    </row>
    <row r="366" ht="26.25" customHeight="1">
      <c r="A366" s="11" t="s">
        <v>878</v>
      </c>
      <c r="B366" s="13" t="s">
        <v>17</v>
      </c>
      <c r="C366" s="16" t="s">
        <v>879</v>
      </c>
      <c r="D366" s="13" t="s">
        <v>254</v>
      </c>
      <c r="E366" s="13" t="s">
        <v>22</v>
      </c>
      <c r="F366" s="13" t="s">
        <v>23</v>
      </c>
      <c r="G366" s="22">
        <v>99830.0</v>
      </c>
      <c r="H366" s="22">
        <v>103000.0</v>
      </c>
      <c r="I366" s="22">
        <v>3170.0</v>
      </c>
      <c r="J366" s="46">
        <v>0.03175398176900731</v>
      </c>
    </row>
    <row r="367" ht="26.25" customHeight="1">
      <c r="A367" s="47" t="s">
        <v>880</v>
      </c>
      <c r="B367" s="48" t="s">
        <v>881</v>
      </c>
      <c r="C367" s="50" t="s">
        <v>882</v>
      </c>
      <c r="D367" s="48" t="s">
        <v>883</v>
      </c>
      <c r="E367" s="48" t="s">
        <v>22</v>
      </c>
      <c r="F367" s="48" t="s">
        <v>23</v>
      </c>
      <c r="G367" s="53">
        <v>0.0</v>
      </c>
      <c r="H367" s="53">
        <v>0.0</v>
      </c>
      <c r="I367" s="53">
        <v>0.0</v>
      </c>
      <c r="J367" s="54">
        <v>0.0</v>
      </c>
    </row>
    <row r="368" ht="26.25" customHeight="1">
      <c r="A368" s="11" t="s">
        <v>884</v>
      </c>
      <c r="B368" s="13" t="s">
        <v>881</v>
      </c>
      <c r="C368" s="16" t="s">
        <v>885</v>
      </c>
      <c r="D368" s="13" t="s">
        <v>883</v>
      </c>
      <c r="E368" s="13" t="s">
        <v>22</v>
      </c>
      <c r="F368" s="13" t="s">
        <v>23</v>
      </c>
      <c r="G368" s="22">
        <v>0.0</v>
      </c>
      <c r="H368" s="22">
        <v>0.0</v>
      </c>
      <c r="I368" s="22">
        <v>0.0</v>
      </c>
      <c r="J368" s="46">
        <v>0.0</v>
      </c>
    </row>
    <row r="369" ht="26.25" customHeight="1">
      <c r="A369" s="47" t="s">
        <v>886</v>
      </c>
      <c r="B369" s="48" t="s">
        <v>881</v>
      </c>
      <c r="C369" s="50" t="s">
        <v>887</v>
      </c>
      <c r="D369" s="48" t="s">
        <v>883</v>
      </c>
      <c r="E369" s="48" t="s">
        <v>22</v>
      </c>
      <c r="F369" s="48" t="s">
        <v>23</v>
      </c>
      <c r="G369" s="53">
        <v>0.0</v>
      </c>
      <c r="H369" s="53">
        <v>0.0</v>
      </c>
      <c r="I369" s="53">
        <v>0.0</v>
      </c>
      <c r="J369" s="54">
        <v>0.0</v>
      </c>
    </row>
    <row r="370" ht="26.25" customHeight="1">
      <c r="A370" s="11" t="s">
        <v>888</v>
      </c>
      <c r="B370" s="13" t="s">
        <v>881</v>
      </c>
      <c r="C370" s="16" t="s">
        <v>889</v>
      </c>
      <c r="D370" s="13" t="s">
        <v>883</v>
      </c>
      <c r="E370" s="13" t="s">
        <v>22</v>
      </c>
      <c r="F370" s="13" t="s">
        <v>23</v>
      </c>
      <c r="G370" s="22">
        <v>0.0</v>
      </c>
      <c r="H370" s="22">
        <v>0.0</v>
      </c>
      <c r="I370" s="22">
        <v>0.0</v>
      </c>
      <c r="J370" s="46">
        <v>0.0</v>
      </c>
    </row>
    <row r="371" ht="26.25" customHeight="1">
      <c r="A371" s="47" t="s">
        <v>891</v>
      </c>
      <c r="B371" s="48" t="s">
        <v>881</v>
      </c>
      <c r="C371" s="50" t="s">
        <v>892</v>
      </c>
      <c r="D371" s="48" t="s">
        <v>883</v>
      </c>
      <c r="E371" s="48" t="s">
        <v>22</v>
      </c>
      <c r="F371" s="48" t="s">
        <v>23</v>
      </c>
      <c r="G371" s="53">
        <v>0.0</v>
      </c>
      <c r="H371" s="53">
        <v>0.0</v>
      </c>
      <c r="I371" s="53">
        <v>0.0</v>
      </c>
      <c r="J371" s="54">
        <v>0.0</v>
      </c>
    </row>
    <row r="372" ht="26.25" customHeight="1">
      <c r="A372" s="11" t="s">
        <v>893</v>
      </c>
      <c r="B372" s="13" t="s">
        <v>881</v>
      </c>
      <c r="C372" s="16" t="s">
        <v>894</v>
      </c>
      <c r="D372" s="13" t="s">
        <v>883</v>
      </c>
      <c r="E372" s="13" t="s">
        <v>22</v>
      </c>
      <c r="F372" s="13" t="s">
        <v>23</v>
      </c>
      <c r="G372" s="22">
        <v>0.0</v>
      </c>
      <c r="H372" s="22">
        <v>0.0</v>
      </c>
      <c r="I372" s="22">
        <v>0.0</v>
      </c>
      <c r="J372" s="46">
        <v>0.0</v>
      </c>
    </row>
    <row r="373" ht="26.25" customHeight="1">
      <c r="A373" s="47" t="s">
        <v>895</v>
      </c>
      <c r="B373" s="48" t="s">
        <v>881</v>
      </c>
      <c r="C373" s="50" t="s">
        <v>896</v>
      </c>
      <c r="D373" s="48" t="s">
        <v>883</v>
      </c>
      <c r="E373" s="48" t="s">
        <v>22</v>
      </c>
      <c r="F373" s="48" t="s">
        <v>23</v>
      </c>
      <c r="G373" s="53">
        <v>0.0</v>
      </c>
      <c r="H373" s="53">
        <v>0.0</v>
      </c>
      <c r="I373" s="53">
        <v>0.0</v>
      </c>
      <c r="J373" s="54">
        <v>0.0</v>
      </c>
    </row>
    <row r="374" ht="26.25" customHeight="1">
      <c r="A374" s="11" t="s">
        <v>897</v>
      </c>
      <c r="B374" s="13" t="s">
        <v>881</v>
      </c>
      <c r="C374" s="16" t="s">
        <v>898</v>
      </c>
      <c r="D374" s="13" t="s">
        <v>883</v>
      </c>
      <c r="E374" s="13" t="s">
        <v>22</v>
      </c>
      <c r="F374" s="13" t="s">
        <v>23</v>
      </c>
      <c r="G374" s="22">
        <v>0.0</v>
      </c>
      <c r="H374" s="22">
        <v>0.0</v>
      </c>
      <c r="I374" s="22">
        <v>0.0</v>
      </c>
      <c r="J374" s="46">
        <v>0.0</v>
      </c>
    </row>
    <row r="375" ht="26.25" customHeight="1">
      <c r="A375" s="47" t="s">
        <v>899</v>
      </c>
      <c r="B375" s="48" t="s">
        <v>881</v>
      </c>
      <c r="C375" s="50" t="s">
        <v>900</v>
      </c>
      <c r="D375" s="48" t="s">
        <v>883</v>
      </c>
      <c r="E375" s="48" t="s">
        <v>22</v>
      </c>
      <c r="F375" s="48" t="s">
        <v>23</v>
      </c>
      <c r="G375" s="53">
        <v>0.0</v>
      </c>
      <c r="H375" s="53">
        <v>0.0</v>
      </c>
      <c r="I375" s="53">
        <v>0.0</v>
      </c>
      <c r="J375" s="54">
        <v>0.0</v>
      </c>
    </row>
    <row r="376" ht="26.25" customHeight="1">
      <c r="A376" s="11" t="s">
        <v>901</v>
      </c>
      <c r="B376" s="13" t="s">
        <v>881</v>
      </c>
      <c r="C376" s="16" t="s">
        <v>902</v>
      </c>
      <c r="D376" s="13" t="s">
        <v>903</v>
      </c>
      <c r="E376" s="13" t="s">
        <v>22</v>
      </c>
      <c r="F376" s="13" t="s">
        <v>23</v>
      </c>
      <c r="G376" s="22">
        <v>0.0</v>
      </c>
      <c r="H376" s="22">
        <v>0.0</v>
      </c>
      <c r="I376" s="22">
        <v>0.0</v>
      </c>
      <c r="J376" s="46">
        <v>0.0</v>
      </c>
    </row>
    <row r="377" ht="26.25" customHeight="1">
      <c r="A377" s="47" t="s">
        <v>904</v>
      </c>
      <c r="B377" s="48" t="s">
        <v>881</v>
      </c>
      <c r="C377" s="50" t="s">
        <v>905</v>
      </c>
      <c r="D377" s="48" t="s">
        <v>903</v>
      </c>
      <c r="E377" s="48" t="s">
        <v>22</v>
      </c>
      <c r="F377" s="48" t="s">
        <v>23</v>
      </c>
      <c r="G377" s="53">
        <v>0.0</v>
      </c>
      <c r="H377" s="53">
        <v>0.0</v>
      </c>
      <c r="I377" s="53">
        <v>0.0</v>
      </c>
      <c r="J377" s="54">
        <v>0.0</v>
      </c>
    </row>
    <row r="378" ht="26.25" customHeight="1">
      <c r="A378" s="11" t="s">
        <v>906</v>
      </c>
      <c r="B378" s="13" t="s">
        <v>881</v>
      </c>
      <c r="C378" s="16" t="s">
        <v>907</v>
      </c>
      <c r="D378" s="13" t="s">
        <v>903</v>
      </c>
      <c r="E378" s="13" t="s">
        <v>22</v>
      </c>
      <c r="F378" s="13" t="s">
        <v>23</v>
      </c>
      <c r="G378" s="22">
        <v>0.0</v>
      </c>
      <c r="H378" s="22">
        <v>0.0</v>
      </c>
      <c r="I378" s="22">
        <v>0.0</v>
      </c>
      <c r="J378" s="46">
        <v>0.0</v>
      </c>
    </row>
    <row r="379" ht="26.25" customHeight="1">
      <c r="A379" s="47" t="s">
        <v>909</v>
      </c>
      <c r="B379" s="48" t="s">
        <v>881</v>
      </c>
      <c r="C379" s="50" t="s">
        <v>910</v>
      </c>
      <c r="D379" s="48" t="s">
        <v>911</v>
      </c>
      <c r="E379" s="48" t="s">
        <v>22</v>
      </c>
      <c r="F379" s="48" t="s">
        <v>23</v>
      </c>
      <c r="G379" s="53">
        <v>0.0</v>
      </c>
      <c r="H379" s="53">
        <v>0.0</v>
      </c>
      <c r="I379" s="53">
        <v>0.0</v>
      </c>
      <c r="J379" s="54">
        <v>0.0</v>
      </c>
    </row>
    <row r="380" ht="26.25" customHeight="1">
      <c r="A380" s="11" t="s">
        <v>913</v>
      </c>
      <c r="B380" s="13" t="s">
        <v>881</v>
      </c>
      <c r="C380" s="16" t="s">
        <v>914</v>
      </c>
      <c r="D380" s="13" t="s">
        <v>911</v>
      </c>
      <c r="E380" s="13" t="s">
        <v>22</v>
      </c>
      <c r="F380" s="13" t="s">
        <v>23</v>
      </c>
      <c r="G380" s="22">
        <v>0.0</v>
      </c>
      <c r="H380" s="22">
        <v>0.0</v>
      </c>
      <c r="I380" s="22">
        <v>0.0</v>
      </c>
      <c r="J380" s="46">
        <v>0.0</v>
      </c>
    </row>
    <row r="381" ht="26.25" customHeight="1">
      <c r="A381" s="47" t="s">
        <v>915</v>
      </c>
      <c r="B381" s="48" t="s">
        <v>881</v>
      </c>
      <c r="C381" s="50" t="s">
        <v>916</v>
      </c>
      <c r="D381" s="48" t="s">
        <v>911</v>
      </c>
      <c r="E381" s="48" t="s">
        <v>22</v>
      </c>
      <c r="F381" s="48" t="s">
        <v>23</v>
      </c>
      <c r="G381" s="53">
        <v>0.0</v>
      </c>
      <c r="H381" s="53">
        <v>0.0</v>
      </c>
      <c r="I381" s="53">
        <v>0.0</v>
      </c>
      <c r="J381" s="54">
        <v>0.0</v>
      </c>
    </row>
    <row r="382" ht="26.25" customHeight="1">
      <c r="A382" s="11" t="s">
        <v>917</v>
      </c>
      <c r="B382" s="13" t="s">
        <v>918</v>
      </c>
      <c r="C382" s="16" t="s">
        <v>919</v>
      </c>
      <c r="D382" s="13" t="s">
        <v>920</v>
      </c>
      <c r="E382" s="13" t="s">
        <v>22</v>
      </c>
      <c r="F382" s="13" t="s">
        <v>23</v>
      </c>
      <c r="G382" s="22">
        <v>0.0</v>
      </c>
      <c r="H382" s="22">
        <v>0.0</v>
      </c>
      <c r="I382" s="22">
        <v>0.0</v>
      </c>
      <c r="J382" s="46">
        <v>0.0</v>
      </c>
    </row>
    <row r="383" ht="26.25" customHeight="1">
      <c r="A383" s="47" t="s">
        <v>922</v>
      </c>
      <c r="B383" s="48" t="s">
        <v>918</v>
      </c>
      <c r="C383" s="50" t="s">
        <v>923</v>
      </c>
      <c r="D383" s="48" t="s">
        <v>920</v>
      </c>
      <c r="E383" s="48" t="s">
        <v>22</v>
      </c>
      <c r="F383" s="48" t="s">
        <v>23</v>
      </c>
      <c r="G383" s="53">
        <v>0.0</v>
      </c>
      <c r="H383" s="53">
        <v>0.0</v>
      </c>
      <c r="I383" s="53">
        <v>0.0</v>
      </c>
      <c r="J383" s="54">
        <v>0.0</v>
      </c>
    </row>
    <row r="384" ht="26.25" customHeight="1">
      <c r="A384" s="11" t="s">
        <v>924</v>
      </c>
      <c r="B384" s="13" t="s">
        <v>918</v>
      </c>
      <c r="C384" s="16" t="s">
        <v>925</v>
      </c>
      <c r="D384" s="13" t="s">
        <v>920</v>
      </c>
      <c r="E384" s="13" t="s">
        <v>22</v>
      </c>
      <c r="F384" s="13" t="s">
        <v>23</v>
      </c>
      <c r="G384" s="22">
        <v>0.0</v>
      </c>
      <c r="H384" s="22">
        <v>0.0</v>
      </c>
      <c r="I384" s="22">
        <v>0.0</v>
      </c>
      <c r="J384" s="46">
        <v>0.0</v>
      </c>
    </row>
    <row r="385" ht="26.25" customHeight="1">
      <c r="A385" s="47" t="s">
        <v>926</v>
      </c>
      <c r="B385" s="48" t="s">
        <v>927</v>
      </c>
      <c r="C385" s="50" t="s">
        <v>928</v>
      </c>
      <c r="D385" s="48" t="s">
        <v>927</v>
      </c>
      <c r="E385" s="48" t="s">
        <v>22</v>
      </c>
      <c r="F385" s="48" t="s">
        <v>23</v>
      </c>
      <c r="G385" s="53">
        <v>0.0</v>
      </c>
      <c r="H385" s="53">
        <v>0.0</v>
      </c>
      <c r="I385" s="53">
        <v>0.0</v>
      </c>
      <c r="J385" s="54">
        <v>0.0</v>
      </c>
    </row>
    <row r="386" ht="26.25" customHeight="1">
      <c r="A386" s="11" t="s">
        <v>929</v>
      </c>
      <c r="B386" s="13" t="s">
        <v>927</v>
      </c>
      <c r="C386" s="16" t="s">
        <v>930</v>
      </c>
      <c r="D386" s="13" t="s">
        <v>927</v>
      </c>
      <c r="E386" s="13" t="s">
        <v>22</v>
      </c>
      <c r="F386" s="13" t="s">
        <v>23</v>
      </c>
      <c r="G386" s="22">
        <v>0.0</v>
      </c>
      <c r="H386" s="22">
        <v>0.0</v>
      </c>
      <c r="I386" s="22">
        <v>0.0</v>
      </c>
      <c r="J386" s="46">
        <v>0.0</v>
      </c>
    </row>
    <row r="387" ht="26.25" customHeight="1">
      <c r="A387" s="47" t="s">
        <v>931</v>
      </c>
      <c r="B387" s="48" t="s">
        <v>927</v>
      </c>
      <c r="C387" s="50" t="s">
        <v>932</v>
      </c>
      <c r="D387" s="48" t="s">
        <v>927</v>
      </c>
      <c r="E387" s="48" t="s">
        <v>22</v>
      </c>
      <c r="F387" s="48" t="s">
        <v>23</v>
      </c>
      <c r="G387" s="53">
        <v>0.0</v>
      </c>
      <c r="H387" s="53">
        <v>0.0</v>
      </c>
      <c r="I387" s="53">
        <v>0.0</v>
      </c>
      <c r="J387" s="54">
        <v>0.0</v>
      </c>
    </row>
    <row r="388" ht="26.25" customHeight="1">
      <c r="A388" s="11" t="s">
        <v>933</v>
      </c>
      <c r="B388" s="13" t="s">
        <v>934</v>
      </c>
      <c r="C388" s="16" t="s">
        <v>935</v>
      </c>
      <c r="D388" s="13" t="s">
        <v>936</v>
      </c>
      <c r="E388" s="13" t="s">
        <v>22</v>
      </c>
      <c r="F388" s="13" t="s">
        <v>23</v>
      </c>
      <c r="G388" s="22">
        <v>0.0</v>
      </c>
      <c r="H388" s="22">
        <v>0.0</v>
      </c>
      <c r="I388" s="22">
        <v>0.0</v>
      </c>
      <c r="J388" s="46">
        <v>0.0</v>
      </c>
    </row>
    <row r="389" ht="26.25" customHeight="1">
      <c r="A389" s="47" t="s">
        <v>937</v>
      </c>
      <c r="B389" s="48" t="s">
        <v>934</v>
      </c>
      <c r="C389" s="50" t="s">
        <v>938</v>
      </c>
      <c r="D389" s="48" t="s">
        <v>936</v>
      </c>
      <c r="E389" s="48" t="s">
        <v>22</v>
      </c>
      <c r="F389" s="48" t="s">
        <v>23</v>
      </c>
      <c r="G389" s="53">
        <v>0.0</v>
      </c>
      <c r="H389" s="53">
        <v>0.0</v>
      </c>
      <c r="I389" s="53">
        <v>0.0</v>
      </c>
      <c r="J389" s="54">
        <v>0.0</v>
      </c>
    </row>
    <row r="390" ht="26.25" customHeight="1">
      <c r="A390" s="11" t="s">
        <v>939</v>
      </c>
      <c r="B390" s="13" t="s">
        <v>934</v>
      </c>
      <c r="C390" s="16" t="s">
        <v>940</v>
      </c>
      <c r="D390" s="13" t="s">
        <v>936</v>
      </c>
      <c r="E390" s="13" t="s">
        <v>22</v>
      </c>
      <c r="F390" s="13" t="s">
        <v>23</v>
      </c>
      <c r="G390" s="22">
        <v>0.0</v>
      </c>
      <c r="H390" s="22">
        <v>0.0</v>
      </c>
      <c r="I390" s="22">
        <v>0.0</v>
      </c>
      <c r="J390" s="46">
        <v>0.0</v>
      </c>
    </row>
    <row r="391" ht="26.25" customHeight="1">
      <c r="A391" s="47" t="s">
        <v>942</v>
      </c>
      <c r="B391" s="48" t="s">
        <v>934</v>
      </c>
      <c r="C391" s="50" t="s">
        <v>944</v>
      </c>
      <c r="D391" s="48" t="s">
        <v>936</v>
      </c>
      <c r="E391" s="48" t="s">
        <v>22</v>
      </c>
      <c r="F391" s="48" t="s">
        <v>23</v>
      </c>
      <c r="G391" s="53">
        <v>0.0</v>
      </c>
      <c r="H391" s="53">
        <v>0.0</v>
      </c>
      <c r="I391" s="53">
        <v>0.0</v>
      </c>
      <c r="J391" s="54">
        <v>0.0</v>
      </c>
    </row>
    <row r="392" ht="26.25" customHeight="1">
      <c r="A392" s="11" t="s">
        <v>946</v>
      </c>
      <c r="B392" s="13" t="s">
        <v>934</v>
      </c>
      <c r="C392" s="16" t="s">
        <v>947</v>
      </c>
      <c r="D392" s="13" t="s">
        <v>936</v>
      </c>
      <c r="E392" s="13" t="s">
        <v>22</v>
      </c>
      <c r="F392" s="13" t="s">
        <v>23</v>
      </c>
      <c r="G392" s="22">
        <v>0.0</v>
      </c>
      <c r="H392" s="22">
        <v>0.0</v>
      </c>
      <c r="I392" s="22">
        <v>0.0</v>
      </c>
      <c r="J392" s="46">
        <v>0.0</v>
      </c>
    </row>
    <row r="393" ht="26.25" customHeight="1">
      <c r="A393" s="47" t="s">
        <v>948</v>
      </c>
      <c r="B393" s="48" t="s">
        <v>934</v>
      </c>
      <c r="C393" s="50" t="s">
        <v>949</v>
      </c>
      <c r="D393" s="48" t="s">
        <v>936</v>
      </c>
      <c r="E393" s="48" t="s">
        <v>22</v>
      </c>
      <c r="F393" s="48" t="s">
        <v>23</v>
      </c>
      <c r="G393" s="53">
        <v>0.0</v>
      </c>
      <c r="H393" s="53">
        <v>0.0</v>
      </c>
      <c r="I393" s="53">
        <v>0.0</v>
      </c>
      <c r="J393" s="54">
        <v>0.0</v>
      </c>
    </row>
    <row r="394" ht="26.25" customHeight="1">
      <c r="A394" s="11" t="s">
        <v>950</v>
      </c>
      <c r="B394" s="13" t="s">
        <v>934</v>
      </c>
      <c r="C394" s="16" t="s">
        <v>951</v>
      </c>
      <c r="D394" s="13" t="s">
        <v>936</v>
      </c>
      <c r="E394" s="13" t="s">
        <v>22</v>
      </c>
      <c r="F394" s="13" t="s">
        <v>23</v>
      </c>
      <c r="G394" s="22">
        <v>0.0</v>
      </c>
      <c r="H394" s="22">
        <v>0.0</v>
      </c>
      <c r="I394" s="22">
        <v>0.0</v>
      </c>
      <c r="J394" s="46">
        <v>0.0</v>
      </c>
    </row>
    <row r="395" ht="26.25" customHeight="1">
      <c r="A395" s="47" t="s">
        <v>952</v>
      </c>
      <c r="B395" s="48" t="s">
        <v>934</v>
      </c>
      <c r="C395" s="50" t="s">
        <v>953</v>
      </c>
      <c r="D395" s="48" t="s">
        <v>936</v>
      </c>
      <c r="E395" s="48" t="s">
        <v>22</v>
      </c>
      <c r="F395" s="48" t="s">
        <v>23</v>
      </c>
      <c r="G395" s="53">
        <v>1.0</v>
      </c>
      <c r="H395" s="53">
        <v>7500.0</v>
      </c>
      <c r="I395" s="53">
        <v>7499.0</v>
      </c>
      <c r="J395" s="54">
        <v>7499.0</v>
      </c>
    </row>
    <row r="396" ht="26.25" customHeight="1">
      <c r="A396" s="11" t="s">
        <v>954</v>
      </c>
      <c r="B396" s="13" t="s">
        <v>934</v>
      </c>
      <c r="C396" s="16" t="s">
        <v>955</v>
      </c>
      <c r="D396" s="13" t="s">
        <v>936</v>
      </c>
      <c r="E396" s="13" t="s">
        <v>22</v>
      </c>
      <c r="F396" s="13" t="s">
        <v>23</v>
      </c>
      <c r="G396" s="22">
        <v>0.0</v>
      </c>
      <c r="H396" s="22">
        <v>0.0</v>
      </c>
      <c r="I396" s="22">
        <v>0.0</v>
      </c>
      <c r="J396" s="46">
        <v>0.0</v>
      </c>
    </row>
    <row r="397" ht="26.25" customHeight="1">
      <c r="A397" s="47" t="s">
        <v>956</v>
      </c>
      <c r="B397" s="48" t="s">
        <v>934</v>
      </c>
      <c r="C397" s="50" t="s">
        <v>957</v>
      </c>
      <c r="D397" s="48" t="s">
        <v>936</v>
      </c>
      <c r="E397" s="48" t="s">
        <v>22</v>
      </c>
      <c r="F397" s="48" t="s">
        <v>23</v>
      </c>
      <c r="G397" s="53">
        <v>0.0</v>
      </c>
      <c r="H397" s="53">
        <v>0.0</v>
      </c>
      <c r="I397" s="53">
        <v>0.0</v>
      </c>
      <c r="J397" s="54">
        <v>0.0</v>
      </c>
    </row>
    <row r="398" ht="26.25" customHeight="1">
      <c r="A398" s="11" t="s">
        <v>958</v>
      </c>
      <c r="B398" s="13" t="s">
        <v>934</v>
      </c>
      <c r="C398" s="16" t="s">
        <v>959</v>
      </c>
      <c r="D398" s="13" t="s">
        <v>936</v>
      </c>
      <c r="E398" s="13" t="s">
        <v>22</v>
      </c>
      <c r="F398" s="13" t="s">
        <v>23</v>
      </c>
      <c r="G398" s="22">
        <v>1.0</v>
      </c>
      <c r="H398" s="22">
        <v>20000.0</v>
      </c>
      <c r="I398" s="22">
        <v>19999.0</v>
      </c>
      <c r="J398" s="46">
        <v>19999.0</v>
      </c>
    </row>
    <row r="399" ht="26.25" customHeight="1">
      <c r="A399" s="47" t="s">
        <v>960</v>
      </c>
      <c r="B399" s="48" t="s">
        <v>934</v>
      </c>
      <c r="C399" s="50" t="s">
        <v>961</v>
      </c>
      <c r="D399" s="48" t="s">
        <v>936</v>
      </c>
      <c r="E399" s="48" t="s">
        <v>22</v>
      </c>
      <c r="F399" s="48" t="s">
        <v>23</v>
      </c>
      <c r="G399" s="53">
        <v>0.0</v>
      </c>
      <c r="H399" s="53">
        <v>0.0</v>
      </c>
      <c r="I399" s="53">
        <v>0.0</v>
      </c>
      <c r="J399" s="54">
        <v>0.0</v>
      </c>
    </row>
    <row r="400" ht="26.25" customHeight="1">
      <c r="A400" s="11" t="s">
        <v>962</v>
      </c>
      <c r="B400" s="13" t="s">
        <v>934</v>
      </c>
      <c r="C400" s="16" t="s">
        <v>963</v>
      </c>
      <c r="D400" s="13" t="s">
        <v>936</v>
      </c>
      <c r="E400" s="13" t="s">
        <v>22</v>
      </c>
      <c r="F400" s="13" t="s">
        <v>23</v>
      </c>
      <c r="G400" s="22">
        <v>0.0</v>
      </c>
      <c r="H400" s="22">
        <v>0.0</v>
      </c>
      <c r="I400" s="22">
        <v>0.0</v>
      </c>
      <c r="J400" s="46">
        <v>0.0</v>
      </c>
    </row>
    <row r="401" ht="26.25" customHeight="1">
      <c r="A401" s="47" t="s">
        <v>964</v>
      </c>
      <c r="B401" s="48" t="s">
        <v>934</v>
      </c>
      <c r="C401" s="50" t="s">
        <v>965</v>
      </c>
      <c r="D401" s="48" t="s">
        <v>936</v>
      </c>
      <c r="E401" s="48" t="s">
        <v>22</v>
      </c>
      <c r="F401" s="48" t="s">
        <v>23</v>
      </c>
      <c r="G401" s="53">
        <v>0.0</v>
      </c>
      <c r="H401" s="53">
        <v>0.0</v>
      </c>
      <c r="I401" s="53">
        <v>0.0</v>
      </c>
      <c r="J401" s="54">
        <v>0.0</v>
      </c>
    </row>
    <row r="402" ht="26.25" customHeight="1">
      <c r="A402" s="11" t="s">
        <v>966</v>
      </c>
      <c r="B402" s="13" t="s">
        <v>934</v>
      </c>
      <c r="C402" s="16" t="s">
        <v>967</v>
      </c>
      <c r="D402" s="13" t="s">
        <v>936</v>
      </c>
      <c r="E402" s="13" t="s">
        <v>22</v>
      </c>
      <c r="F402" s="13" t="s">
        <v>23</v>
      </c>
      <c r="G402" s="22">
        <v>1.0</v>
      </c>
      <c r="H402" s="22">
        <v>7500.0</v>
      </c>
      <c r="I402" s="22">
        <v>7499.0</v>
      </c>
      <c r="J402" s="46">
        <v>7499.0</v>
      </c>
    </row>
    <row r="403" ht="26.25" customHeight="1">
      <c r="A403" s="47" t="s">
        <v>969</v>
      </c>
      <c r="B403" s="48" t="s">
        <v>934</v>
      </c>
      <c r="C403" s="50" t="s">
        <v>970</v>
      </c>
      <c r="D403" s="48" t="s">
        <v>936</v>
      </c>
      <c r="E403" s="48" t="s">
        <v>22</v>
      </c>
      <c r="F403" s="48" t="s">
        <v>23</v>
      </c>
      <c r="G403" s="53">
        <v>0.0</v>
      </c>
      <c r="H403" s="53">
        <v>0.0</v>
      </c>
      <c r="I403" s="53">
        <v>0.0</v>
      </c>
      <c r="J403" s="54">
        <v>0.0</v>
      </c>
    </row>
    <row r="404" ht="26.25" customHeight="1">
      <c r="A404" s="11" t="s">
        <v>972</v>
      </c>
      <c r="B404" s="13" t="s">
        <v>934</v>
      </c>
      <c r="C404" s="16" t="s">
        <v>973</v>
      </c>
      <c r="D404" s="13" t="s">
        <v>936</v>
      </c>
      <c r="E404" s="13" t="s">
        <v>22</v>
      </c>
      <c r="F404" s="13" t="s">
        <v>23</v>
      </c>
      <c r="G404" s="22">
        <v>0.0</v>
      </c>
      <c r="H404" s="22">
        <v>0.0</v>
      </c>
      <c r="I404" s="22">
        <v>0.0</v>
      </c>
      <c r="J404" s="46">
        <v>0.0</v>
      </c>
    </row>
    <row r="405" ht="26.25" customHeight="1">
      <c r="A405" s="47" t="s">
        <v>974</v>
      </c>
      <c r="B405" s="48" t="s">
        <v>934</v>
      </c>
      <c r="C405" s="50" t="s">
        <v>975</v>
      </c>
      <c r="D405" s="48" t="s">
        <v>936</v>
      </c>
      <c r="E405" s="48" t="s">
        <v>22</v>
      </c>
      <c r="F405" s="48" t="s">
        <v>23</v>
      </c>
      <c r="G405" s="53">
        <v>1.0</v>
      </c>
      <c r="H405" s="53">
        <v>20000.0</v>
      </c>
      <c r="I405" s="53">
        <v>19999.0</v>
      </c>
      <c r="J405" s="54">
        <v>19999.0</v>
      </c>
    </row>
    <row r="406" ht="26.25" customHeight="1">
      <c r="A406" s="11" t="s">
        <v>976</v>
      </c>
      <c r="B406" s="13" t="s">
        <v>934</v>
      </c>
      <c r="C406" s="16" t="s">
        <v>977</v>
      </c>
      <c r="D406" s="13" t="s">
        <v>936</v>
      </c>
      <c r="E406" s="13" t="s">
        <v>22</v>
      </c>
      <c r="F406" s="13" t="s">
        <v>23</v>
      </c>
      <c r="G406" s="22">
        <v>0.0</v>
      </c>
      <c r="H406" s="22">
        <v>0.0</v>
      </c>
      <c r="I406" s="22">
        <v>0.0</v>
      </c>
      <c r="J406" s="46">
        <v>0.0</v>
      </c>
    </row>
    <row r="407" ht="26.25" customHeight="1">
      <c r="A407" s="47" t="s">
        <v>978</v>
      </c>
      <c r="B407" s="48" t="s">
        <v>934</v>
      </c>
      <c r="C407" s="50" t="s">
        <v>979</v>
      </c>
      <c r="D407" s="48" t="s">
        <v>936</v>
      </c>
      <c r="E407" s="48" t="s">
        <v>22</v>
      </c>
      <c r="F407" s="48" t="s">
        <v>23</v>
      </c>
      <c r="G407" s="53">
        <v>0.0</v>
      </c>
      <c r="H407" s="53">
        <v>0.0</v>
      </c>
      <c r="I407" s="53">
        <v>0.0</v>
      </c>
      <c r="J407" s="54">
        <v>0.0</v>
      </c>
    </row>
    <row r="408" ht="26.25" customHeight="1">
      <c r="A408" s="11" t="s">
        <v>980</v>
      </c>
      <c r="B408" s="13" t="s">
        <v>934</v>
      </c>
      <c r="C408" s="16" t="s">
        <v>981</v>
      </c>
      <c r="D408" s="13" t="s">
        <v>982</v>
      </c>
      <c r="E408" s="13" t="s">
        <v>22</v>
      </c>
      <c r="F408" s="13" t="s">
        <v>23</v>
      </c>
      <c r="G408" s="22">
        <v>0.0</v>
      </c>
      <c r="H408" s="22">
        <v>0.0</v>
      </c>
      <c r="I408" s="22">
        <v>0.0</v>
      </c>
      <c r="J408" s="46">
        <v>0.0</v>
      </c>
    </row>
    <row r="409" ht="26.25" customHeight="1">
      <c r="A409" s="47" t="s">
        <v>983</v>
      </c>
      <c r="B409" s="48" t="s">
        <v>934</v>
      </c>
      <c r="C409" s="50" t="s">
        <v>984</v>
      </c>
      <c r="D409" s="48" t="s">
        <v>985</v>
      </c>
      <c r="E409" s="48" t="s">
        <v>22</v>
      </c>
      <c r="F409" s="48" t="s">
        <v>23</v>
      </c>
      <c r="G409" s="53">
        <v>1.0</v>
      </c>
      <c r="H409" s="53">
        <v>7500.0</v>
      </c>
      <c r="I409" s="53">
        <v>7499.0</v>
      </c>
      <c r="J409" s="54">
        <v>7499.0</v>
      </c>
    </row>
    <row r="410" ht="26.25" customHeight="1">
      <c r="A410" s="11" t="s">
        <v>986</v>
      </c>
      <c r="B410" s="13" t="s">
        <v>934</v>
      </c>
      <c r="C410" s="16" t="s">
        <v>987</v>
      </c>
      <c r="D410" s="13" t="s">
        <v>988</v>
      </c>
      <c r="E410" s="13" t="s">
        <v>22</v>
      </c>
      <c r="F410" s="13" t="s">
        <v>23</v>
      </c>
      <c r="G410" s="22">
        <v>1.0</v>
      </c>
      <c r="H410" s="22">
        <v>10000.0</v>
      </c>
      <c r="I410" s="22">
        <v>9999.0</v>
      </c>
      <c r="J410" s="46">
        <v>9999.0</v>
      </c>
    </row>
    <row r="411" ht="26.25" customHeight="1">
      <c r="A411" s="47" t="s">
        <v>989</v>
      </c>
      <c r="B411" s="48" t="s">
        <v>934</v>
      </c>
      <c r="C411" s="50" t="s">
        <v>990</v>
      </c>
      <c r="D411" s="48" t="s">
        <v>991</v>
      </c>
      <c r="E411" s="48" t="s">
        <v>22</v>
      </c>
      <c r="F411" s="48" t="s">
        <v>23</v>
      </c>
      <c r="G411" s="53">
        <v>0.0</v>
      </c>
      <c r="H411" s="53">
        <v>0.0</v>
      </c>
      <c r="I411" s="53">
        <v>0.0</v>
      </c>
      <c r="J411" s="54">
        <v>0.0</v>
      </c>
    </row>
    <row r="412" ht="26.25" customHeight="1">
      <c r="A412" s="11" t="s">
        <v>992</v>
      </c>
      <c r="B412" s="13" t="s">
        <v>934</v>
      </c>
      <c r="C412" s="16" t="s">
        <v>993</v>
      </c>
      <c r="D412" s="13" t="s">
        <v>994</v>
      </c>
      <c r="E412" s="13" t="s">
        <v>22</v>
      </c>
      <c r="F412" s="13" t="s">
        <v>23</v>
      </c>
      <c r="G412" s="22">
        <v>1.0</v>
      </c>
      <c r="H412" s="22">
        <v>20000.0</v>
      </c>
      <c r="I412" s="22">
        <v>19999.0</v>
      </c>
      <c r="J412" s="46">
        <v>19999.0</v>
      </c>
    </row>
    <row r="413" ht="26.25" customHeight="1">
      <c r="A413" s="47" t="s">
        <v>995</v>
      </c>
      <c r="B413" s="48" t="s">
        <v>934</v>
      </c>
      <c r="C413" s="50" t="s">
        <v>996</v>
      </c>
      <c r="D413" s="48" t="s">
        <v>997</v>
      </c>
      <c r="E413" s="48" t="s">
        <v>22</v>
      </c>
      <c r="F413" s="48" t="s">
        <v>23</v>
      </c>
      <c r="G413" s="53">
        <v>0.0</v>
      </c>
      <c r="H413" s="53">
        <v>0.0</v>
      </c>
      <c r="I413" s="53">
        <v>0.0</v>
      </c>
      <c r="J413" s="54">
        <v>0.0</v>
      </c>
    </row>
    <row r="414" ht="26.25" customHeight="1">
      <c r="A414" s="11" t="s">
        <v>998</v>
      </c>
      <c r="B414" s="13" t="s">
        <v>934</v>
      </c>
      <c r="C414" s="16" t="s">
        <v>999</v>
      </c>
      <c r="D414" s="13" t="s">
        <v>1000</v>
      </c>
      <c r="E414" s="13" t="s">
        <v>22</v>
      </c>
      <c r="F414" s="13" t="s">
        <v>23</v>
      </c>
      <c r="G414" s="22">
        <v>0.0</v>
      </c>
      <c r="H414" s="22">
        <v>0.0</v>
      </c>
      <c r="I414" s="22">
        <v>0.0</v>
      </c>
      <c r="J414" s="46">
        <v>0.0</v>
      </c>
    </row>
    <row r="415" ht="26.25" customHeight="1">
      <c r="A415" s="47" t="s">
        <v>1001</v>
      </c>
      <c r="B415" s="48" t="s">
        <v>934</v>
      </c>
      <c r="C415" s="50" t="s">
        <v>1002</v>
      </c>
      <c r="D415" s="48" t="s">
        <v>1003</v>
      </c>
      <c r="E415" s="48" t="s">
        <v>22</v>
      </c>
      <c r="F415" s="48" t="s">
        <v>23</v>
      </c>
      <c r="G415" s="53">
        <v>0.0</v>
      </c>
      <c r="H415" s="53">
        <v>0.0</v>
      </c>
      <c r="I415" s="53">
        <v>0.0</v>
      </c>
      <c r="J415" s="54">
        <v>0.0</v>
      </c>
    </row>
    <row r="416" ht="26.25" customHeight="1">
      <c r="A416" s="11" t="s">
        <v>1004</v>
      </c>
      <c r="B416" s="13" t="s">
        <v>934</v>
      </c>
      <c r="C416" s="16" t="s">
        <v>1005</v>
      </c>
      <c r="D416" s="13" t="s">
        <v>1006</v>
      </c>
      <c r="E416" s="13" t="s">
        <v>22</v>
      </c>
      <c r="F416" s="13" t="s">
        <v>23</v>
      </c>
      <c r="G416" s="22">
        <v>1.0</v>
      </c>
      <c r="H416" s="22">
        <v>7500.0</v>
      </c>
      <c r="I416" s="22">
        <v>7499.0</v>
      </c>
      <c r="J416" s="46">
        <v>7499.0</v>
      </c>
    </row>
    <row r="417" ht="26.25" customHeight="1">
      <c r="A417" s="47" t="s">
        <v>1007</v>
      </c>
      <c r="B417" s="48" t="s">
        <v>934</v>
      </c>
      <c r="C417" s="50" t="s">
        <v>1008</v>
      </c>
      <c r="D417" s="48" t="s">
        <v>1009</v>
      </c>
      <c r="E417" s="48" t="s">
        <v>22</v>
      </c>
      <c r="F417" s="48" t="s">
        <v>23</v>
      </c>
      <c r="G417" s="53">
        <v>0.0</v>
      </c>
      <c r="H417" s="53">
        <v>0.0</v>
      </c>
      <c r="I417" s="53">
        <v>0.0</v>
      </c>
      <c r="J417" s="54">
        <v>0.0</v>
      </c>
    </row>
    <row r="418" ht="26.25" customHeight="1">
      <c r="A418" s="11" t="s">
        <v>1010</v>
      </c>
      <c r="B418" s="13" t="s">
        <v>934</v>
      </c>
      <c r="C418" s="16" t="s">
        <v>1012</v>
      </c>
      <c r="D418" s="13" t="s">
        <v>1013</v>
      </c>
      <c r="E418" s="13" t="s">
        <v>22</v>
      </c>
      <c r="F418" s="13" t="s">
        <v>23</v>
      </c>
      <c r="G418" s="22">
        <v>0.0</v>
      </c>
      <c r="H418" s="22">
        <v>0.0</v>
      </c>
      <c r="I418" s="22">
        <v>0.0</v>
      </c>
      <c r="J418" s="46">
        <v>0.0</v>
      </c>
    </row>
    <row r="419" ht="26.25" customHeight="1">
      <c r="A419" s="47" t="s">
        <v>1015</v>
      </c>
      <c r="B419" s="48" t="s">
        <v>934</v>
      </c>
      <c r="C419" s="50" t="s">
        <v>1016</v>
      </c>
      <c r="D419" s="48" t="s">
        <v>1017</v>
      </c>
      <c r="E419" s="48" t="s">
        <v>22</v>
      </c>
      <c r="F419" s="48" t="s">
        <v>23</v>
      </c>
      <c r="G419" s="53">
        <v>1.0</v>
      </c>
      <c r="H419" s="53">
        <v>20000.0</v>
      </c>
      <c r="I419" s="53">
        <v>19999.0</v>
      </c>
      <c r="J419" s="54">
        <v>19999.0</v>
      </c>
    </row>
    <row r="420" ht="26.25" customHeight="1">
      <c r="A420" s="11" t="s">
        <v>1018</v>
      </c>
      <c r="B420" s="13" t="s">
        <v>17</v>
      </c>
      <c r="C420" s="16" t="s">
        <v>1019</v>
      </c>
      <c r="D420" s="13" t="s">
        <v>1020</v>
      </c>
      <c r="E420" s="13" t="s">
        <v>22</v>
      </c>
      <c r="F420" s="13" t="s">
        <v>23</v>
      </c>
      <c r="G420" s="22">
        <v>0.0</v>
      </c>
      <c r="H420" s="22">
        <v>0.0</v>
      </c>
      <c r="I420" s="22">
        <v>0.0</v>
      </c>
      <c r="J420" s="46">
        <v>0.0</v>
      </c>
    </row>
    <row r="421" ht="26.25" customHeight="1">
      <c r="A421" s="47" t="s">
        <v>1021</v>
      </c>
      <c r="B421" s="48" t="s">
        <v>17</v>
      </c>
      <c r="C421" s="50" t="s">
        <v>1022</v>
      </c>
      <c r="D421" s="48" t="s">
        <v>1020</v>
      </c>
      <c r="E421" s="48" t="s">
        <v>22</v>
      </c>
      <c r="F421" s="48" t="s">
        <v>23</v>
      </c>
      <c r="G421" s="53">
        <v>0.0</v>
      </c>
      <c r="H421" s="53">
        <v>0.0</v>
      </c>
      <c r="I421" s="53">
        <v>0.0</v>
      </c>
      <c r="J421" s="54">
        <v>0.0</v>
      </c>
    </row>
    <row r="422" ht="26.25" customHeight="1">
      <c r="A422" s="11" t="s">
        <v>1023</v>
      </c>
      <c r="B422" s="13" t="s">
        <v>17</v>
      </c>
      <c r="C422" s="16" t="s">
        <v>1024</v>
      </c>
      <c r="D422" s="13" t="s">
        <v>1020</v>
      </c>
      <c r="E422" s="13" t="s">
        <v>22</v>
      </c>
      <c r="F422" s="13" t="s">
        <v>23</v>
      </c>
      <c r="G422" s="22">
        <v>0.0</v>
      </c>
      <c r="H422" s="22">
        <v>0.0</v>
      </c>
      <c r="I422" s="22">
        <v>0.0</v>
      </c>
      <c r="J422" s="46">
        <v>0.0</v>
      </c>
    </row>
    <row r="423" ht="26.25" customHeight="1">
      <c r="A423" s="47" t="s">
        <v>1025</v>
      </c>
      <c r="B423" s="48" t="s">
        <v>17</v>
      </c>
      <c r="C423" s="50" t="s">
        <v>1026</v>
      </c>
      <c r="D423" s="48" t="s">
        <v>1020</v>
      </c>
      <c r="E423" s="48" t="s">
        <v>22</v>
      </c>
      <c r="F423" s="48" t="s">
        <v>23</v>
      </c>
      <c r="G423" s="53">
        <v>1.0</v>
      </c>
      <c r="H423" s="53">
        <v>7500.0</v>
      </c>
      <c r="I423" s="53">
        <v>7499.0</v>
      </c>
      <c r="J423" s="54">
        <v>7499.0</v>
      </c>
    </row>
    <row r="424" ht="26.25" customHeight="1">
      <c r="A424" s="11" t="s">
        <v>1027</v>
      </c>
      <c r="B424" s="13" t="s">
        <v>17</v>
      </c>
      <c r="C424" s="16" t="s">
        <v>1028</v>
      </c>
      <c r="D424" s="13" t="s">
        <v>1020</v>
      </c>
      <c r="E424" s="13" t="s">
        <v>22</v>
      </c>
      <c r="F424" s="13" t="s">
        <v>23</v>
      </c>
      <c r="G424" s="22">
        <v>0.0</v>
      </c>
      <c r="H424" s="22">
        <v>0.0</v>
      </c>
      <c r="I424" s="22">
        <v>0.0</v>
      </c>
      <c r="J424" s="46">
        <v>0.0</v>
      </c>
    </row>
    <row r="425" ht="26.25" customHeight="1">
      <c r="A425" s="47" t="s">
        <v>1029</v>
      </c>
      <c r="B425" s="48" t="s">
        <v>17</v>
      </c>
      <c r="C425" s="50" t="s">
        <v>1030</v>
      </c>
      <c r="D425" s="48" t="s">
        <v>1020</v>
      </c>
      <c r="E425" s="48" t="s">
        <v>22</v>
      </c>
      <c r="F425" s="48" t="s">
        <v>23</v>
      </c>
      <c r="G425" s="53">
        <v>0.0</v>
      </c>
      <c r="H425" s="53">
        <v>0.0</v>
      </c>
      <c r="I425" s="53">
        <v>0.0</v>
      </c>
      <c r="J425" s="54">
        <v>0.0</v>
      </c>
    </row>
    <row r="426" ht="26.25" customHeight="1">
      <c r="A426" s="11" t="s">
        <v>1031</v>
      </c>
      <c r="B426" s="13" t="s">
        <v>17</v>
      </c>
      <c r="C426" s="16" t="s">
        <v>1032</v>
      </c>
      <c r="D426" s="13" t="s">
        <v>1020</v>
      </c>
      <c r="E426" s="13" t="s">
        <v>22</v>
      </c>
      <c r="F426" s="13" t="s">
        <v>23</v>
      </c>
      <c r="G426" s="22">
        <v>1.0</v>
      </c>
      <c r="H426" s="22">
        <v>20000.0</v>
      </c>
      <c r="I426" s="22">
        <v>19999.0</v>
      </c>
      <c r="J426" s="46">
        <v>19999.0</v>
      </c>
    </row>
    <row r="427" ht="26.25" customHeight="1">
      <c r="A427" s="47" t="s">
        <v>1033</v>
      </c>
      <c r="B427" s="48" t="s">
        <v>17</v>
      </c>
      <c r="C427" s="50" t="s">
        <v>1034</v>
      </c>
      <c r="D427" s="48" t="s">
        <v>1020</v>
      </c>
      <c r="E427" s="48" t="s">
        <v>22</v>
      </c>
      <c r="F427" s="48" t="s">
        <v>23</v>
      </c>
      <c r="G427" s="53">
        <v>0.0</v>
      </c>
      <c r="H427" s="53">
        <v>0.0</v>
      </c>
      <c r="I427" s="53">
        <v>0.0</v>
      </c>
      <c r="J427" s="54">
        <v>0.0</v>
      </c>
    </row>
    <row r="428" ht="26.25" customHeight="1">
      <c r="A428" s="11" t="s">
        <v>1035</v>
      </c>
      <c r="B428" s="13" t="s">
        <v>17</v>
      </c>
      <c r="C428" s="16" t="s">
        <v>1036</v>
      </c>
      <c r="D428" s="13" t="s">
        <v>1020</v>
      </c>
      <c r="E428" s="13" t="s">
        <v>22</v>
      </c>
      <c r="F428" s="13" t="s">
        <v>23</v>
      </c>
      <c r="G428" s="22">
        <v>0.0</v>
      </c>
      <c r="H428" s="22">
        <v>0.0</v>
      </c>
      <c r="I428" s="22">
        <v>0.0</v>
      </c>
      <c r="J428" s="46">
        <v>0.0</v>
      </c>
    </row>
    <row r="429" ht="26.25" customHeight="1">
      <c r="A429" s="47" t="s">
        <v>1037</v>
      </c>
      <c r="B429" s="48" t="s">
        <v>17</v>
      </c>
      <c r="C429" s="50" t="s">
        <v>1038</v>
      </c>
      <c r="D429" s="48" t="s">
        <v>1020</v>
      </c>
      <c r="E429" s="48" t="s">
        <v>22</v>
      </c>
      <c r="F429" s="48" t="s">
        <v>23</v>
      </c>
      <c r="G429" s="53">
        <v>0.0</v>
      </c>
      <c r="H429" s="53">
        <v>0.0</v>
      </c>
      <c r="I429" s="53">
        <v>0.0</v>
      </c>
      <c r="J429" s="54">
        <v>0.0</v>
      </c>
    </row>
    <row r="430" ht="26.25" customHeight="1">
      <c r="A430" s="11" t="s">
        <v>1039</v>
      </c>
      <c r="B430" s="13" t="s">
        <v>17</v>
      </c>
      <c r="C430" s="16" t="s">
        <v>1040</v>
      </c>
      <c r="D430" s="13" t="s">
        <v>1020</v>
      </c>
      <c r="E430" s="13" t="s">
        <v>22</v>
      </c>
      <c r="F430" s="13" t="s">
        <v>23</v>
      </c>
      <c r="G430" s="22">
        <v>0.0</v>
      </c>
      <c r="H430" s="22">
        <v>0.0</v>
      </c>
      <c r="I430" s="22">
        <v>0.0</v>
      </c>
      <c r="J430" s="46">
        <v>0.0</v>
      </c>
    </row>
    <row r="431" ht="26.25" customHeight="1">
      <c r="A431" s="47" t="s">
        <v>1042</v>
      </c>
      <c r="B431" s="48" t="s">
        <v>17</v>
      </c>
      <c r="C431" s="50" t="s">
        <v>1044</v>
      </c>
      <c r="D431" s="48" t="s">
        <v>1020</v>
      </c>
      <c r="E431" s="48" t="s">
        <v>22</v>
      </c>
      <c r="F431" s="48" t="s">
        <v>23</v>
      </c>
      <c r="G431" s="53">
        <v>0.0</v>
      </c>
      <c r="H431" s="53">
        <v>0.0</v>
      </c>
      <c r="I431" s="53">
        <v>0.0</v>
      </c>
      <c r="J431" s="54">
        <v>0.0</v>
      </c>
    </row>
    <row r="432" ht="26.25" customHeight="1">
      <c r="A432" s="11" t="s">
        <v>1045</v>
      </c>
      <c r="B432" s="13" t="s">
        <v>17</v>
      </c>
      <c r="C432" s="16" t="s">
        <v>1046</v>
      </c>
      <c r="D432" s="13" t="s">
        <v>1020</v>
      </c>
      <c r="E432" s="13" t="s">
        <v>22</v>
      </c>
      <c r="F432" s="13" t="s">
        <v>23</v>
      </c>
      <c r="G432" s="22">
        <v>0.0</v>
      </c>
      <c r="H432" s="22">
        <v>0.0</v>
      </c>
      <c r="I432" s="22">
        <v>0.0</v>
      </c>
      <c r="J432" s="46">
        <v>0.0</v>
      </c>
    </row>
    <row r="433" ht="26.25" customHeight="1">
      <c r="A433" s="47" t="s">
        <v>1047</v>
      </c>
      <c r="B433" s="48" t="s">
        <v>17</v>
      </c>
      <c r="C433" s="50" t="s">
        <v>1048</v>
      </c>
      <c r="D433" s="48" t="s">
        <v>1020</v>
      </c>
      <c r="E433" s="48" t="s">
        <v>22</v>
      </c>
      <c r="F433" s="48" t="s">
        <v>23</v>
      </c>
      <c r="G433" s="53">
        <v>0.0</v>
      </c>
      <c r="H433" s="53">
        <v>0.0</v>
      </c>
      <c r="I433" s="53">
        <v>0.0</v>
      </c>
      <c r="J433" s="54">
        <v>0.0</v>
      </c>
    </row>
    <row r="434" ht="26.25" customHeight="1">
      <c r="A434" s="11" t="s">
        <v>1049</v>
      </c>
      <c r="B434" s="13" t="s">
        <v>17</v>
      </c>
      <c r="C434" s="16" t="s">
        <v>1050</v>
      </c>
      <c r="D434" s="13" t="s">
        <v>1020</v>
      </c>
      <c r="E434" s="13" t="s">
        <v>22</v>
      </c>
      <c r="F434" s="13" t="s">
        <v>23</v>
      </c>
      <c r="G434" s="22">
        <v>0.0</v>
      </c>
      <c r="H434" s="22">
        <v>0.0</v>
      </c>
      <c r="I434" s="22">
        <v>0.0</v>
      </c>
      <c r="J434" s="46">
        <v>0.0</v>
      </c>
    </row>
    <row r="435" ht="26.25" customHeight="1">
      <c r="A435" s="47" t="s">
        <v>1051</v>
      </c>
      <c r="B435" s="48" t="s">
        <v>17</v>
      </c>
      <c r="C435" s="50" t="s">
        <v>1052</v>
      </c>
      <c r="D435" s="48" t="s">
        <v>1020</v>
      </c>
      <c r="E435" s="48" t="s">
        <v>22</v>
      </c>
      <c r="F435" s="48" t="s">
        <v>23</v>
      </c>
      <c r="G435" s="53">
        <v>0.0</v>
      </c>
      <c r="H435" s="53">
        <v>0.0</v>
      </c>
      <c r="I435" s="53">
        <v>0.0</v>
      </c>
      <c r="J435" s="54">
        <v>0.0</v>
      </c>
    </row>
    <row r="436" ht="26.25" customHeight="1">
      <c r="A436" s="11" t="s">
        <v>1053</v>
      </c>
      <c r="B436" s="13" t="s">
        <v>17</v>
      </c>
      <c r="C436" s="16" t="s">
        <v>1054</v>
      </c>
      <c r="D436" s="13" t="s">
        <v>1020</v>
      </c>
      <c r="E436" s="13" t="s">
        <v>22</v>
      </c>
      <c r="F436" s="13" t="s">
        <v>23</v>
      </c>
      <c r="G436" s="22">
        <v>0.0</v>
      </c>
      <c r="H436" s="22">
        <v>0.0</v>
      </c>
      <c r="I436" s="22">
        <v>0.0</v>
      </c>
      <c r="J436" s="46">
        <v>0.0</v>
      </c>
    </row>
    <row r="437" ht="26.25" customHeight="1">
      <c r="A437" s="47" t="s">
        <v>1055</v>
      </c>
      <c r="B437" s="48" t="s">
        <v>17</v>
      </c>
      <c r="C437" s="50" t="s">
        <v>1056</v>
      </c>
      <c r="D437" s="48" t="s">
        <v>1020</v>
      </c>
      <c r="E437" s="48" t="s">
        <v>22</v>
      </c>
      <c r="F437" s="48" t="s">
        <v>23</v>
      </c>
      <c r="G437" s="53">
        <v>0.0</v>
      </c>
      <c r="H437" s="53">
        <v>0.0</v>
      </c>
      <c r="I437" s="53">
        <v>0.0</v>
      </c>
      <c r="J437" s="54">
        <v>0.0</v>
      </c>
    </row>
    <row r="438" ht="26.25" customHeight="1">
      <c r="A438" s="11" t="s">
        <v>1057</v>
      </c>
      <c r="B438" s="13" t="s">
        <v>17</v>
      </c>
      <c r="C438" s="16" t="s">
        <v>1058</v>
      </c>
      <c r="D438" s="13" t="s">
        <v>1020</v>
      </c>
      <c r="E438" s="13" t="s">
        <v>22</v>
      </c>
      <c r="F438" s="13" t="s">
        <v>23</v>
      </c>
      <c r="G438" s="22">
        <v>0.0</v>
      </c>
      <c r="H438" s="22">
        <v>0.0</v>
      </c>
      <c r="I438" s="22">
        <v>0.0</v>
      </c>
      <c r="J438" s="46">
        <v>0.0</v>
      </c>
    </row>
    <row r="439" ht="26.25" customHeight="1">
      <c r="A439" s="47" t="s">
        <v>1059</v>
      </c>
      <c r="B439" s="48" t="s">
        <v>17</v>
      </c>
      <c r="C439" s="50" t="s">
        <v>1060</v>
      </c>
      <c r="D439" s="48" t="s">
        <v>1020</v>
      </c>
      <c r="E439" s="48" t="s">
        <v>22</v>
      </c>
      <c r="F439" s="48" t="s">
        <v>23</v>
      </c>
      <c r="G439" s="53">
        <v>0.0</v>
      </c>
      <c r="H439" s="53">
        <v>0.0</v>
      </c>
      <c r="I439" s="53">
        <v>0.0</v>
      </c>
      <c r="J439" s="54">
        <v>0.0</v>
      </c>
    </row>
    <row r="440" ht="26.25" customHeight="1">
      <c r="A440" s="11" t="s">
        <v>1061</v>
      </c>
      <c r="B440" s="13" t="s">
        <v>17</v>
      </c>
      <c r="C440" s="16" t="s">
        <v>1062</v>
      </c>
      <c r="D440" s="13" t="s">
        <v>1020</v>
      </c>
      <c r="E440" s="13" t="s">
        <v>22</v>
      </c>
      <c r="F440" s="13" t="s">
        <v>23</v>
      </c>
      <c r="G440" s="22">
        <v>0.0</v>
      </c>
      <c r="H440" s="22">
        <v>0.0</v>
      </c>
      <c r="I440" s="22">
        <v>0.0</v>
      </c>
      <c r="J440" s="46">
        <v>0.0</v>
      </c>
    </row>
    <row r="441" ht="26.25" customHeight="1">
      <c r="A441" s="47" t="s">
        <v>1063</v>
      </c>
      <c r="B441" s="48" t="s">
        <v>17</v>
      </c>
      <c r="C441" s="50" t="s">
        <v>1064</v>
      </c>
      <c r="D441" s="48" t="s">
        <v>1020</v>
      </c>
      <c r="E441" s="48" t="s">
        <v>22</v>
      </c>
      <c r="F441" s="48" t="s">
        <v>23</v>
      </c>
      <c r="G441" s="53">
        <v>0.0</v>
      </c>
      <c r="H441" s="53">
        <v>0.0</v>
      </c>
      <c r="I441" s="53">
        <v>0.0</v>
      </c>
      <c r="J441" s="54">
        <v>0.0</v>
      </c>
    </row>
    <row r="442" ht="26.25" customHeight="1">
      <c r="A442" s="11" t="s">
        <v>1065</v>
      </c>
      <c r="B442" s="13" t="s">
        <v>17</v>
      </c>
      <c r="C442" s="16" t="s">
        <v>1066</v>
      </c>
      <c r="D442" s="13" t="s">
        <v>1020</v>
      </c>
      <c r="E442" s="13" t="s">
        <v>22</v>
      </c>
      <c r="F442" s="13" t="s">
        <v>23</v>
      </c>
      <c r="G442" s="22">
        <v>0.0</v>
      </c>
      <c r="H442" s="22">
        <v>0.0</v>
      </c>
      <c r="I442" s="22">
        <v>0.0</v>
      </c>
      <c r="J442" s="46">
        <v>0.0</v>
      </c>
    </row>
    <row r="443" ht="26.25" customHeight="1">
      <c r="A443" s="47" t="s">
        <v>1068</v>
      </c>
      <c r="B443" s="48" t="s">
        <v>17</v>
      </c>
      <c r="C443" s="50" t="s">
        <v>1069</v>
      </c>
      <c r="D443" s="48" t="s">
        <v>1020</v>
      </c>
      <c r="E443" s="48" t="s">
        <v>22</v>
      </c>
      <c r="F443" s="48" t="s">
        <v>23</v>
      </c>
      <c r="G443" s="53">
        <v>0.0</v>
      </c>
      <c r="H443" s="53">
        <v>0.0</v>
      </c>
      <c r="I443" s="53">
        <v>0.0</v>
      </c>
      <c r="J443" s="54">
        <v>0.0</v>
      </c>
    </row>
    <row r="444" ht="26.25" customHeight="1">
      <c r="A444" s="11" t="s">
        <v>1071</v>
      </c>
      <c r="B444" s="13" t="s">
        <v>17</v>
      </c>
      <c r="C444" s="16" t="s">
        <v>1072</v>
      </c>
      <c r="D444" s="13" t="s">
        <v>1020</v>
      </c>
      <c r="E444" s="13" t="s">
        <v>22</v>
      </c>
      <c r="F444" s="13" t="s">
        <v>23</v>
      </c>
      <c r="G444" s="22">
        <v>0.0</v>
      </c>
      <c r="H444" s="22">
        <v>0.0</v>
      </c>
      <c r="I444" s="22">
        <v>0.0</v>
      </c>
      <c r="J444" s="46">
        <v>0.0</v>
      </c>
    </row>
    <row r="445" ht="26.25" customHeight="1">
      <c r="A445" s="47" t="s">
        <v>1073</v>
      </c>
      <c r="B445" s="48" t="s">
        <v>17</v>
      </c>
      <c r="C445" s="50" t="s">
        <v>1074</v>
      </c>
      <c r="D445" s="48" t="s">
        <v>1020</v>
      </c>
      <c r="E445" s="48" t="s">
        <v>22</v>
      </c>
      <c r="F445" s="48" t="s">
        <v>23</v>
      </c>
      <c r="G445" s="53">
        <v>0.0</v>
      </c>
      <c r="H445" s="53">
        <v>0.0</v>
      </c>
      <c r="I445" s="53">
        <v>0.0</v>
      </c>
      <c r="J445" s="54">
        <v>0.0</v>
      </c>
    </row>
    <row r="446" ht="26.25" customHeight="1">
      <c r="A446" s="11" t="s">
        <v>1075</v>
      </c>
      <c r="B446" s="13" t="s">
        <v>17</v>
      </c>
      <c r="C446" s="16" t="s">
        <v>1076</v>
      </c>
      <c r="D446" s="13" t="s">
        <v>1020</v>
      </c>
      <c r="E446" s="13" t="s">
        <v>22</v>
      </c>
      <c r="F446" s="13" t="s">
        <v>23</v>
      </c>
      <c r="G446" s="22">
        <v>0.0</v>
      </c>
      <c r="H446" s="22">
        <v>0.0</v>
      </c>
      <c r="I446" s="22">
        <v>0.0</v>
      </c>
      <c r="J446" s="46">
        <v>0.0</v>
      </c>
    </row>
    <row r="447" ht="26.25" customHeight="1">
      <c r="A447" s="47" t="s">
        <v>1077</v>
      </c>
      <c r="B447" s="48" t="s">
        <v>17</v>
      </c>
      <c r="C447" s="50" t="s">
        <v>1078</v>
      </c>
      <c r="D447" s="48" t="s">
        <v>1020</v>
      </c>
      <c r="E447" s="48" t="s">
        <v>22</v>
      </c>
      <c r="F447" s="48" t="s">
        <v>23</v>
      </c>
      <c r="G447" s="53">
        <v>0.0</v>
      </c>
      <c r="H447" s="53">
        <v>0.0</v>
      </c>
      <c r="I447" s="53">
        <v>0.0</v>
      </c>
      <c r="J447" s="54">
        <v>0.0</v>
      </c>
    </row>
    <row r="448" ht="26.25" customHeight="1">
      <c r="A448" s="11" t="s">
        <v>1079</v>
      </c>
      <c r="B448" s="13" t="s">
        <v>17</v>
      </c>
      <c r="C448" s="16" t="s">
        <v>1080</v>
      </c>
      <c r="D448" s="13" t="s">
        <v>1020</v>
      </c>
      <c r="E448" s="13" t="s">
        <v>22</v>
      </c>
      <c r="F448" s="13" t="s">
        <v>23</v>
      </c>
      <c r="G448" s="22">
        <v>0.0</v>
      </c>
      <c r="H448" s="22">
        <v>0.0</v>
      </c>
      <c r="I448" s="22">
        <v>0.0</v>
      </c>
      <c r="J448" s="46">
        <v>0.0</v>
      </c>
    </row>
    <row r="449" ht="26.25" customHeight="1">
      <c r="A449" s="47" t="s">
        <v>1081</v>
      </c>
      <c r="B449" s="48" t="s">
        <v>17</v>
      </c>
      <c r="C449" s="50" t="s">
        <v>1082</v>
      </c>
      <c r="D449" s="48" t="s">
        <v>1020</v>
      </c>
      <c r="E449" s="48" t="s">
        <v>22</v>
      </c>
      <c r="F449" s="48" t="s">
        <v>23</v>
      </c>
      <c r="G449" s="53">
        <v>0.0</v>
      </c>
      <c r="H449" s="53">
        <v>0.0</v>
      </c>
      <c r="I449" s="53">
        <v>0.0</v>
      </c>
      <c r="J449" s="54">
        <v>0.0</v>
      </c>
    </row>
    <row r="450" ht="26.25" customHeight="1">
      <c r="A450" s="11" t="s">
        <v>1083</v>
      </c>
      <c r="B450" s="13" t="s">
        <v>17</v>
      </c>
      <c r="C450" s="16" t="s">
        <v>1084</v>
      </c>
      <c r="D450" s="13" t="s">
        <v>1020</v>
      </c>
      <c r="E450" s="13" t="s">
        <v>22</v>
      </c>
      <c r="F450" s="13" t="s">
        <v>23</v>
      </c>
      <c r="G450" s="22">
        <v>33850.0</v>
      </c>
      <c r="H450" s="22">
        <v>37000.0</v>
      </c>
      <c r="I450" s="22">
        <v>3150.0</v>
      </c>
      <c r="J450" s="46">
        <v>0.0930576070901034</v>
      </c>
    </row>
    <row r="451" ht="26.25" customHeight="1">
      <c r="A451" s="47" t="s">
        <v>1085</v>
      </c>
      <c r="B451" s="48" t="s">
        <v>17</v>
      </c>
      <c r="C451" s="50" t="s">
        <v>1086</v>
      </c>
      <c r="D451" s="48" t="s">
        <v>1020</v>
      </c>
      <c r="E451" s="48" t="s">
        <v>22</v>
      </c>
      <c r="F451" s="48" t="s">
        <v>23</v>
      </c>
      <c r="G451" s="53">
        <v>0.0</v>
      </c>
      <c r="H451" s="53">
        <v>0.0</v>
      </c>
      <c r="I451" s="53">
        <v>0.0</v>
      </c>
      <c r="J451" s="54">
        <v>0.0</v>
      </c>
    </row>
    <row r="452" ht="26.25" customHeight="1">
      <c r="A452" s="11" t="s">
        <v>1087</v>
      </c>
      <c r="B452" s="13" t="s">
        <v>17</v>
      </c>
      <c r="C452" s="16" t="s">
        <v>1088</v>
      </c>
      <c r="D452" s="13" t="s">
        <v>1020</v>
      </c>
      <c r="E452" s="13" t="s">
        <v>22</v>
      </c>
      <c r="F452" s="13" t="s">
        <v>23</v>
      </c>
      <c r="G452" s="22">
        <v>0.0</v>
      </c>
      <c r="H452" s="22">
        <v>0.0</v>
      </c>
      <c r="I452" s="22">
        <v>0.0</v>
      </c>
      <c r="J452" s="46">
        <v>0.0</v>
      </c>
    </row>
    <row r="453" ht="26.25" customHeight="1">
      <c r="A453" s="47" t="s">
        <v>1090</v>
      </c>
      <c r="B453" s="48" t="s">
        <v>17</v>
      </c>
      <c r="C453" s="50" t="s">
        <v>1092</v>
      </c>
      <c r="D453" s="48" t="s">
        <v>1020</v>
      </c>
      <c r="E453" s="48" t="s">
        <v>22</v>
      </c>
      <c r="F453" s="48" t="s">
        <v>23</v>
      </c>
      <c r="G453" s="53">
        <v>43750.0</v>
      </c>
      <c r="H453" s="53">
        <v>47000.0</v>
      </c>
      <c r="I453" s="53">
        <v>3250.0</v>
      </c>
      <c r="J453" s="54">
        <v>0.07428571428571429</v>
      </c>
    </row>
    <row r="454" ht="26.25" customHeight="1">
      <c r="A454" s="11" t="s">
        <v>1094</v>
      </c>
      <c r="B454" s="13" t="s">
        <v>17</v>
      </c>
      <c r="C454" s="16" t="s">
        <v>1095</v>
      </c>
      <c r="D454" s="13" t="s">
        <v>1020</v>
      </c>
      <c r="E454" s="13" t="s">
        <v>22</v>
      </c>
      <c r="F454" s="13" t="s">
        <v>23</v>
      </c>
      <c r="G454" s="22">
        <v>0.0</v>
      </c>
      <c r="H454" s="22">
        <v>0.0</v>
      </c>
      <c r="I454" s="22">
        <v>0.0</v>
      </c>
      <c r="J454" s="46">
        <v>0.0</v>
      </c>
    </row>
    <row r="455" ht="26.25" customHeight="1">
      <c r="A455" s="47" t="s">
        <v>1096</v>
      </c>
      <c r="B455" s="48" t="s">
        <v>17</v>
      </c>
      <c r="C455" s="50" t="s">
        <v>1097</v>
      </c>
      <c r="D455" s="48" t="s">
        <v>1020</v>
      </c>
      <c r="E455" s="48" t="s">
        <v>22</v>
      </c>
      <c r="F455" s="48" t="s">
        <v>23</v>
      </c>
      <c r="G455" s="53">
        <v>45500.0</v>
      </c>
      <c r="H455" s="53">
        <v>48000.0</v>
      </c>
      <c r="I455" s="53">
        <v>2500.0</v>
      </c>
      <c r="J455" s="54">
        <v>0.054945054945054944</v>
      </c>
    </row>
    <row r="456" ht="26.25" customHeight="1">
      <c r="A456" s="11" t="s">
        <v>1098</v>
      </c>
      <c r="B456" s="13" t="s">
        <v>17</v>
      </c>
      <c r="C456" s="16" t="s">
        <v>1099</v>
      </c>
      <c r="D456" s="13" t="s">
        <v>1020</v>
      </c>
      <c r="E456" s="13" t="s">
        <v>22</v>
      </c>
      <c r="F456" s="13" t="s">
        <v>23</v>
      </c>
      <c r="G456" s="22">
        <v>0.0</v>
      </c>
      <c r="H456" s="22">
        <v>0.0</v>
      </c>
      <c r="I456" s="22">
        <v>0.0</v>
      </c>
      <c r="J456" s="46">
        <v>0.0</v>
      </c>
    </row>
    <row r="457" ht="26.25" customHeight="1">
      <c r="A457" s="47" t="s">
        <v>1100</v>
      </c>
      <c r="B457" s="48" t="s">
        <v>17</v>
      </c>
      <c r="C457" s="50" t="s">
        <v>1101</v>
      </c>
      <c r="D457" s="48" t="s">
        <v>1020</v>
      </c>
      <c r="E457" s="48" t="s">
        <v>22</v>
      </c>
      <c r="F457" s="48" t="s">
        <v>23</v>
      </c>
      <c r="G457" s="53">
        <v>70500.0</v>
      </c>
      <c r="H457" s="53">
        <v>73000.0</v>
      </c>
      <c r="I457" s="53">
        <v>2500.0</v>
      </c>
      <c r="J457" s="54">
        <v>0.03546099290780142</v>
      </c>
    </row>
    <row r="458" ht="26.25" customHeight="1">
      <c r="A458" s="11" t="s">
        <v>1102</v>
      </c>
      <c r="B458" s="13" t="s">
        <v>17</v>
      </c>
      <c r="C458" s="16" t="s">
        <v>1103</v>
      </c>
      <c r="D458" s="13" t="s">
        <v>1020</v>
      </c>
      <c r="E458" s="13" t="s">
        <v>22</v>
      </c>
      <c r="F458" s="13" t="s">
        <v>23</v>
      </c>
      <c r="G458" s="22">
        <v>70175.0</v>
      </c>
      <c r="H458" s="22">
        <v>74000.0</v>
      </c>
      <c r="I458" s="22">
        <v>3825.0</v>
      </c>
      <c r="J458" s="46">
        <v>0.054506590666191665</v>
      </c>
    </row>
    <row r="459" ht="26.25" customHeight="1">
      <c r="A459" s="47" t="s">
        <v>1104</v>
      </c>
      <c r="B459" s="48" t="s">
        <v>17</v>
      </c>
      <c r="C459" s="50" t="s">
        <v>1105</v>
      </c>
      <c r="D459" s="48" t="s">
        <v>1020</v>
      </c>
      <c r="E459" s="48" t="s">
        <v>22</v>
      </c>
      <c r="F459" s="48" t="s">
        <v>23</v>
      </c>
      <c r="G459" s="53">
        <v>73600.0</v>
      </c>
      <c r="H459" s="53">
        <v>77000.0</v>
      </c>
      <c r="I459" s="53">
        <v>3400.0</v>
      </c>
      <c r="J459" s="54">
        <v>0.04619565217391304</v>
      </c>
    </row>
    <row r="460" ht="26.25" customHeight="1">
      <c r="A460" s="11" t="s">
        <v>1106</v>
      </c>
      <c r="B460" s="13" t="s">
        <v>17</v>
      </c>
      <c r="C460" s="16" t="s">
        <v>1107</v>
      </c>
      <c r="D460" s="13" t="s">
        <v>1020</v>
      </c>
      <c r="E460" s="13" t="s">
        <v>22</v>
      </c>
      <c r="F460" s="13" t="s">
        <v>23</v>
      </c>
      <c r="G460" s="22">
        <v>74150.0</v>
      </c>
      <c r="H460" s="22">
        <v>78000.0</v>
      </c>
      <c r="I460" s="22">
        <v>3850.0</v>
      </c>
      <c r="J460" s="46">
        <v>0.051921780175320294</v>
      </c>
    </row>
    <row r="461" ht="26.25" customHeight="1">
      <c r="A461" s="47" t="s">
        <v>1109</v>
      </c>
      <c r="B461" s="48" t="s">
        <v>17</v>
      </c>
      <c r="C461" s="50" t="s">
        <v>1110</v>
      </c>
      <c r="D461" s="48" t="s">
        <v>1020</v>
      </c>
      <c r="E461" s="48" t="s">
        <v>22</v>
      </c>
      <c r="F461" s="48" t="s">
        <v>23</v>
      </c>
      <c r="G461" s="53">
        <v>0.0</v>
      </c>
      <c r="H461" s="53">
        <v>0.0</v>
      </c>
      <c r="I461" s="53">
        <v>0.0</v>
      </c>
      <c r="J461" s="54">
        <v>0.0</v>
      </c>
    </row>
    <row r="462" ht="26.25" customHeight="1">
      <c r="A462" s="11" t="s">
        <v>1113</v>
      </c>
      <c r="B462" s="13" t="s">
        <v>17</v>
      </c>
      <c r="C462" s="16" t="s">
        <v>1114</v>
      </c>
      <c r="D462" s="13" t="s">
        <v>1020</v>
      </c>
      <c r="E462" s="13" t="s">
        <v>22</v>
      </c>
      <c r="F462" s="13" t="s">
        <v>23</v>
      </c>
      <c r="G462" s="22">
        <v>97100.0</v>
      </c>
      <c r="H462" s="22">
        <v>102000.0</v>
      </c>
      <c r="I462" s="22">
        <v>4900.0</v>
      </c>
      <c r="J462" s="46">
        <v>0.05046343975283213</v>
      </c>
    </row>
    <row r="463" ht="26.25" customHeight="1">
      <c r="A463" s="47" t="s">
        <v>1115</v>
      </c>
      <c r="B463" s="48" t="s">
        <v>17</v>
      </c>
      <c r="C463" s="50" t="s">
        <v>1116</v>
      </c>
      <c r="D463" s="48" t="s">
        <v>1020</v>
      </c>
      <c r="E463" s="48" t="s">
        <v>22</v>
      </c>
      <c r="F463" s="48" t="s">
        <v>23</v>
      </c>
      <c r="G463" s="53">
        <v>0.0</v>
      </c>
      <c r="H463" s="53">
        <v>0.0</v>
      </c>
      <c r="I463" s="53">
        <v>0.0</v>
      </c>
      <c r="J463" s="54">
        <v>0.0</v>
      </c>
    </row>
    <row r="464" ht="26.25" customHeight="1">
      <c r="A464" s="11" t="s">
        <v>1117</v>
      </c>
      <c r="B464" s="13" t="s">
        <v>17</v>
      </c>
      <c r="C464" s="16" t="s">
        <v>1118</v>
      </c>
      <c r="D464" s="13" t="s">
        <v>1020</v>
      </c>
      <c r="E464" s="13" t="s">
        <v>22</v>
      </c>
      <c r="F464" s="13" t="s">
        <v>23</v>
      </c>
      <c r="G464" s="22">
        <v>0.0</v>
      </c>
      <c r="H464" s="22">
        <v>0.0</v>
      </c>
      <c r="I464" s="22">
        <v>0.0</v>
      </c>
      <c r="J464" s="46">
        <v>0.0</v>
      </c>
    </row>
    <row r="465" ht="26.25" customHeight="1">
      <c r="A465" s="47" t="s">
        <v>1119</v>
      </c>
      <c r="B465" s="48" t="s">
        <v>17</v>
      </c>
      <c r="C465" s="50" t="s">
        <v>1120</v>
      </c>
      <c r="D465" s="48" t="s">
        <v>1020</v>
      </c>
      <c r="E465" s="48" t="s">
        <v>22</v>
      </c>
      <c r="F465" s="48" t="s">
        <v>23</v>
      </c>
      <c r="G465" s="53">
        <v>7305.0</v>
      </c>
      <c r="H465" s="53">
        <v>10000.0</v>
      </c>
      <c r="I465" s="53">
        <v>2695.0</v>
      </c>
      <c r="J465" s="54">
        <v>0.36892539356605064</v>
      </c>
    </row>
    <row r="466" ht="26.25" customHeight="1">
      <c r="A466" s="11" t="s">
        <v>1121</v>
      </c>
      <c r="B466" s="13" t="s">
        <v>17</v>
      </c>
      <c r="C466" s="16" t="s">
        <v>1122</v>
      </c>
      <c r="D466" s="13" t="s">
        <v>1020</v>
      </c>
      <c r="E466" s="13" t="s">
        <v>22</v>
      </c>
      <c r="F466" s="13" t="s">
        <v>23</v>
      </c>
      <c r="G466" s="22">
        <v>10080.0</v>
      </c>
      <c r="H466" s="22">
        <v>12500.0</v>
      </c>
      <c r="I466" s="22">
        <v>2420.0</v>
      </c>
      <c r="J466" s="46">
        <v>0.2400793650793651</v>
      </c>
    </row>
    <row r="467" ht="26.25" customHeight="1">
      <c r="A467" s="47" t="s">
        <v>1123</v>
      </c>
      <c r="B467" s="48" t="s">
        <v>17</v>
      </c>
      <c r="C467" s="50" t="s">
        <v>1124</v>
      </c>
      <c r="D467" s="48" t="s">
        <v>1020</v>
      </c>
      <c r="E467" s="48" t="s">
        <v>22</v>
      </c>
      <c r="F467" s="48" t="s">
        <v>23</v>
      </c>
      <c r="G467" s="53">
        <v>12300.0</v>
      </c>
      <c r="H467" s="53">
        <v>15000.0</v>
      </c>
      <c r="I467" s="53">
        <v>2700.0</v>
      </c>
      <c r="J467" s="54">
        <v>0.21951219512195122</v>
      </c>
    </row>
    <row r="468" ht="26.25" customHeight="1">
      <c r="A468" s="11" t="s">
        <v>1125</v>
      </c>
      <c r="B468" s="13" t="s">
        <v>17</v>
      </c>
      <c r="C468" s="16" t="s">
        <v>1126</v>
      </c>
      <c r="D468" s="13" t="s">
        <v>1020</v>
      </c>
      <c r="E468" s="13" t="s">
        <v>22</v>
      </c>
      <c r="F468" s="13" t="s">
        <v>23</v>
      </c>
      <c r="G468" s="22">
        <v>0.0</v>
      </c>
      <c r="H468" s="22">
        <v>0.0</v>
      </c>
      <c r="I468" s="22">
        <v>0.0</v>
      </c>
      <c r="J468" s="46">
        <v>0.0</v>
      </c>
    </row>
    <row r="469" ht="26.25" customHeight="1">
      <c r="A469" s="47" t="s">
        <v>1127</v>
      </c>
      <c r="B469" s="48" t="s">
        <v>17</v>
      </c>
      <c r="C469" s="50" t="s">
        <v>1128</v>
      </c>
      <c r="D469" s="48" t="s">
        <v>1020</v>
      </c>
      <c r="E469" s="48" t="s">
        <v>22</v>
      </c>
      <c r="F469" s="48" t="s">
        <v>23</v>
      </c>
      <c r="G469" s="53">
        <v>15404.0</v>
      </c>
      <c r="H469" s="53">
        <v>18000.0</v>
      </c>
      <c r="I469" s="53">
        <v>2596.0</v>
      </c>
      <c r="J469" s="54">
        <v>0.16852765515450532</v>
      </c>
    </row>
    <row r="470" ht="26.25" customHeight="1">
      <c r="A470" s="11" t="s">
        <v>1129</v>
      </c>
      <c r="B470" s="13" t="s">
        <v>17</v>
      </c>
      <c r="C470" s="16" t="s">
        <v>1130</v>
      </c>
      <c r="D470" s="13" t="s">
        <v>1020</v>
      </c>
      <c r="E470" s="13" t="s">
        <v>22</v>
      </c>
      <c r="F470" s="13" t="s">
        <v>23</v>
      </c>
      <c r="G470" s="22">
        <v>16750.0</v>
      </c>
      <c r="H470" s="22">
        <v>19000.0</v>
      </c>
      <c r="I470" s="22">
        <v>2250.0</v>
      </c>
      <c r="J470" s="46">
        <v>0.13432835820895522</v>
      </c>
    </row>
    <row r="471" ht="26.25" customHeight="1">
      <c r="A471" s="47" t="s">
        <v>1131</v>
      </c>
      <c r="B471" s="48" t="s">
        <v>17</v>
      </c>
      <c r="C471" s="50" t="s">
        <v>1132</v>
      </c>
      <c r="D471" s="48" t="s">
        <v>140</v>
      </c>
      <c r="E471" s="48" t="s">
        <v>22</v>
      </c>
      <c r="F471" s="48" t="s">
        <v>23</v>
      </c>
      <c r="G471" s="53">
        <v>18036.0</v>
      </c>
      <c r="H471" s="53">
        <v>21000.0</v>
      </c>
      <c r="I471" s="53">
        <v>2964.0</v>
      </c>
      <c r="J471" s="54">
        <v>0.1643379906852961</v>
      </c>
    </row>
    <row r="472" ht="26.25" customHeight="1">
      <c r="A472" s="11" t="s">
        <v>1133</v>
      </c>
      <c r="B472" s="13" t="s">
        <v>17</v>
      </c>
      <c r="C472" s="16" t="s">
        <v>1134</v>
      </c>
      <c r="D472" s="13" t="s">
        <v>140</v>
      </c>
      <c r="E472" s="13" t="s">
        <v>22</v>
      </c>
      <c r="F472" s="13" t="s">
        <v>23</v>
      </c>
      <c r="G472" s="22">
        <v>34710.0</v>
      </c>
      <c r="H472" s="22">
        <v>37000.0</v>
      </c>
      <c r="I472" s="22">
        <v>2290.0</v>
      </c>
      <c r="J472" s="46">
        <v>0.06597522327859406</v>
      </c>
    </row>
    <row r="473" ht="26.25" customHeight="1">
      <c r="A473" s="47" t="s">
        <v>1135</v>
      </c>
      <c r="B473" s="48" t="s">
        <v>17</v>
      </c>
      <c r="C473" s="50" t="s">
        <v>1136</v>
      </c>
      <c r="D473" s="48" t="s">
        <v>140</v>
      </c>
      <c r="E473" s="48" t="s">
        <v>22</v>
      </c>
      <c r="F473" s="48" t="s">
        <v>23</v>
      </c>
      <c r="G473" s="53">
        <v>0.0</v>
      </c>
      <c r="H473" s="53">
        <v>0.0</v>
      </c>
      <c r="I473" s="53">
        <v>0.0</v>
      </c>
      <c r="J473" s="54">
        <v>0.0</v>
      </c>
    </row>
    <row r="474" ht="26.25" customHeight="1">
      <c r="A474" s="11" t="s">
        <v>1137</v>
      </c>
      <c r="B474" s="13" t="s">
        <v>17</v>
      </c>
      <c r="C474" s="16" t="s">
        <v>1138</v>
      </c>
      <c r="D474" s="13" t="s">
        <v>140</v>
      </c>
      <c r="E474" s="13" t="s">
        <v>22</v>
      </c>
      <c r="F474" s="13" t="s">
        <v>23</v>
      </c>
      <c r="G474" s="22">
        <v>16334.0</v>
      </c>
      <c r="H474" s="22">
        <v>22000.0</v>
      </c>
      <c r="I474" s="22">
        <v>5666.0</v>
      </c>
      <c r="J474" s="46">
        <v>0.3468838006611975</v>
      </c>
    </row>
    <row r="475" ht="26.25" customHeight="1">
      <c r="A475" s="47" t="s">
        <v>1139</v>
      </c>
      <c r="B475" s="48" t="s">
        <v>17</v>
      </c>
      <c r="C475" s="50" t="s">
        <v>1140</v>
      </c>
      <c r="D475" s="48" t="s">
        <v>140</v>
      </c>
      <c r="E475" s="48" t="s">
        <v>22</v>
      </c>
      <c r="F475" s="48" t="s">
        <v>23</v>
      </c>
      <c r="G475" s="53">
        <v>24150.0</v>
      </c>
      <c r="H475" s="53">
        <v>29000.0</v>
      </c>
      <c r="I475" s="53">
        <v>4850.0</v>
      </c>
      <c r="J475" s="54">
        <v>0.20082815734989648</v>
      </c>
    </row>
    <row r="476" ht="26.25" customHeight="1">
      <c r="A476" s="11" t="s">
        <v>1141</v>
      </c>
      <c r="B476" s="13" t="s">
        <v>17</v>
      </c>
      <c r="C476" s="16" t="s">
        <v>1143</v>
      </c>
      <c r="D476" s="13" t="s">
        <v>140</v>
      </c>
      <c r="E476" s="13" t="s">
        <v>22</v>
      </c>
      <c r="F476" s="13" t="s">
        <v>23</v>
      </c>
      <c r="G476" s="22">
        <v>5230.0</v>
      </c>
      <c r="H476" s="22">
        <v>7500.0</v>
      </c>
      <c r="I476" s="22">
        <v>2270.0</v>
      </c>
      <c r="J476" s="46">
        <v>0.4340344168260038</v>
      </c>
    </row>
    <row r="477" ht="26.25" customHeight="1">
      <c r="A477" s="47" t="s">
        <v>1144</v>
      </c>
      <c r="B477" s="48" t="s">
        <v>17</v>
      </c>
      <c r="C477" s="50" t="s">
        <v>1146</v>
      </c>
      <c r="D477" s="48" t="s">
        <v>140</v>
      </c>
      <c r="E477" s="48" t="s">
        <v>22</v>
      </c>
      <c r="F477" s="48" t="s">
        <v>23</v>
      </c>
      <c r="G477" s="53">
        <v>10140.0</v>
      </c>
      <c r="H477" s="53">
        <v>12500.0</v>
      </c>
      <c r="I477" s="53">
        <v>2360.0</v>
      </c>
      <c r="J477" s="54">
        <v>0.23274161735700197</v>
      </c>
    </row>
    <row r="478" ht="26.25" customHeight="1">
      <c r="A478" s="11" t="s">
        <v>1147</v>
      </c>
      <c r="B478" s="13" t="s">
        <v>17</v>
      </c>
      <c r="C478" s="16" t="s">
        <v>1148</v>
      </c>
      <c r="D478" s="13" t="s">
        <v>140</v>
      </c>
      <c r="E478" s="13" t="s">
        <v>22</v>
      </c>
      <c r="F478" s="13" t="s">
        <v>23</v>
      </c>
      <c r="G478" s="22">
        <v>14970.0</v>
      </c>
      <c r="H478" s="22">
        <v>17000.0</v>
      </c>
      <c r="I478" s="22">
        <v>2030.0</v>
      </c>
      <c r="J478" s="46">
        <v>0.13560454241816966</v>
      </c>
    </row>
    <row r="479" ht="26.25" customHeight="1">
      <c r="A479" s="47" t="s">
        <v>1149</v>
      </c>
      <c r="B479" s="48" t="s">
        <v>17</v>
      </c>
      <c r="C479" s="50" t="s">
        <v>1150</v>
      </c>
      <c r="D479" s="48" t="s">
        <v>140</v>
      </c>
      <c r="E479" s="48" t="s">
        <v>22</v>
      </c>
      <c r="F479" s="48" t="s">
        <v>23</v>
      </c>
      <c r="G479" s="53">
        <v>24800.0</v>
      </c>
      <c r="H479" s="53">
        <v>27000.0</v>
      </c>
      <c r="I479" s="53">
        <v>2200.0</v>
      </c>
      <c r="J479" s="54">
        <v>0.08870967741935484</v>
      </c>
    </row>
    <row r="480" ht="26.25" customHeight="1">
      <c r="A480" s="11" t="s">
        <v>1151</v>
      </c>
      <c r="B480" s="13" t="s">
        <v>17</v>
      </c>
      <c r="C480" s="16" t="s">
        <v>1152</v>
      </c>
      <c r="D480" s="13" t="s">
        <v>140</v>
      </c>
      <c r="E480" s="13" t="s">
        <v>22</v>
      </c>
      <c r="F480" s="13" t="s">
        <v>23</v>
      </c>
      <c r="G480" s="22">
        <v>29920.0</v>
      </c>
      <c r="H480" s="22">
        <v>32000.0</v>
      </c>
      <c r="I480" s="22">
        <v>2080.0</v>
      </c>
      <c r="J480" s="46">
        <v>0.06951871657754011</v>
      </c>
    </row>
    <row r="481" ht="26.25" customHeight="1">
      <c r="A481" s="47" t="s">
        <v>1153</v>
      </c>
      <c r="B481" s="48" t="s">
        <v>17</v>
      </c>
      <c r="C481" s="50" t="s">
        <v>1154</v>
      </c>
      <c r="D481" s="48" t="s">
        <v>140</v>
      </c>
      <c r="E481" s="48" t="s">
        <v>22</v>
      </c>
      <c r="F481" s="48" t="s">
        <v>23</v>
      </c>
      <c r="G481" s="53">
        <v>34799.0</v>
      </c>
      <c r="H481" s="53">
        <v>37000.0</v>
      </c>
      <c r="I481" s="53">
        <v>2201.0</v>
      </c>
      <c r="J481" s="54">
        <v>0.06324894393517055</v>
      </c>
    </row>
    <row r="482" ht="26.25" customHeight="1">
      <c r="A482" s="11" t="s">
        <v>1155</v>
      </c>
      <c r="B482" s="13" t="s">
        <v>17</v>
      </c>
      <c r="C482" s="16" t="s">
        <v>1156</v>
      </c>
      <c r="D482" s="13" t="s">
        <v>140</v>
      </c>
      <c r="E482" s="13" t="s">
        <v>22</v>
      </c>
      <c r="F482" s="13" t="s">
        <v>23</v>
      </c>
      <c r="G482" s="22">
        <v>39465.0</v>
      </c>
      <c r="H482" s="22">
        <v>42000.0</v>
      </c>
      <c r="I482" s="22">
        <v>2535.0</v>
      </c>
      <c r="J482" s="46">
        <v>0.06423413150893197</v>
      </c>
    </row>
    <row r="483" ht="26.25" customHeight="1">
      <c r="A483" s="47" t="s">
        <v>1157</v>
      </c>
      <c r="B483" s="48" t="s">
        <v>17</v>
      </c>
      <c r="C483" s="50" t="s">
        <v>1158</v>
      </c>
      <c r="D483" s="48" t="s">
        <v>140</v>
      </c>
      <c r="E483" s="48" t="s">
        <v>22</v>
      </c>
      <c r="F483" s="48" t="s">
        <v>23</v>
      </c>
      <c r="G483" s="53">
        <v>44775.0</v>
      </c>
      <c r="H483" s="53">
        <v>47000.0</v>
      </c>
      <c r="I483" s="53">
        <v>2225.0</v>
      </c>
      <c r="J483" s="54">
        <v>0.0496929089893914</v>
      </c>
    </row>
    <row r="484" ht="26.25" customHeight="1">
      <c r="A484" s="11" t="s">
        <v>1159</v>
      </c>
      <c r="B484" s="13" t="s">
        <v>17</v>
      </c>
      <c r="C484" s="16" t="s">
        <v>1160</v>
      </c>
      <c r="D484" s="13" t="s">
        <v>140</v>
      </c>
      <c r="E484" s="13" t="s">
        <v>22</v>
      </c>
      <c r="F484" s="13" t="s">
        <v>23</v>
      </c>
      <c r="G484" s="22">
        <v>49495.0</v>
      </c>
      <c r="H484" s="22">
        <v>52000.0</v>
      </c>
      <c r="I484" s="22">
        <v>2505.0</v>
      </c>
      <c r="J484" s="46">
        <v>0.05061117284574199</v>
      </c>
    </row>
    <row r="485" ht="26.25" customHeight="1">
      <c r="A485" s="47" t="s">
        <v>1161</v>
      </c>
      <c r="B485" s="48" t="s">
        <v>17</v>
      </c>
      <c r="C485" s="50" t="s">
        <v>1162</v>
      </c>
      <c r="D485" s="48" t="s">
        <v>140</v>
      </c>
      <c r="E485" s="48" t="s">
        <v>22</v>
      </c>
      <c r="F485" s="48" t="s">
        <v>23</v>
      </c>
      <c r="G485" s="53">
        <v>54561.0</v>
      </c>
      <c r="H485" s="53">
        <v>57000.0</v>
      </c>
      <c r="I485" s="53">
        <v>2439.0</v>
      </c>
      <c r="J485" s="54">
        <v>0.044702259855941055</v>
      </c>
    </row>
    <row r="486" ht="26.25" customHeight="1">
      <c r="A486" s="11" t="s">
        <v>1163</v>
      </c>
      <c r="B486" s="13" t="s">
        <v>17</v>
      </c>
      <c r="C486" s="16" t="s">
        <v>1164</v>
      </c>
      <c r="D486" s="13" t="s">
        <v>140</v>
      </c>
      <c r="E486" s="13" t="s">
        <v>22</v>
      </c>
      <c r="F486" s="13" t="s">
        <v>23</v>
      </c>
      <c r="G486" s="22">
        <v>59503.0</v>
      </c>
      <c r="H486" s="22">
        <v>63000.0</v>
      </c>
      <c r="I486" s="22">
        <v>3497.0</v>
      </c>
      <c r="J486" s="46">
        <v>0.05877014604305665</v>
      </c>
    </row>
    <row r="487" ht="26.25" customHeight="1">
      <c r="A487" s="47" t="s">
        <v>1165</v>
      </c>
      <c r="B487" s="48" t="s">
        <v>17</v>
      </c>
      <c r="C487" s="50" t="s">
        <v>1166</v>
      </c>
      <c r="D487" s="48" t="s">
        <v>140</v>
      </c>
      <c r="E487" s="48" t="s">
        <v>22</v>
      </c>
      <c r="F487" s="48" t="s">
        <v>23</v>
      </c>
      <c r="G487" s="53">
        <v>64534.0</v>
      </c>
      <c r="H487" s="53">
        <v>68000.0</v>
      </c>
      <c r="I487" s="53">
        <v>3466.0</v>
      </c>
      <c r="J487" s="54">
        <v>0.053708122849970556</v>
      </c>
    </row>
    <row r="488" ht="26.25" customHeight="1">
      <c r="A488" s="11" t="s">
        <v>1167</v>
      </c>
      <c r="B488" s="13" t="s">
        <v>17</v>
      </c>
      <c r="C488" s="16" t="s">
        <v>1168</v>
      </c>
      <c r="D488" s="13" t="s">
        <v>471</v>
      </c>
      <c r="E488" s="13" t="s">
        <v>22</v>
      </c>
      <c r="F488" s="13" t="s">
        <v>23</v>
      </c>
      <c r="G488" s="22">
        <v>69431.0</v>
      </c>
      <c r="H488" s="22">
        <v>73000.0</v>
      </c>
      <c r="I488" s="22">
        <v>3569.0</v>
      </c>
      <c r="J488" s="46">
        <v>0.05140355172761447</v>
      </c>
    </row>
    <row r="489" ht="26.25" customHeight="1">
      <c r="A489" s="47" t="s">
        <v>1169</v>
      </c>
      <c r="B489" s="48" t="s">
        <v>17</v>
      </c>
      <c r="C489" s="50" t="s">
        <v>1170</v>
      </c>
      <c r="D489" s="48" t="s">
        <v>471</v>
      </c>
      <c r="E489" s="48" t="s">
        <v>22</v>
      </c>
      <c r="F489" s="48" t="s">
        <v>23</v>
      </c>
      <c r="G489" s="53">
        <v>73143.0</v>
      </c>
      <c r="H489" s="53">
        <v>78000.0</v>
      </c>
      <c r="I489" s="53">
        <v>4857.0</v>
      </c>
      <c r="J489" s="54">
        <v>0.06640416717936098</v>
      </c>
    </row>
    <row r="490" ht="26.25" customHeight="1">
      <c r="A490" s="11" t="s">
        <v>1173</v>
      </c>
      <c r="B490" s="13" t="s">
        <v>17</v>
      </c>
      <c r="C490" s="16" t="s">
        <v>1175</v>
      </c>
      <c r="D490" s="13" t="s">
        <v>471</v>
      </c>
      <c r="E490" s="13" t="s">
        <v>22</v>
      </c>
      <c r="F490" s="13" t="s">
        <v>23</v>
      </c>
      <c r="G490" s="22">
        <v>79335.0</v>
      </c>
      <c r="H490" s="22">
        <v>83000.0</v>
      </c>
      <c r="I490" s="22">
        <v>3665.0</v>
      </c>
      <c r="J490" s="46">
        <v>0.046196508476712674</v>
      </c>
    </row>
    <row r="491" ht="26.25" customHeight="1">
      <c r="A491" s="47" t="s">
        <v>1178</v>
      </c>
      <c r="B491" s="48" t="s">
        <v>17</v>
      </c>
      <c r="C491" s="50" t="s">
        <v>1179</v>
      </c>
      <c r="D491" s="48" t="s">
        <v>471</v>
      </c>
      <c r="E491" s="48" t="s">
        <v>22</v>
      </c>
      <c r="F491" s="48" t="s">
        <v>23</v>
      </c>
      <c r="G491" s="53">
        <v>84110.0</v>
      </c>
      <c r="H491" s="53">
        <v>88000.0</v>
      </c>
      <c r="I491" s="53">
        <v>3890.0</v>
      </c>
      <c r="J491" s="54">
        <v>0.046248959695636666</v>
      </c>
    </row>
    <row r="492" ht="26.25" customHeight="1">
      <c r="A492" s="11" t="s">
        <v>1181</v>
      </c>
      <c r="B492" s="13" t="s">
        <v>17</v>
      </c>
      <c r="C492" s="16" t="s">
        <v>1182</v>
      </c>
      <c r="D492" s="13" t="s">
        <v>471</v>
      </c>
      <c r="E492" s="13" t="s">
        <v>22</v>
      </c>
      <c r="F492" s="13" t="s">
        <v>23</v>
      </c>
      <c r="G492" s="160">
        <v>20224.0</v>
      </c>
      <c r="H492" s="160">
        <v>22000.0</v>
      </c>
      <c r="I492" s="22">
        <v>1776.0</v>
      </c>
      <c r="J492" s="46">
        <v>0.08781645569620253</v>
      </c>
    </row>
    <row r="493" ht="26.25" customHeight="1">
      <c r="A493" s="47" t="s">
        <v>1183</v>
      </c>
      <c r="B493" s="48" t="s">
        <v>17</v>
      </c>
      <c r="C493" s="50" t="s">
        <v>1184</v>
      </c>
      <c r="D493" s="48" t="s">
        <v>471</v>
      </c>
      <c r="E493" s="48" t="s">
        <v>22</v>
      </c>
      <c r="F493" s="48" t="s">
        <v>23</v>
      </c>
      <c r="G493" s="53">
        <v>94210.0</v>
      </c>
      <c r="H493" s="53">
        <v>98000.0</v>
      </c>
      <c r="I493" s="53">
        <v>3790.0</v>
      </c>
      <c r="J493" s="54">
        <v>0.040229275023882814</v>
      </c>
    </row>
    <row r="494" ht="26.25" customHeight="1">
      <c r="A494" s="11" t="s">
        <v>1185</v>
      </c>
      <c r="B494" s="13" t="s">
        <v>17</v>
      </c>
      <c r="C494" s="16" t="s">
        <v>1186</v>
      </c>
      <c r="D494" s="13" t="s">
        <v>471</v>
      </c>
      <c r="E494" s="13" t="s">
        <v>22</v>
      </c>
      <c r="F494" s="13" t="s">
        <v>23</v>
      </c>
      <c r="G494" s="22">
        <v>97557.0</v>
      </c>
      <c r="H494" s="22">
        <v>102000.0</v>
      </c>
      <c r="I494" s="22">
        <v>4443.0</v>
      </c>
      <c r="J494" s="46">
        <v>0.04554260586118884</v>
      </c>
    </row>
    <row r="495" ht="26.25" customHeight="1">
      <c r="A495" s="47" t="s">
        <v>1187</v>
      </c>
      <c r="B495" s="48" t="s">
        <v>17</v>
      </c>
      <c r="C495" s="50" t="s">
        <v>1188</v>
      </c>
      <c r="D495" s="48" t="s">
        <v>471</v>
      </c>
      <c r="E495" s="48" t="s">
        <v>22</v>
      </c>
      <c r="F495" s="48" t="s">
        <v>23</v>
      </c>
      <c r="G495" s="53">
        <v>146170.0</v>
      </c>
      <c r="H495" s="53">
        <v>152000.0</v>
      </c>
      <c r="I495" s="53">
        <v>5830.0</v>
      </c>
      <c r="J495" s="54">
        <v>0.03988506533488404</v>
      </c>
    </row>
    <row r="496" ht="26.25" customHeight="1">
      <c r="A496" s="11" t="s">
        <v>1189</v>
      </c>
      <c r="B496" s="13" t="s">
        <v>17</v>
      </c>
      <c r="C496" s="16" t="s">
        <v>1190</v>
      </c>
      <c r="D496" s="13" t="s">
        <v>471</v>
      </c>
      <c r="E496" s="13" t="s">
        <v>22</v>
      </c>
      <c r="F496" s="13" t="s">
        <v>23</v>
      </c>
      <c r="G496" s="22">
        <v>194840.0</v>
      </c>
      <c r="H496" s="22">
        <v>203000.0</v>
      </c>
      <c r="I496" s="22">
        <v>8160.0</v>
      </c>
      <c r="J496" s="46">
        <v>0.04188051734756724</v>
      </c>
    </row>
    <row r="497" ht="26.25" customHeight="1">
      <c r="A497" s="47" t="s">
        <v>1191</v>
      </c>
      <c r="B497" s="48" t="s">
        <v>17</v>
      </c>
      <c r="C497" s="50" t="s">
        <v>1192</v>
      </c>
      <c r="D497" s="48" t="s">
        <v>471</v>
      </c>
      <c r="E497" s="48" t="s">
        <v>22</v>
      </c>
      <c r="F497" s="48" t="s">
        <v>23</v>
      </c>
      <c r="G497" s="53">
        <v>5161.0</v>
      </c>
      <c r="H497" s="53">
        <v>7000.0</v>
      </c>
      <c r="I497" s="53">
        <v>1839.0</v>
      </c>
      <c r="J497" s="54">
        <v>0.3563262933540012</v>
      </c>
    </row>
    <row r="498" ht="26.25" customHeight="1">
      <c r="A498" s="11" t="s">
        <v>1193</v>
      </c>
      <c r="B498" s="13" t="s">
        <v>17</v>
      </c>
      <c r="C498" s="16" t="s">
        <v>1194</v>
      </c>
      <c r="D498" s="13" t="s">
        <v>471</v>
      </c>
      <c r="E498" s="13" t="s">
        <v>22</v>
      </c>
      <c r="F498" s="13" t="s">
        <v>23</v>
      </c>
      <c r="G498" s="22">
        <v>10101.0</v>
      </c>
      <c r="H498" s="22">
        <v>12000.0</v>
      </c>
      <c r="I498" s="22">
        <v>1899.0</v>
      </c>
      <c r="J498" s="46">
        <v>0.188001188001188</v>
      </c>
    </row>
    <row r="499" ht="26.25" customHeight="1">
      <c r="A499" s="47" t="s">
        <v>1195</v>
      </c>
      <c r="B499" s="48" t="s">
        <v>17</v>
      </c>
      <c r="C499" s="50" t="s">
        <v>1196</v>
      </c>
      <c r="D499" s="48" t="s">
        <v>471</v>
      </c>
      <c r="E499" s="48" t="s">
        <v>22</v>
      </c>
      <c r="F499" s="48" t="s">
        <v>23</v>
      </c>
      <c r="G499" s="53">
        <v>15000.0</v>
      </c>
      <c r="H499" s="53">
        <v>17000.0</v>
      </c>
      <c r="I499" s="53">
        <v>2000.0</v>
      </c>
      <c r="J499" s="54">
        <v>0.13333333333333333</v>
      </c>
    </row>
    <row r="500" ht="26.25" customHeight="1">
      <c r="A500" s="11" t="s">
        <v>1197</v>
      </c>
      <c r="B500" s="13" t="s">
        <v>17</v>
      </c>
      <c r="C500" s="16" t="s">
        <v>1198</v>
      </c>
      <c r="D500" s="13" t="s">
        <v>471</v>
      </c>
      <c r="E500" s="13" t="s">
        <v>22</v>
      </c>
      <c r="F500" s="13" t="s">
        <v>23</v>
      </c>
      <c r="G500" s="22">
        <v>20000.0</v>
      </c>
      <c r="H500" s="22">
        <v>22000.0</v>
      </c>
      <c r="I500" s="22">
        <v>2000.0</v>
      </c>
      <c r="J500" s="46">
        <v>0.1</v>
      </c>
    </row>
    <row r="501" ht="26.25" customHeight="1">
      <c r="A501" s="47" t="s">
        <v>1200</v>
      </c>
      <c r="B501" s="48" t="s">
        <v>17</v>
      </c>
      <c r="C501" s="50" t="s">
        <v>1201</v>
      </c>
      <c r="D501" s="48" t="s">
        <v>471</v>
      </c>
      <c r="E501" s="48" t="s">
        <v>22</v>
      </c>
      <c r="F501" s="48" t="s">
        <v>23</v>
      </c>
      <c r="G501" s="53">
        <v>25000.0</v>
      </c>
      <c r="H501" s="53">
        <v>27000.0</v>
      </c>
      <c r="I501" s="53">
        <v>2000.0</v>
      </c>
      <c r="J501" s="54">
        <v>0.08</v>
      </c>
    </row>
    <row r="502" ht="26.25" customHeight="1">
      <c r="A502" s="11" t="s">
        <v>1202</v>
      </c>
      <c r="B502" s="13" t="s">
        <v>17</v>
      </c>
      <c r="C502" s="16" t="s">
        <v>1204</v>
      </c>
      <c r="D502" s="13" t="s">
        <v>471</v>
      </c>
      <c r="E502" s="13" t="s">
        <v>22</v>
      </c>
      <c r="F502" s="13" t="s">
        <v>23</v>
      </c>
      <c r="G502" s="22">
        <v>30000.0</v>
      </c>
      <c r="H502" s="22">
        <v>32000.0</v>
      </c>
      <c r="I502" s="22">
        <v>2000.0</v>
      </c>
      <c r="J502" s="46">
        <v>0.06666666666666667</v>
      </c>
    </row>
    <row r="503" ht="26.25" customHeight="1">
      <c r="A503" s="47" t="s">
        <v>1206</v>
      </c>
      <c r="B503" s="48" t="s">
        <v>17</v>
      </c>
      <c r="C503" s="50" t="s">
        <v>1207</v>
      </c>
      <c r="D503" s="48" t="s">
        <v>471</v>
      </c>
      <c r="E503" s="48" t="s">
        <v>22</v>
      </c>
      <c r="F503" s="48" t="s">
        <v>23</v>
      </c>
      <c r="G503" s="53">
        <v>40000.0</v>
      </c>
      <c r="H503" s="53">
        <v>42000.0</v>
      </c>
      <c r="I503" s="53">
        <v>2000.0</v>
      </c>
      <c r="J503" s="54">
        <v>0.05</v>
      </c>
    </row>
    <row r="504" ht="26.25" customHeight="1">
      <c r="A504" s="11" t="s">
        <v>1208</v>
      </c>
      <c r="B504" s="13" t="s">
        <v>17</v>
      </c>
      <c r="C504" s="16" t="s">
        <v>1209</v>
      </c>
      <c r="D504" s="13" t="s">
        <v>471</v>
      </c>
      <c r="E504" s="13" t="s">
        <v>22</v>
      </c>
      <c r="F504" s="13" t="s">
        <v>23</v>
      </c>
      <c r="G504" s="22">
        <v>50000.0</v>
      </c>
      <c r="H504" s="22">
        <v>52000.0</v>
      </c>
      <c r="I504" s="22">
        <v>2000.0</v>
      </c>
      <c r="J504" s="46">
        <v>0.04</v>
      </c>
    </row>
    <row r="505" ht="26.25" customHeight="1">
      <c r="A505" s="47" t="s">
        <v>1210</v>
      </c>
      <c r="B505" s="48" t="s">
        <v>17</v>
      </c>
      <c r="C505" s="50" t="s">
        <v>1211</v>
      </c>
      <c r="D505" s="48" t="s">
        <v>471</v>
      </c>
      <c r="E505" s="48" t="s">
        <v>22</v>
      </c>
      <c r="F505" s="48" t="s">
        <v>23</v>
      </c>
      <c r="G505" s="53">
        <v>60000.0</v>
      </c>
      <c r="H505" s="53">
        <v>62000.0</v>
      </c>
      <c r="I505" s="53">
        <v>2000.0</v>
      </c>
      <c r="J505" s="54">
        <v>0.03333333333333333</v>
      </c>
    </row>
    <row r="506" ht="26.25" customHeight="1">
      <c r="A506" s="11" t="s">
        <v>1212</v>
      </c>
      <c r="B506" s="13" t="s">
        <v>17</v>
      </c>
      <c r="C506" s="16" t="s">
        <v>1213</v>
      </c>
      <c r="D506" s="13" t="s">
        <v>471</v>
      </c>
      <c r="E506" s="13" t="s">
        <v>22</v>
      </c>
      <c r="F506" s="13" t="s">
        <v>23</v>
      </c>
      <c r="G506" s="22">
        <v>70000.0</v>
      </c>
      <c r="H506" s="22">
        <v>73000.0</v>
      </c>
      <c r="I506" s="22">
        <v>3000.0</v>
      </c>
      <c r="J506" s="46">
        <v>0.04285714285714286</v>
      </c>
    </row>
    <row r="507" ht="26.25" customHeight="1">
      <c r="A507" s="47" t="s">
        <v>1214</v>
      </c>
      <c r="B507" s="48" t="s">
        <v>17</v>
      </c>
      <c r="C507" s="50" t="s">
        <v>1215</v>
      </c>
      <c r="D507" s="48" t="s">
        <v>471</v>
      </c>
      <c r="E507" s="48" t="s">
        <v>22</v>
      </c>
      <c r="F507" s="48" t="s">
        <v>23</v>
      </c>
      <c r="G507" s="53">
        <v>75000.0</v>
      </c>
      <c r="H507" s="53">
        <v>78000.0</v>
      </c>
      <c r="I507" s="53">
        <v>3000.0</v>
      </c>
      <c r="J507" s="54">
        <v>0.04</v>
      </c>
    </row>
    <row r="508" ht="26.25" customHeight="1">
      <c r="A508" s="11" t="s">
        <v>1216</v>
      </c>
      <c r="B508" s="13" t="s">
        <v>1217</v>
      </c>
      <c r="C508" s="16" t="s">
        <v>1218</v>
      </c>
      <c r="D508" s="13" t="s">
        <v>1219</v>
      </c>
      <c r="E508" s="13" t="s">
        <v>22</v>
      </c>
      <c r="F508" s="13" t="s">
        <v>23</v>
      </c>
      <c r="G508" s="22">
        <v>80000.0</v>
      </c>
      <c r="H508" s="22">
        <v>83000.0</v>
      </c>
      <c r="I508" s="22">
        <v>3000.0</v>
      </c>
      <c r="J508" s="46">
        <v>0.0375</v>
      </c>
    </row>
    <row r="509" ht="26.25" customHeight="1">
      <c r="A509" s="47" t="s">
        <v>1220</v>
      </c>
      <c r="B509" s="48" t="s">
        <v>1217</v>
      </c>
      <c r="C509" s="50" t="s">
        <v>1221</v>
      </c>
      <c r="D509" s="48" t="s">
        <v>1219</v>
      </c>
      <c r="E509" s="52" t="s">
        <v>22</v>
      </c>
      <c r="F509" s="48" t="s">
        <v>23</v>
      </c>
      <c r="G509" s="53">
        <v>90000.0</v>
      </c>
      <c r="H509" s="53">
        <v>93000.0</v>
      </c>
      <c r="I509" s="53">
        <v>3000.0</v>
      </c>
      <c r="J509" s="54">
        <v>0.03333333333333333</v>
      </c>
    </row>
    <row r="510" ht="26.25" customHeight="1">
      <c r="A510" s="11" t="s">
        <v>1222</v>
      </c>
      <c r="B510" s="13" t="s">
        <v>1217</v>
      </c>
      <c r="C510" s="16" t="s">
        <v>1223</v>
      </c>
      <c r="D510" s="13" t="s">
        <v>1219</v>
      </c>
      <c r="E510" s="19" t="s">
        <v>22</v>
      </c>
      <c r="F510" s="13" t="s">
        <v>23</v>
      </c>
      <c r="G510" s="22">
        <v>93000.0</v>
      </c>
      <c r="H510" s="22">
        <v>96000.0</v>
      </c>
      <c r="I510" s="22">
        <v>3000.0</v>
      </c>
      <c r="J510" s="46">
        <v>0.03225806451612903</v>
      </c>
    </row>
    <row r="511" ht="26.25" customHeight="1">
      <c r="A511" s="47" t="s">
        <v>1224</v>
      </c>
      <c r="B511" s="48" t="s">
        <v>1217</v>
      </c>
      <c r="C511" s="50" t="s">
        <v>1225</v>
      </c>
      <c r="D511" s="48" t="s">
        <v>1219</v>
      </c>
      <c r="E511" s="52" t="s">
        <v>22</v>
      </c>
      <c r="F511" s="48" t="s">
        <v>23</v>
      </c>
      <c r="G511" s="53">
        <v>120000.0</v>
      </c>
      <c r="H511" s="53">
        <v>125000.0</v>
      </c>
      <c r="I511" s="53">
        <v>5000.0</v>
      </c>
      <c r="J511" s="54">
        <v>0.041666666666666664</v>
      </c>
    </row>
    <row r="512" ht="26.25" customHeight="1">
      <c r="A512" s="11" t="s">
        <v>1227</v>
      </c>
      <c r="B512" s="13" t="s">
        <v>1217</v>
      </c>
      <c r="C512" s="16" t="s">
        <v>1228</v>
      </c>
      <c r="D512" s="13" t="s">
        <v>1219</v>
      </c>
      <c r="E512" s="19" t="s">
        <v>22</v>
      </c>
      <c r="F512" s="13" t="s">
        <v>23</v>
      </c>
      <c r="G512" s="22">
        <v>144000.0</v>
      </c>
      <c r="H512" s="22">
        <v>150000.0</v>
      </c>
      <c r="I512" s="22">
        <v>6000.0</v>
      </c>
      <c r="J512" s="46">
        <v>0.041666666666666664</v>
      </c>
    </row>
    <row r="513" ht="26.25" customHeight="1">
      <c r="A513" s="47" t="s">
        <v>1231</v>
      </c>
      <c r="B513" s="48" t="s">
        <v>1217</v>
      </c>
      <c r="C513" s="50" t="s">
        <v>1233</v>
      </c>
      <c r="D513" s="48" t="s">
        <v>1219</v>
      </c>
      <c r="E513" s="52" t="s">
        <v>22</v>
      </c>
      <c r="F513" s="48" t="s">
        <v>23</v>
      </c>
      <c r="G513" s="53">
        <v>190000.0</v>
      </c>
      <c r="H513" s="53">
        <v>200000.0</v>
      </c>
      <c r="I513" s="53">
        <v>10000.0</v>
      </c>
      <c r="J513" s="54">
        <v>0.05263157894736842</v>
      </c>
    </row>
    <row r="514" ht="26.25" customHeight="1">
      <c r="A514" s="11" t="s">
        <v>1234</v>
      </c>
      <c r="B514" s="13" t="s">
        <v>1217</v>
      </c>
      <c r="C514" s="16" t="s">
        <v>1235</v>
      </c>
      <c r="D514" s="13" t="s">
        <v>1219</v>
      </c>
      <c r="E514" s="19" t="s">
        <v>22</v>
      </c>
      <c r="F514" s="13" t="s">
        <v>23</v>
      </c>
      <c r="G514" s="22">
        <v>5051.0</v>
      </c>
      <c r="H514" s="22">
        <v>7000.0</v>
      </c>
      <c r="I514" s="22">
        <v>1949.0</v>
      </c>
      <c r="J514" s="46">
        <v>0.3858641853098396</v>
      </c>
    </row>
    <row r="515" ht="26.25" customHeight="1">
      <c r="A515" s="47" t="s">
        <v>1236</v>
      </c>
      <c r="B515" s="48" t="s">
        <v>1217</v>
      </c>
      <c r="C515" s="50" t="s">
        <v>1237</v>
      </c>
      <c r="D515" s="48" t="s">
        <v>1219</v>
      </c>
      <c r="E515" s="52" t="s">
        <v>22</v>
      </c>
      <c r="F515" s="48" t="s">
        <v>23</v>
      </c>
      <c r="G515" s="53">
        <v>10060.0</v>
      </c>
      <c r="H515" s="53">
        <v>12000.0</v>
      </c>
      <c r="I515" s="53">
        <v>1940.0</v>
      </c>
      <c r="J515" s="54">
        <v>0.19284294234592445</v>
      </c>
    </row>
    <row r="516" ht="26.25" customHeight="1">
      <c r="A516" s="11" t="s">
        <v>1238</v>
      </c>
      <c r="B516" s="13" t="s">
        <v>1217</v>
      </c>
      <c r="C516" s="16" t="s">
        <v>1239</v>
      </c>
      <c r="D516" s="13" t="s">
        <v>1219</v>
      </c>
      <c r="E516" s="19" t="s">
        <v>22</v>
      </c>
      <c r="F516" s="13" t="s">
        <v>23</v>
      </c>
      <c r="G516" s="22">
        <v>12112.0</v>
      </c>
      <c r="H516" s="22">
        <v>14000.0</v>
      </c>
      <c r="I516" s="22">
        <v>1888.0</v>
      </c>
      <c r="J516" s="46">
        <v>0.15587846763540292</v>
      </c>
    </row>
    <row r="517" ht="26.25" customHeight="1">
      <c r="A517" s="47" t="s">
        <v>1240</v>
      </c>
      <c r="B517" s="48" t="s">
        <v>1217</v>
      </c>
      <c r="C517" s="50" t="s">
        <v>1241</v>
      </c>
      <c r="D517" s="48" t="s">
        <v>22</v>
      </c>
      <c r="E517" s="52" t="s">
        <v>22</v>
      </c>
      <c r="F517" s="48" t="s">
        <v>23</v>
      </c>
      <c r="G517" s="53">
        <v>15048.0</v>
      </c>
      <c r="H517" s="53">
        <v>17000.0</v>
      </c>
      <c r="I517" s="53">
        <v>1952.0</v>
      </c>
      <c r="J517" s="54">
        <v>0.12971823498139287</v>
      </c>
    </row>
    <row r="518" ht="26.25" customHeight="1">
      <c r="A518" s="11" t="s">
        <v>1242</v>
      </c>
      <c r="B518" s="13" t="s">
        <v>1217</v>
      </c>
      <c r="C518" s="16" t="s">
        <v>1243</v>
      </c>
      <c r="D518" s="13" t="s">
        <v>22</v>
      </c>
      <c r="E518" s="19" t="s">
        <v>22</v>
      </c>
      <c r="F518" s="13" t="s">
        <v>23</v>
      </c>
      <c r="G518" s="22">
        <v>20194.0</v>
      </c>
      <c r="H518" s="22">
        <v>22000.0</v>
      </c>
      <c r="I518" s="22">
        <v>1806.0</v>
      </c>
      <c r="J518" s="46">
        <v>0.08943250470436763</v>
      </c>
    </row>
    <row r="519" ht="26.25" customHeight="1">
      <c r="A519" s="47" t="s">
        <v>1245</v>
      </c>
      <c r="B519" s="48" t="s">
        <v>1217</v>
      </c>
      <c r="C519" s="50" t="s">
        <v>1246</v>
      </c>
      <c r="D519" s="48" t="s">
        <v>22</v>
      </c>
      <c r="E519" s="52" t="s">
        <v>22</v>
      </c>
      <c r="F519" s="48" t="s">
        <v>23</v>
      </c>
      <c r="G519" s="53">
        <v>25105.0</v>
      </c>
      <c r="H519" s="53">
        <v>27000.0</v>
      </c>
      <c r="I519" s="53">
        <v>1895.0</v>
      </c>
      <c r="J519" s="54">
        <v>0.07548297151961761</v>
      </c>
    </row>
    <row r="520" ht="26.25" customHeight="1">
      <c r="A520" s="11" t="s">
        <v>1249</v>
      </c>
      <c r="B520" s="13" t="s">
        <v>1217</v>
      </c>
      <c r="C520" s="16" t="s">
        <v>1250</v>
      </c>
      <c r="D520" s="13" t="s">
        <v>22</v>
      </c>
      <c r="E520" s="19" t="s">
        <v>22</v>
      </c>
      <c r="F520" s="13" t="s">
        <v>23</v>
      </c>
      <c r="G520" s="22">
        <v>30000.0</v>
      </c>
      <c r="H520" s="22">
        <v>32000.0</v>
      </c>
      <c r="I520" s="22">
        <v>2000.0</v>
      </c>
      <c r="J520" s="46">
        <v>0.06666666666666667</v>
      </c>
    </row>
    <row r="521" ht="26.25" customHeight="1">
      <c r="A521" s="47" t="s">
        <v>1251</v>
      </c>
      <c r="B521" s="48" t="s">
        <v>1217</v>
      </c>
      <c r="C521" s="50" t="s">
        <v>1252</v>
      </c>
      <c r="D521" s="48" t="s">
        <v>22</v>
      </c>
      <c r="E521" s="52" t="s">
        <v>22</v>
      </c>
      <c r="F521" s="48" t="s">
        <v>23</v>
      </c>
      <c r="G521" s="53">
        <v>40290.0</v>
      </c>
      <c r="H521" s="53">
        <v>42500.0</v>
      </c>
      <c r="I521" s="53">
        <v>2210.0</v>
      </c>
      <c r="J521" s="54">
        <v>0.05485232067510549</v>
      </c>
    </row>
    <row r="522" ht="26.25" customHeight="1">
      <c r="A522" s="11" t="s">
        <v>1253</v>
      </c>
      <c r="B522" s="13" t="s">
        <v>1217</v>
      </c>
      <c r="C522" s="16" t="s">
        <v>1254</v>
      </c>
      <c r="D522" s="13" t="s">
        <v>22</v>
      </c>
      <c r="E522" s="19" t="s">
        <v>22</v>
      </c>
      <c r="F522" s="13" t="s">
        <v>23</v>
      </c>
      <c r="G522" s="22">
        <v>45468.0</v>
      </c>
      <c r="H522" s="22">
        <v>47500.0</v>
      </c>
      <c r="I522" s="22">
        <v>2032.0</v>
      </c>
      <c r="J522" s="46">
        <v>0.044690771531626636</v>
      </c>
    </row>
    <row r="523" ht="26.25" customHeight="1">
      <c r="A523" s="47" t="s">
        <v>1255</v>
      </c>
      <c r="B523" s="48" t="s">
        <v>1217</v>
      </c>
      <c r="C523" s="50" t="s">
        <v>1256</v>
      </c>
      <c r="D523" s="48" t="s">
        <v>1257</v>
      </c>
      <c r="E523" s="52" t="s">
        <v>22</v>
      </c>
      <c r="F523" s="48" t="s">
        <v>23</v>
      </c>
      <c r="G523" s="53">
        <v>50528.0</v>
      </c>
      <c r="H523" s="53">
        <v>52500.0</v>
      </c>
      <c r="I523" s="53">
        <v>1972.0</v>
      </c>
      <c r="J523" s="54">
        <v>0.03902786573780874</v>
      </c>
    </row>
    <row r="524" ht="26.25" customHeight="1">
      <c r="A524" s="11" t="s">
        <v>1258</v>
      </c>
      <c r="B524" s="13" t="s">
        <v>1217</v>
      </c>
      <c r="C524" s="16" t="s">
        <v>1259</v>
      </c>
      <c r="D524" s="13" t="s">
        <v>1257</v>
      </c>
      <c r="E524" s="19" t="s">
        <v>22</v>
      </c>
      <c r="F524" s="13" t="s">
        <v>23</v>
      </c>
      <c r="G524" s="22">
        <v>55153.0</v>
      </c>
      <c r="H524" s="22">
        <v>57500.0</v>
      </c>
      <c r="I524" s="22">
        <v>2347.0</v>
      </c>
      <c r="J524" s="46">
        <v>0.04255434881148804</v>
      </c>
    </row>
    <row r="525" ht="26.25" customHeight="1">
      <c r="A525" s="47" t="s">
        <v>1260</v>
      </c>
      <c r="B525" s="48" t="s">
        <v>1217</v>
      </c>
      <c r="C525" s="50" t="s">
        <v>1261</v>
      </c>
      <c r="D525" s="48" t="s">
        <v>1257</v>
      </c>
      <c r="E525" s="52" t="s">
        <v>22</v>
      </c>
      <c r="F525" s="48" t="s">
        <v>23</v>
      </c>
      <c r="G525" s="53">
        <v>59830.0</v>
      </c>
      <c r="H525" s="53">
        <v>63000.0</v>
      </c>
      <c r="I525" s="53">
        <v>3170.0</v>
      </c>
      <c r="J525" s="54">
        <v>0.052983453117165305</v>
      </c>
    </row>
    <row r="526" ht="26.25" customHeight="1">
      <c r="A526" s="11" t="s">
        <v>1262</v>
      </c>
      <c r="B526" s="13" t="s">
        <v>1217</v>
      </c>
      <c r="C526" s="16" t="s">
        <v>1263</v>
      </c>
      <c r="D526" s="13" t="s">
        <v>1257</v>
      </c>
      <c r="E526" s="19" t="s">
        <v>22</v>
      </c>
      <c r="F526" s="13" t="s">
        <v>23</v>
      </c>
      <c r="G526" s="22">
        <v>65083.0</v>
      </c>
      <c r="H526" s="22">
        <v>68000.0</v>
      </c>
      <c r="I526" s="22">
        <v>2917.0</v>
      </c>
      <c r="J526" s="46">
        <v>0.04481969177819092</v>
      </c>
    </row>
    <row r="527" ht="26.25" customHeight="1">
      <c r="A527" s="47" t="s">
        <v>1264</v>
      </c>
      <c r="B527" s="48" t="s">
        <v>1217</v>
      </c>
      <c r="C527" s="50" t="s">
        <v>1265</v>
      </c>
      <c r="D527" s="48" t="s">
        <v>1257</v>
      </c>
      <c r="E527" s="52" t="s">
        <v>22</v>
      </c>
      <c r="F527" s="48" t="s">
        <v>23</v>
      </c>
      <c r="G527" s="53">
        <v>70388.0</v>
      </c>
      <c r="H527" s="53">
        <v>73000.0</v>
      </c>
      <c r="I527" s="53">
        <v>2612.0</v>
      </c>
      <c r="J527" s="54">
        <v>0.0371085980564869</v>
      </c>
    </row>
    <row r="528" ht="26.25" customHeight="1">
      <c r="A528" s="11" t="s">
        <v>1266</v>
      </c>
      <c r="B528" s="13" t="s">
        <v>1217</v>
      </c>
      <c r="C528" s="16" t="s">
        <v>1267</v>
      </c>
      <c r="D528" s="13" t="s">
        <v>1257</v>
      </c>
      <c r="E528" s="19" t="s">
        <v>22</v>
      </c>
      <c r="F528" s="13" t="s">
        <v>23</v>
      </c>
      <c r="G528" s="22">
        <v>74656.0</v>
      </c>
      <c r="H528" s="22">
        <v>77500.0</v>
      </c>
      <c r="I528" s="22">
        <v>2844.0</v>
      </c>
      <c r="J528" s="46">
        <v>0.03809472781825975</v>
      </c>
    </row>
    <row r="529" ht="26.25" customHeight="1">
      <c r="A529" s="47" t="s">
        <v>1270</v>
      </c>
      <c r="B529" s="48" t="s">
        <v>1217</v>
      </c>
      <c r="C529" s="50" t="s">
        <v>1271</v>
      </c>
      <c r="D529" s="48" t="s">
        <v>1257</v>
      </c>
      <c r="E529" s="52" t="s">
        <v>22</v>
      </c>
      <c r="F529" s="48" t="s">
        <v>23</v>
      </c>
      <c r="G529" s="53">
        <v>79760.0</v>
      </c>
      <c r="H529" s="53">
        <v>82500.0</v>
      </c>
      <c r="I529" s="53">
        <v>2740.0</v>
      </c>
      <c r="J529" s="54">
        <v>0.0343530591775326</v>
      </c>
    </row>
    <row r="530" ht="26.25" customHeight="1">
      <c r="A530" s="11" t="s">
        <v>1273</v>
      </c>
      <c r="B530" s="13" t="s">
        <v>1217</v>
      </c>
      <c r="C530" s="16" t="s">
        <v>1274</v>
      </c>
      <c r="D530" s="13" t="s">
        <v>1275</v>
      </c>
      <c r="E530" s="19" t="s">
        <v>22</v>
      </c>
      <c r="F530" s="13" t="s">
        <v>23</v>
      </c>
      <c r="G530" s="22">
        <v>85380.0</v>
      </c>
      <c r="H530" s="22">
        <v>88000.0</v>
      </c>
      <c r="I530" s="22">
        <v>2620.0</v>
      </c>
      <c r="J530" s="46">
        <v>0.030686343405949872</v>
      </c>
    </row>
    <row r="531" ht="26.25" customHeight="1">
      <c r="A531" s="47" t="s">
        <v>1276</v>
      </c>
      <c r="B531" s="48" t="s">
        <v>1217</v>
      </c>
      <c r="C531" s="50" t="s">
        <v>1277</v>
      </c>
      <c r="D531" s="48" t="s">
        <v>1275</v>
      </c>
      <c r="E531" s="52" t="s">
        <v>22</v>
      </c>
      <c r="F531" s="48" t="s">
        <v>23</v>
      </c>
      <c r="G531" s="53">
        <v>90158.0</v>
      </c>
      <c r="H531" s="53">
        <v>93000.0</v>
      </c>
      <c r="I531" s="53">
        <v>2842.0</v>
      </c>
      <c r="J531" s="54">
        <v>0.03152243838594467</v>
      </c>
    </row>
    <row r="532" ht="26.25" customHeight="1">
      <c r="A532" s="11" t="s">
        <v>1278</v>
      </c>
      <c r="B532" s="13" t="s">
        <v>1217</v>
      </c>
      <c r="C532" s="16" t="s">
        <v>1279</v>
      </c>
      <c r="D532" s="13" t="s">
        <v>1275</v>
      </c>
      <c r="E532" s="19" t="s">
        <v>22</v>
      </c>
      <c r="F532" s="13" t="s">
        <v>23</v>
      </c>
      <c r="G532" s="22">
        <v>95475.0</v>
      </c>
      <c r="H532" s="22">
        <v>98500.0</v>
      </c>
      <c r="I532" s="22">
        <v>3025.0</v>
      </c>
      <c r="J532" s="46">
        <v>0.03168368682901283</v>
      </c>
    </row>
    <row r="533" ht="26.25" customHeight="1">
      <c r="A533" s="47" t="s">
        <v>1280</v>
      </c>
      <c r="B533" s="48" t="s">
        <v>1217</v>
      </c>
      <c r="C533" s="50" t="s">
        <v>1281</v>
      </c>
      <c r="D533" s="48" t="s">
        <v>1275</v>
      </c>
      <c r="E533" s="52" t="s">
        <v>22</v>
      </c>
      <c r="F533" s="48" t="s">
        <v>23</v>
      </c>
      <c r="G533" s="53">
        <v>99955.0</v>
      </c>
      <c r="H533" s="53">
        <v>103000.0</v>
      </c>
      <c r="I533" s="53">
        <v>3045.0</v>
      </c>
      <c r="J533" s="54">
        <v>0.030463708668901007</v>
      </c>
    </row>
    <row r="534" ht="26.25" customHeight="1">
      <c r="A534" s="11" t="s">
        <v>1282</v>
      </c>
      <c r="B534" s="13" t="s">
        <v>1217</v>
      </c>
      <c r="C534" s="16" t="s">
        <v>1283</v>
      </c>
      <c r="D534" s="13" t="s">
        <v>1275</v>
      </c>
      <c r="E534" s="19" t="s">
        <v>22</v>
      </c>
      <c r="F534" s="13" t="s">
        <v>23</v>
      </c>
      <c r="G534" s="22">
        <v>0.0</v>
      </c>
      <c r="H534" s="22">
        <v>0.0</v>
      </c>
      <c r="I534" s="22">
        <v>0.0</v>
      </c>
      <c r="J534" s="46">
        <v>0.0</v>
      </c>
    </row>
    <row r="535" ht="26.25" customHeight="1">
      <c r="A535" s="47" t="s">
        <v>1284</v>
      </c>
      <c r="B535" s="48" t="s">
        <v>1217</v>
      </c>
      <c r="C535" s="50" t="s">
        <v>1285</v>
      </c>
      <c r="D535" s="48" t="s">
        <v>1275</v>
      </c>
      <c r="E535" s="52" t="s">
        <v>22</v>
      </c>
      <c r="F535" s="48" t="s">
        <v>23</v>
      </c>
      <c r="G535" s="53">
        <v>1.0</v>
      </c>
      <c r="H535" s="53">
        <v>15000.0</v>
      </c>
      <c r="I535" s="53">
        <v>14999.0</v>
      </c>
      <c r="J535" s="54">
        <v>14999.0</v>
      </c>
    </row>
    <row r="536" ht="26.25" customHeight="1">
      <c r="A536" s="11" t="s">
        <v>1286</v>
      </c>
      <c r="B536" s="13" t="s">
        <v>1217</v>
      </c>
      <c r="C536" s="16" t="s">
        <v>1287</v>
      </c>
      <c r="D536" s="13" t="s">
        <v>1275</v>
      </c>
      <c r="E536" s="19" t="s">
        <v>22</v>
      </c>
      <c r="F536" s="13" t="s">
        <v>23</v>
      </c>
      <c r="G536" s="22">
        <v>0.0</v>
      </c>
      <c r="H536" s="22">
        <v>0.0</v>
      </c>
      <c r="I536" s="22">
        <v>0.0</v>
      </c>
      <c r="J536" s="46">
        <v>0.0</v>
      </c>
    </row>
    <row r="537" ht="26.25" customHeight="1">
      <c r="A537" s="47" t="s">
        <v>1288</v>
      </c>
      <c r="B537" s="48" t="s">
        <v>1217</v>
      </c>
      <c r="C537" s="50" t="s">
        <v>1289</v>
      </c>
      <c r="D537" s="48" t="s">
        <v>1290</v>
      </c>
      <c r="E537" s="52" t="s">
        <v>22</v>
      </c>
      <c r="F537" s="48" t="s">
        <v>23</v>
      </c>
      <c r="G537" s="53">
        <v>1.0</v>
      </c>
      <c r="H537" s="53">
        <v>3000.0</v>
      </c>
      <c r="I537" s="53">
        <v>2999.0</v>
      </c>
      <c r="J537" s="54">
        <v>2999.0</v>
      </c>
    </row>
    <row r="538" ht="26.25" customHeight="1">
      <c r="A538" s="11" t="s">
        <v>1291</v>
      </c>
      <c r="B538" s="13" t="s">
        <v>1217</v>
      </c>
      <c r="C538" s="16" t="s">
        <v>1292</v>
      </c>
      <c r="D538" s="13" t="s">
        <v>1290</v>
      </c>
      <c r="E538" s="19" t="s">
        <v>22</v>
      </c>
      <c r="F538" s="13" t="s">
        <v>23</v>
      </c>
      <c r="G538" s="22">
        <v>1.0</v>
      </c>
      <c r="H538" s="22">
        <v>4000.0</v>
      </c>
      <c r="I538" s="22">
        <v>3999.0</v>
      </c>
      <c r="J538" s="46">
        <v>3999.0</v>
      </c>
    </row>
    <row r="539" ht="26.25" customHeight="1">
      <c r="A539" s="47" t="s">
        <v>1293</v>
      </c>
      <c r="B539" s="48" t="s">
        <v>1217</v>
      </c>
      <c r="C539" s="50" t="s">
        <v>1294</v>
      </c>
      <c r="D539" s="48" t="s">
        <v>1290</v>
      </c>
      <c r="E539" s="52" t="s">
        <v>22</v>
      </c>
      <c r="F539" s="48" t="s">
        <v>23</v>
      </c>
      <c r="G539" s="53">
        <v>1.0</v>
      </c>
      <c r="H539" s="53">
        <v>5000.0</v>
      </c>
      <c r="I539" s="53">
        <v>4999.0</v>
      </c>
      <c r="J539" s="54">
        <v>4999.0</v>
      </c>
    </row>
    <row r="540" ht="26.25" customHeight="1">
      <c r="A540" s="11" t="s">
        <v>1295</v>
      </c>
      <c r="B540" s="13" t="s">
        <v>1217</v>
      </c>
      <c r="C540" s="16" t="s">
        <v>1296</v>
      </c>
      <c r="D540" s="13" t="s">
        <v>1290</v>
      </c>
      <c r="E540" s="19" t="s">
        <v>22</v>
      </c>
      <c r="F540" s="13" t="s">
        <v>23</v>
      </c>
      <c r="G540" s="22">
        <v>0.0</v>
      </c>
      <c r="H540" s="22">
        <v>0.0</v>
      </c>
      <c r="I540" s="22">
        <v>0.0</v>
      </c>
      <c r="J540" s="46">
        <v>0.0</v>
      </c>
    </row>
    <row r="541" ht="26.25" customHeight="1">
      <c r="A541" s="47" t="s">
        <v>1298</v>
      </c>
      <c r="B541" s="48" t="s">
        <v>1217</v>
      </c>
      <c r="C541" s="50" t="s">
        <v>1299</v>
      </c>
      <c r="D541" s="48" t="s">
        <v>1290</v>
      </c>
      <c r="E541" s="52" t="s">
        <v>22</v>
      </c>
      <c r="F541" s="48" t="s">
        <v>23</v>
      </c>
      <c r="G541" s="53">
        <v>1.0</v>
      </c>
      <c r="H541" s="53">
        <v>10000.0</v>
      </c>
      <c r="I541" s="53">
        <v>9999.0</v>
      </c>
      <c r="J541" s="54">
        <v>9999.0</v>
      </c>
    </row>
    <row r="542" ht="26.25" customHeight="1">
      <c r="A542" s="11" t="s">
        <v>1301</v>
      </c>
      <c r="B542" s="13" t="s">
        <v>1217</v>
      </c>
      <c r="C542" s="16" t="s">
        <v>1302</v>
      </c>
      <c r="D542" s="13" t="s">
        <v>1290</v>
      </c>
      <c r="E542" s="19" t="s">
        <v>22</v>
      </c>
      <c r="F542" s="13" t="s">
        <v>23</v>
      </c>
      <c r="G542" s="22">
        <v>1.0</v>
      </c>
      <c r="H542" s="22">
        <v>15000.0</v>
      </c>
      <c r="I542" s="22">
        <v>14999.0</v>
      </c>
      <c r="J542" s="46">
        <v>14999.0</v>
      </c>
    </row>
    <row r="543" ht="26.25" customHeight="1">
      <c r="A543" s="47" t="s">
        <v>1303</v>
      </c>
      <c r="B543" s="48" t="s">
        <v>1217</v>
      </c>
      <c r="C543" s="50" t="s">
        <v>1304</v>
      </c>
      <c r="D543" s="48" t="s">
        <v>1290</v>
      </c>
      <c r="E543" s="52" t="s">
        <v>22</v>
      </c>
      <c r="F543" s="48" t="s">
        <v>23</v>
      </c>
      <c r="G543" s="53">
        <v>0.0</v>
      </c>
      <c r="H543" s="53">
        <v>0.0</v>
      </c>
      <c r="I543" s="53">
        <v>0.0</v>
      </c>
      <c r="J543" s="54">
        <v>0.0</v>
      </c>
    </row>
    <row r="544" ht="26.25" customHeight="1">
      <c r="A544" s="11" t="s">
        <v>1305</v>
      </c>
      <c r="B544" s="13" t="s">
        <v>1217</v>
      </c>
      <c r="C544" s="16" t="s">
        <v>1306</v>
      </c>
      <c r="D544" s="13" t="s">
        <v>1307</v>
      </c>
      <c r="E544" s="19" t="s">
        <v>22</v>
      </c>
      <c r="F544" s="13" t="s">
        <v>23</v>
      </c>
      <c r="G544" s="22">
        <v>1.0</v>
      </c>
      <c r="H544" s="22">
        <v>3000.0</v>
      </c>
      <c r="I544" s="22">
        <v>2999.0</v>
      </c>
      <c r="J544" s="46">
        <v>2999.0</v>
      </c>
    </row>
    <row r="545" ht="26.25" customHeight="1">
      <c r="A545" s="47" t="s">
        <v>1308</v>
      </c>
      <c r="B545" s="48" t="s">
        <v>1217</v>
      </c>
      <c r="C545" s="50" t="s">
        <v>1309</v>
      </c>
      <c r="D545" s="48" t="s">
        <v>1307</v>
      </c>
      <c r="E545" s="52" t="s">
        <v>22</v>
      </c>
      <c r="F545" s="48" t="s">
        <v>23</v>
      </c>
      <c r="G545" s="53">
        <v>1.0</v>
      </c>
      <c r="H545" s="53">
        <v>4000.0</v>
      </c>
      <c r="I545" s="53">
        <v>3999.0</v>
      </c>
      <c r="J545" s="54">
        <v>3999.0</v>
      </c>
    </row>
    <row r="546" ht="26.25" customHeight="1">
      <c r="A546" s="11" t="s">
        <v>1310</v>
      </c>
      <c r="B546" s="13" t="s">
        <v>1217</v>
      </c>
      <c r="C546" s="16" t="s">
        <v>1311</v>
      </c>
      <c r="D546" s="13" t="s">
        <v>1307</v>
      </c>
      <c r="E546" s="19" t="s">
        <v>22</v>
      </c>
      <c r="F546" s="13" t="s">
        <v>23</v>
      </c>
      <c r="G546" s="22">
        <v>1.0</v>
      </c>
      <c r="H546" s="22">
        <v>5000.0</v>
      </c>
      <c r="I546" s="22">
        <v>4999.0</v>
      </c>
      <c r="J546" s="46">
        <v>4999.0</v>
      </c>
    </row>
    <row r="547" ht="26.25" customHeight="1">
      <c r="A547" s="47" t="s">
        <v>1312</v>
      </c>
      <c r="B547" s="48" t="s">
        <v>1217</v>
      </c>
      <c r="C547" s="50" t="s">
        <v>1313</v>
      </c>
      <c r="D547" s="48" t="s">
        <v>1307</v>
      </c>
      <c r="E547" s="52" t="s">
        <v>22</v>
      </c>
      <c r="F547" s="48" t="s">
        <v>23</v>
      </c>
      <c r="G547" s="53">
        <v>0.0</v>
      </c>
      <c r="H547" s="53">
        <v>0.0</v>
      </c>
      <c r="I547" s="53">
        <v>0.0</v>
      </c>
      <c r="J547" s="54">
        <v>0.0</v>
      </c>
    </row>
    <row r="548" ht="26.25" customHeight="1">
      <c r="A548" s="11" t="s">
        <v>1314</v>
      </c>
      <c r="B548" s="13" t="s">
        <v>1217</v>
      </c>
      <c r="C548" s="16" t="s">
        <v>1315</v>
      </c>
      <c r="D548" s="13" t="s">
        <v>1307</v>
      </c>
      <c r="E548" s="19" t="s">
        <v>22</v>
      </c>
      <c r="F548" s="13" t="s">
        <v>23</v>
      </c>
      <c r="G548" s="22">
        <v>1.0</v>
      </c>
      <c r="H548" s="22">
        <v>10000.0</v>
      </c>
      <c r="I548" s="22">
        <v>9999.0</v>
      </c>
      <c r="J548" s="46">
        <v>9999.0</v>
      </c>
    </row>
    <row r="549" ht="26.25" customHeight="1">
      <c r="A549" s="47" t="s">
        <v>1316</v>
      </c>
      <c r="B549" s="48" t="s">
        <v>1217</v>
      </c>
      <c r="C549" s="50" t="s">
        <v>1317</v>
      </c>
      <c r="D549" s="48" t="s">
        <v>1307</v>
      </c>
      <c r="E549" s="52" t="s">
        <v>22</v>
      </c>
      <c r="F549" s="48" t="s">
        <v>23</v>
      </c>
      <c r="G549" s="53">
        <v>1.0</v>
      </c>
      <c r="H549" s="53">
        <v>15000.0</v>
      </c>
      <c r="I549" s="53">
        <v>14999.0</v>
      </c>
      <c r="J549" s="54">
        <v>14999.0</v>
      </c>
    </row>
    <row r="550" ht="26.25" customHeight="1">
      <c r="A550" s="11" t="s">
        <v>1318</v>
      </c>
      <c r="B550" s="13" t="s">
        <v>1217</v>
      </c>
      <c r="C550" s="16" t="s">
        <v>1320</v>
      </c>
      <c r="D550" s="13" t="s">
        <v>1307</v>
      </c>
      <c r="E550" s="19" t="s">
        <v>22</v>
      </c>
      <c r="F550" s="13" t="s">
        <v>23</v>
      </c>
      <c r="G550" s="22">
        <v>0.0</v>
      </c>
      <c r="H550" s="22">
        <v>0.0</v>
      </c>
      <c r="I550" s="22">
        <v>0.0</v>
      </c>
      <c r="J550" s="46">
        <v>0.0</v>
      </c>
    </row>
    <row r="551" ht="26.25" customHeight="1">
      <c r="A551" s="47" t="s">
        <v>1322</v>
      </c>
      <c r="B551" s="48" t="s">
        <v>1323</v>
      </c>
      <c r="C551" s="50" t="s">
        <v>1324</v>
      </c>
      <c r="D551" s="48" t="s">
        <v>22</v>
      </c>
      <c r="E551" s="52" t="s">
        <v>22</v>
      </c>
      <c r="F551" s="48" t="s">
        <v>23</v>
      </c>
      <c r="G551" s="53">
        <v>0.0</v>
      </c>
      <c r="H551" s="53">
        <v>0.0</v>
      </c>
      <c r="I551" s="53">
        <v>0.0</v>
      </c>
      <c r="J551" s="54">
        <v>0.0</v>
      </c>
    </row>
    <row r="552" ht="26.25" customHeight="1">
      <c r="A552" s="11" t="s">
        <v>1325</v>
      </c>
      <c r="B552" s="13" t="s">
        <v>1323</v>
      </c>
      <c r="C552" s="16" t="s">
        <v>1326</v>
      </c>
      <c r="D552" s="13" t="s">
        <v>22</v>
      </c>
      <c r="E552" s="19" t="s">
        <v>22</v>
      </c>
      <c r="F552" s="13" t="s">
        <v>23</v>
      </c>
      <c r="G552" s="22">
        <v>0.0</v>
      </c>
      <c r="H552" s="22">
        <v>0.0</v>
      </c>
      <c r="I552" s="22">
        <v>0.0</v>
      </c>
      <c r="J552" s="46">
        <v>0.0</v>
      </c>
    </row>
    <row r="553" ht="26.25" customHeight="1">
      <c r="A553" s="47" t="s">
        <v>1327</v>
      </c>
      <c r="B553" s="48" t="s">
        <v>1323</v>
      </c>
      <c r="C553" s="50" t="s">
        <v>1328</v>
      </c>
      <c r="D553" s="48" t="s">
        <v>22</v>
      </c>
      <c r="E553" s="52" t="s">
        <v>22</v>
      </c>
      <c r="F553" s="48" t="s">
        <v>23</v>
      </c>
      <c r="G553" s="53">
        <v>0.0</v>
      </c>
      <c r="H553" s="53">
        <v>0.0</v>
      </c>
      <c r="I553" s="53">
        <v>0.0</v>
      </c>
      <c r="J553" s="54">
        <v>0.0</v>
      </c>
    </row>
    <row r="554" ht="26.25" customHeight="1">
      <c r="A554" s="11" t="s">
        <v>1329</v>
      </c>
      <c r="B554" s="13" t="s">
        <v>1323</v>
      </c>
      <c r="C554" s="16" t="s">
        <v>1330</v>
      </c>
      <c r="D554" s="13" t="s">
        <v>22</v>
      </c>
      <c r="E554" s="19" t="s">
        <v>22</v>
      </c>
      <c r="F554" s="13" t="s">
        <v>23</v>
      </c>
      <c r="G554" s="22">
        <v>0.0</v>
      </c>
      <c r="H554" s="22">
        <v>0.0</v>
      </c>
      <c r="I554" s="22">
        <v>0.0</v>
      </c>
      <c r="J554" s="46">
        <v>0.0</v>
      </c>
    </row>
    <row r="555" ht="26.25" customHeight="1">
      <c r="A555" s="47" t="s">
        <v>1331</v>
      </c>
      <c r="B555" s="48" t="s">
        <v>1323</v>
      </c>
      <c r="C555" s="50" t="s">
        <v>1332</v>
      </c>
      <c r="D555" s="48" t="s">
        <v>22</v>
      </c>
      <c r="E555" s="52" t="s">
        <v>22</v>
      </c>
      <c r="F555" s="48" t="s">
        <v>23</v>
      </c>
      <c r="G555" s="53">
        <v>0.0</v>
      </c>
      <c r="H555" s="53">
        <v>0.0</v>
      </c>
      <c r="I555" s="53">
        <v>0.0</v>
      </c>
      <c r="J555" s="54">
        <v>0.0</v>
      </c>
    </row>
    <row r="556" ht="26.25" customHeight="1">
      <c r="A556" s="11" t="s">
        <v>1333</v>
      </c>
      <c r="B556" s="13" t="s">
        <v>1323</v>
      </c>
      <c r="C556" s="16" t="s">
        <v>1334</v>
      </c>
      <c r="D556" s="13" t="s">
        <v>22</v>
      </c>
      <c r="E556" s="19" t="s">
        <v>22</v>
      </c>
      <c r="F556" s="13" t="s">
        <v>23</v>
      </c>
      <c r="G556" s="22">
        <v>0.0</v>
      </c>
      <c r="H556" s="22">
        <v>0.0</v>
      </c>
      <c r="I556" s="22">
        <v>0.0</v>
      </c>
      <c r="J556" s="46">
        <v>0.0</v>
      </c>
    </row>
    <row r="557" ht="26.25" customHeight="1">
      <c r="A557" s="47" t="s">
        <v>1335</v>
      </c>
      <c r="B557" s="48" t="s">
        <v>1323</v>
      </c>
      <c r="C557" s="50" t="s">
        <v>1336</v>
      </c>
      <c r="D557" s="48" t="s">
        <v>22</v>
      </c>
      <c r="E557" s="52" t="s">
        <v>22</v>
      </c>
      <c r="F557" s="48" t="s">
        <v>23</v>
      </c>
      <c r="G557" s="53">
        <v>0.0</v>
      </c>
      <c r="H557" s="53">
        <v>0.0</v>
      </c>
      <c r="I557" s="53">
        <v>0.0</v>
      </c>
      <c r="J557" s="54">
        <v>0.0</v>
      </c>
    </row>
    <row r="558" ht="26.25" customHeight="1">
      <c r="A558" s="11" t="s">
        <v>1337</v>
      </c>
      <c r="B558" s="13" t="s">
        <v>1323</v>
      </c>
      <c r="C558" s="16" t="s">
        <v>1338</v>
      </c>
      <c r="D558" s="13" t="s">
        <v>22</v>
      </c>
      <c r="E558" s="19" t="s">
        <v>22</v>
      </c>
      <c r="F558" s="13" t="s">
        <v>23</v>
      </c>
      <c r="G558" s="22">
        <v>0.0</v>
      </c>
      <c r="H558" s="22">
        <v>0.0</v>
      </c>
      <c r="I558" s="22">
        <v>0.0</v>
      </c>
      <c r="J558" s="46">
        <v>0.0</v>
      </c>
    </row>
    <row r="559" ht="26.25" customHeight="1">
      <c r="A559" s="47" t="s">
        <v>1339</v>
      </c>
      <c r="B559" s="48" t="s">
        <v>1323</v>
      </c>
      <c r="C559" s="50" t="s">
        <v>1340</v>
      </c>
      <c r="D559" s="48" t="s">
        <v>22</v>
      </c>
      <c r="E559" s="52" t="s">
        <v>22</v>
      </c>
      <c r="F559" s="48" t="s">
        <v>23</v>
      </c>
      <c r="G559" s="53">
        <v>0.0</v>
      </c>
      <c r="H559" s="53">
        <v>0.0</v>
      </c>
      <c r="I559" s="53">
        <v>0.0</v>
      </c>
      <c r="J559" s="54">
        <v>0.0</v>
      </c>
    </row>
    <row r="560" ht="26.25" customHeight="1">
      <c r="A560" s="11" t="s">
        <v>1343</v>
      </c>
      <c r="B560" s="13" t="s">
        <v>1323</v>
      </c>
      <c r="C560" s="16" t="s">
        <v>1344</v>
      </c>
      <c r="D560" s="13" t="s">
        <v>22</v>
      </c>
      <c r="E560" s="19" t="s">
        <v>22</v>
      </c>
      <c r="F560" s="13" t="s">
        <v>23</v>
      </c>
      <c r="G560" s="22">
        <v>0.0</v>
      </c>
      <c r="H560" s="22">
        <v>0.0</v>
      </c>
      <c r="I560" s="22">
        <v>0.0</v>
      </c>
      <c r="J560" s="46">
        <v>0.0</v>
      </c>
    </row>
    <row r="561" ht="26.25" customHeight="1">
      <c r="A561" s="47" t="s">
        <v>1345</v>
      </c>
      <c r="B561" s="48" t="s">
        <v>1323</v>
      </c>
      <c r="C561" s="50" t="s">
        <v>1346</v>
      </c>
      <c r="D561" s="48" t="s">
        <v>22</v>
      </c>
      <c r="E561" s="52" t="s">
        <v>22</v>
      </c>
      <c r="F561" s="48" t="s">
        <v>23</v>
      </c>
      <c r="G561" s="53">
        <v>0.0</v>
      </c>
      <c r="H561" s="53">
        <v>0.0</v>
      </c>
      <c r="I561" s="53">
        <v>0.0</v>
      </c>
      <c r="J561" s="54">
        <v>0.0</v>
      </c>
    </row>
    <row r="562" ht="26.25" customHeight="1">
      <c r="A562" s="11" t="s">
        <v>1347</v>
      </c>
      <c r="B562" s="13" t="s">
        <v>1323</v>
      </c>
      <c r="C562" s="16" t="s">
        <v>1348</v>
      </c>
      <c r="D562" s="13" t="s">
        <v>22</v>
      </c>
      <c r="E562" s="19" t="s">
        <v>22</v>
      </c>
      <c r="F562" s="13" t="s">
        <v>23</v>
      </c>
      <c r="G562" s="22">
        <v>0.0</v>
      </c>
      <c r="H562" s="22">
        <v>0.0</v>
      </c>
      <c r="I562" s="22">
        <v>0.0</v>
      </c>
      <c r="J562" s="46">
        <v>0.0</v>
      </c>
    </row>
    <row r="563" ht="26.25" customHeight="1">
      <c r="A563" s="47" t="s">
        <v>1349</v>
      </c>
      <c r="B563" s="48" t="s">
        <v>1323</v>
      </c>
      <c r="C563" s="50" t="s">
        <v>1350</v>
      </c>
      <c r="D563" s="48" t="s">
        <v>22</v>
      </c>
      <c r="E563" s="52" t="s">
        <v>22</v>
      </c>
      <c r="F563" s="48" t="s">
        <v>23</v>
      </c>
      <c r="G563" s="53">
        <v>0.0</v>
      </c>
      <c r="H563" s="53">
        <v>0.0</v>
      </c>
      <c r="I563" s="53">
        <v>0.0</v>
      </c>
      <c r="J563" s="54">
        <v>0.0</v>
      </c>
    </row>
    <row r="564" ht="26.25" customHeight="1">
      <c r="A564" s="11" t="s">
        <v>1351</v>
      </c>
      <c r="B564" s="13" t="s">
        <v>1323</v>
      </c>
      <c r="C564" s="16" t="s">
        <v>1352</v>
      </c>
      <c r="D564" s="13" t="s">
        <v>22</v>
      </c>
      <c r="E564" s="19" t="s">
        <v>22</v>
      </c>
      <c r="F564" s="13" t="s">
        <v>23</v>
      </c>
      <c r="G564" s="22">
        <v>0.0</v>
      </c>
      <c r="H564" s="22">
        <v>0.0</v>
      </c>
      <c r="I564" s="22">
        <v>0.0</v>
      </c>
      <c r="J564" s="46">
        <v>0.0</v>
      </c>
    </row>
    <row r="565" ht="26.25" customHeight="1">
      <c r="A565" s="47" t="s">
        <v>1353</v>
      </c>
      <c r="B565" s="48" t="s">
        <v>1354</v>
      </c>
      <c r="C565" s="50" t="s">
        <v>1355</v>
      </c>
      <c r="D565" s="48" t="s">
        <v>22</v>
      </c>
      <c r="E565" s="52" t="s">
        <v>22</v>
      </c>
      <c r="F565" s="48" t="s">
        <v>23</v>
      </c>
      <c r="G565" s="53">
        <v>0.0</v>
      </c>
      <c r="H565" s="53">
        <v>0.0</v>
      </c>
      <c r="I565" s="53">
        <v>0.0</v>
      </c>
      <c r="J565" s="54">
        <v>0.0</v>
      </c>
    </row>
    <row r="566" ht="26.25" customHeight="1">
      <c r="A566" s="11" t="s">
        <v>1356</v>
      </c>
      <c r="B566" s="13" t="s">
        <v>1217</v>
      </c>
      <c r="C566" s="16" t="s">
        <v>1357</v>
      </c>
      <c r="D566" s="13" t="s">
        <v>22</v>
      </c>
      <c r="E566" s="19" t="s">
        <v>22</v>
      </c>
      <c r="F566" s="13" t="s">
        <v>23</v>
      </c>
      <c r="G566" s="22">
        <v>1.0</v>
      </c>
      <c r="H566" s="22">
        <v>3000.0</v>
      </c>
      <c r="I566" s="22">
        <v>2999.0</v>
      </c>
      <c r="J566" s="46">
        <v>2999.0</v>
      </c>
    </row>
    <row r="567" ht="26.25" customHeight="1">
      <c r="A567" s="47" t="s">
        <v>1358</v>
      </c>
      <c r="B567" s="48" t="s">
        <v>1217</v>
      </c>
      <c r="C567" s="50" t="s">
        <v>1359</v>
      </c>
      <c r="D567" s="48" t="s">
        <v>22</v>
      </c>
      <c r="E567" s="52" t="s">
        <v>22</v>
      </c>
      <c r="F567" s="48" t="s">
        <v>23</v>
      </c>
      <c r="G567" s="53">
        <v>1.0</v>
      </c>
      <c r="H567" s="53">
        <v>5000.0</v>
      </c>
      <c r="I567" s="53">
        <v>4999.0</v>
      </c>
      <c r="J567" s="54">
        <v>4999.0</v>
      </c>
    </row>
    <row r="568" ht="26.25" customHeight="1">
      <c r="A568" s="11" t="s">
        <v>1360</v>
      </c>
      <c r="B568" s="13" t="s">
        <v>17</v>
      </c>
      <c r="C568" s="16" t="s">
        <v>1361</v>
      </c>
      <c r="D568" s="13" t="s">
        <v>19</v>
      </c>
      <c r="E568" s="19" t="s">
        <v>22</v>
      </c>
      <c r="F568" s="13" t="s">
        <v>23</v>
      </c>
      <c r="G568" s="22">
        <v>13510.0</v>
      </c>
      <c r="H568" s="22">
        <v>16000.0</v>
      </c>
      <c r="I568" s="22">
        <v>2490.0</v>
      </c>
      <c r="J568" s="46">
        <v>0.1843079200592154</v>
      </c>
    </row>
    <row r="569" ht="26.25" customHeight="1">
      <c r="A569" s="47" t="s">
        <v>1362</v>
      </c>
      <c r="B569" s="48" t="s">
        <v>1363</v>
      </c>
      <c r="C569" s="50" t="s">
        <v>1364</v>
      </c>
      <c r="D569" s="48" t="s">
        <v>19</v>
      </c>
      <c r="E569" s="52" t="s">
        <v>22</v>
      </c>
      <c r="F569" s="48" t="s">
        <v>23</v>
      </c>
      <c r="G569" s="53">
        <v>8000.0</v>
      </c>
      <c r="H569" s="53">
        <v>12000.0</v>
      </c>
      <c r="I569" s="53">
        <v>4000.0</v>
      </c>
      <c r="J569" s="54">
        <v>0.5</v>
      </c>
    </row>
    <row r="570" ht="26.25" customHeight="1">
      <c r="A570" s="11" t="s">
        <v>1365</v>
      </c>
      <c r="B570" s="13" t="s">
        <v>1363</v>
      </c>
      <c r="C570" s="16" t="s">
        <v>1366</v>
      </c>
      <c r="D570" s="13" t="s">
        <v>19</v>
      </c>
      <c r="E570" s="19" t="s">
        <v>22</v>
      </c>
      <c r="F570" s="13" t="s">
        <v>23</v>
      </c>
      <c r="G570" s="22">
        <v>14320.0</v>
      </c>
      <c r="H570" s="22">
        <v>17000.0</v>
      </c>
      <c r="I570" s="22">
        <v>2680.0</v>
      </c>
      <c r="J570" s="46">
        <v>0.1871508379888268</v>
      </c>
    </row>
    <row r="571" ht="26.25" customHeight="1">
      <c r="A571" s="47" t="s">
        <v>1367</v>
      </c>
      <c r="B571" s="48" t="s">
        <v>1363</v>
      </c>
      <c r="C571" s="50" t="s">
        <v>1368</v>
      </c>
      <c r="D571" s="48" t="s">
        <v>19</v>
      </c>
      <c r="E571" s="52" t="s">
        <v>22</v>
      </c>
      <c r="F571" s="48" t="s">
        <v>23</v>
      </c>
      <c r="G571" s="53">
        <v>21450.0</v>
      </c>
      <c r="H571" s="53">
        <v>25000.0</v>
      </c>
      <c r="I571" s="53">
        <v>3550.0</v>
      </c>
      <c r="J571" s="54">
        <v>0.1655011655011655</v>
      </c>
    </row>
    <row r="572" ht="26.25" customHeight="1">
      <c r="A572" s="11" t="s">
        <v>1369</v>
      </c>
      <c r="B572" s="13" t="s">
        <v>1363</v>
      </c>
      <c r="C572" s="16" t="s">
        <v>1370</v>
      </c>
      <c r="D572" s="13" t="s">
        <v>19</v>
      </c>
      <c r="E572" s="19" t="s">
        <v>22</v>
      </c>
      <c r="F572" s="13" t="s">
        <v>23</v>
      </c>
      <c r="G572" s="22">
        <v>28525.0</v>
      </c>
      <c r="H572" s="22">
        <v>31000.0</v>
      </c>
      <c r="I572" s="22">
        <v>2475.0</v>
      </c>
      <c r="J572" s="46">
        <v>0.08676599474145487</v>
      </c>
    </row>
    <row r="573" ht="26.25" customHeight="1">
      <c r="A573" s="47" t="s">
        <v>1372</v>
      </c>
      <c r="B573" s="48" t="s">
        <v>1363</v>
      </c>
      <c r="C573" s="50" t="s">
        <v>1374</v>
      </c>
      <c r="D573" s="48" t="s">
        <v>19</v>
      </c>
      <c r="E573" s="52" t="s">
        <v>22</v>
      </c>
      <c r="F573" s="48" t="s">
        <v>23</v>
      </c>
      <c r="G573" s="53">
        <v>23200.0</v>
      </c>
      <c r="H573" s="53">
        <v>26000.0</v>
      </c>
      <c r="I573" s="53">
        <v>2800.0</v>
      </c>
      <c r="J573" s="54">
        <v>0.1206896551724138</v>
      </c>
    </row>
    <row r="574" ht="26.25" customHeight="1">
      <c r="A574" s="11" t="s">
        <v>1375</v>
      </c>
      <c r="B574" s="13" t="s">
        <v>1363</v>
      </c>
      <c r="C574" s="16" t="s">
        <v>1376</v>
      </c>
      <c r="D574" s="13" t="s">
        <v>19</v>
      </c>
      <c r="E574" s="19" t="s">
        <v>22</v>
      </c>
      <c r="F574" s="13" t="s">
        <v>23</v>
      </c>
      <c r="G574" s="22">
        <v>32606.0</v>
      </c>
      <c r="H574" s="22">
        <v>36000.0</v>
      </c>
      <c r="I574" s="22">
        <v>3394.0</v>
      </c>
      <c r="J574" s="46">
        <v>0.1040912715451144</v>
      </c>
    </row>
    <row r="575" ht="26.25" customHeight="1">
      <c r="A575" s="47" t="s">
        <v>1377</v>
      </c>
      <c r="B575" s="48" t="s">
        <v>1363</v>
      </c>
      <c r="C575" s="50" t="s">
        <v>1378</v>
      </c>
      <c r="D575" s="48" t="s">
        <v>19</v>
      </c>
      <c r="E575" s="52" t="s">
        <v>22</v>
      </c>
      <c r="F575" s="48" t="s">
        <v>23</v>
      </c>
      <c r="G575" s="53">
        <v>18531.0</v>
      </c>
      <c r="H575" s="53">
        <v>22000.0</v>
      </c>
      <c r="I575" s="53">
        <v>3469.0</v>
      </c>
      <c r="J575" s="54">
        <v>0.18719982731638876</v>
      </c>
    </row>
    <row r="576" ht="26.25" customHeight="1">
      <c r="A576" s="11" t="s">
        <v>1379</v>
      </c>
      <c r="B576" s="13" t="s">
        <v>1363</v>
      </c>
      <c r="C576" s="16" t="s">
        <v>1380</v>
      </c>
      <c r="D576" s="13" t="s">
        <v>19</v>
      </c>
      <c r="E576" s="19" t="s">
        <v>22</v>
      </c>
      <c r="F576" s="13" t="s">
        <v>23</v>
      </c>
      <c r="G576" s="22">
        <v>18463.0</v>
      </c>
      <c r="H576" s="22">
        <v>23000.0</v>
      </c>
      <c r="I576" s="22">
        <v>4537.0</v>
      </c>
      <c r="J576" s="46">
        <v>0.2457347126685804</v>
      </c>
    </row>
    <row r="577" ht="26.25" customHeight="1">
      <c r="A577" s="47" t="s">
        <v>1381</v>
      </c>
      <c r="B577" s="48" t="s">
        <v>1363</v>
      </c>
      <c r="C577" s="50" t="s">
        <v>1382</v>
      </c>
      <c r="D577" s="48" t="s">
        <v>19</v>
      </c>
      <c r="E577" s="52" t="s">
        <v>22</v>
      </c>
      <c r="F577" s="48" t="s">
        <v>23</v>
      </c>
      <c r="G577" s="53">
        <v>124050.0</v>
      </c>
      <c r="H577" s="53">
        <v>130000.0</v>
      </c>
      <c r="I577" s="53">
        <v>5950.0</v>
      </c>
      <c r="J577" s="54">
        <v>0.04796453043127771</v>
      </c>
    </row>
    <row r="578" ht="26.25" customHeight="1">
      <c r="A578" s="11" t="s">
        <v>1383</v>
      </c>
      <c r="B578" s="13" t="s">
        <v>1363</v>
      </c>
      <c r="C578" s="16" t="s">
        <v>1384</v>
      </c>
      <c r="D578" s="13" t="s">
        <v>19</v>
      </c>
      <c r="E578" s="19" t="s">
        <v>22</v>
      </c>
      <c r="F578" s="13" t="s">
        <v>23</v>
      </c>
      <c r="G578" s="22">
        <v>32062.0</v>
      </c>
      <c r="H578" s="22">
        <v>36000.0</v>
      </c>
      <c r="I578" s="22">
        <v>3938.0</v>
      </c>
      <c r="J578" s="46">
        <v>0.12282452747801136</v>
      </c>
    </row>
    <row r="579" ht="26.25" customHeight="1">
      <c r="A579" s="47" t="s">
        <v>1385</v>
      </c>
      <c r="B579" s="48" t="s">
        <v>1363</v>
      </c>
      <c r="C579" s="50" t="s">
        <v>1386</v>
      </c>
      <c r="D579" s="48" t="s">
        <v>19</v>
      </c>
      <c r="E579" s="52" t="s">
        <v>22</v>
      </c>
      <c r="F579" s="48" t="s">
        <v>23</v>
      </c>
      <c r="G579" s="53">
        <v>46893.0</v>
      </c>
      <c r="H579" s="53">
        <v>50000.0</v>
      </c>
      <c r="I579" s="53">
        <v>3107.0</v>
      </c>
      <c r="J579" s="54">
        <v>0.06625722389269187</v>
      </c>
    </row>
    <row r="580" ht="26.25" customHeight="1">
      <c r="A580" s="11" t="s">
        <v>1387</v>
      </c>
      <c r="B580" s="13" t="s">
        <v>1363</v>
      </c>
      <c r="C580" s="16" t="s">
        <v>1388</v>
      </c>
      <c r="D580" s="13" t="s">
        <v>19</v>
      </c>
      <c r="E580" s="19" t="s">
        <v>22</v>
      </c>
      <c r="F580" s="13" t="s">
        <v>23</v>
      </c>
      <c r="G580" s="22">
        <v>76335.0</v>
      </c>
      <c r="H580" s="22">
        <v>81000.0</v>
      </c>
      <c r="I580" s="22">
        <v>4665.0</v>
      </c>
      <c r="J580" s="46">
        <v>0.06111220279033209</v>
      </c>
    </row>
    <row r="581" ht="26.25" customHeight="1">
      <c r="A581" s="47" t="s">
        <v>1390</v>
      </c>
      <c r="B581" s="48" t="s">
        <v>1363</v>
      </c>
      <c r="C581" s="50" t="s">
        <v>1391</v>
      </c>
      <c r="D581" s="48" t="s">
        <v>19</v>
      </c>
      <c r="E581" s="52" t="s">
        <v>22</v>
      </c>
      <c r="F581" s="48" t="s">
        <v>23</v>
      </c>
      <c r="G581" s="53">
        <v>98000.0</v>
      </c>
      <c r="H581" s="53">
        <v>104000.0</v>
      </c>
      <c r="I581" s="53">
        <v>6000.0</v>
      </c>
      <c r="J581" s="54">
        <v>0.061224489795918366</v>
      </c>
    </row>
    <row r="582" ht="26.25" customHeight="1">
      <c r="A582" s="11" t="s">
        <v>1393</v>
      </c>
      <c r="B582" s="13" t="s">
        <v>1363</v>
      </c>
      <c r="C582" s="16" t="s">
        <v>1394</v>
      </c>
      <c r="D582" s="13" t="s">
        <v>19</v>
      </c>
      <c r="E582" s="19" t="s">
        <v>22</v>
      </c>
      <c r="F582" s="13" t="s">
        <v>23</v>
      </c>
      <c r="G582" s="22">
        <v>133535.0</v>
      </c>
      <c r="H582" s="22">
        <v>142000.0</v>
      </c>
      <c r="I582" s="22">
        <v>8465.0</v>
      </c>
      <c r="J582" s="46">
        <v>0.06339162017448609</v>
      </c>
    </row>
    <row r="583" ht="26.25" customHeight="1">
      <c r="A583" s="47" t="s">
        <v>1395</v>
      </c>
      <c r="B583" s="48" t="s">
        <v>1363</v>
      </c>
      <c r="C583" s="50" t="s">
        <v>1396</v>
      </c>
      <c r="D583" s="48" t="s">
        <v>19</v>
      </c>
      <c r="E583" s="52" t="s">
        <v>22</v>
      </c>
      <c r="F583" s="48" t="s">
        <v>23</v>
      </c>
      <c r="G583" s="53">
        <v>6412.0</v>
      </c>
      <c r="H583" s="53">
        <v>9000.0</v>
      </c>
      <c r="I583" s="53">
        <v>2588.0</v>
      </c>
      <c r="J583" s="54">
        <v>0.40361821584529006</v>
      </c>
    </row>
    <row r="584" ht="26.25" customHeight="1">
      <c r="A584" s="11" t="s">
        <v>1397</v>
      </c>
      <c r="B584" s="13" t="s">
        <v>1363</v>
      </c>
      <c r="C584" s="16" t="s">
        <v>1398</v>
      </c>
      <c r="D584" s="13" t="s">
        <v>19</v>
      </c>
      <c r="E584" s="19" t="s">
        <v>22</v>
      </c>
      <c r="F584" s="13" t="s">
        <v>23</v>
      </c>
      <c r="G584" s="22">
        <v>9375.0</v>
      </c>
      <c r="H584" s="22">
        <v>12000.0</v>
      </c>
      <c r="I584" s="22">
        <v>2625.0</v>
      </c>
      <c r="J584" s="46">
        <v>0.28</v>
      </c>
    </row>
    <row r="585" ht="26.25" customHeight="1">
      <c r="A585" s="47" t="s">
        <v>1399</v>
      </c>
      <c r="B585" s="48" t="s">
        <v>1363</v>
      </c>
      <c r="C585" s="50" t="s">
        <v>1400</v>
      </c>
      <c r="D585" s="48" t="s">
        <v>19</v>
      </c>
      <c r="E585" s="52" t="s">
        <v>22</v>
      </c>
      <c r="F585" s="48" t="s">
        <v>23</v>
      </c>
      <c r="G585" s="53">
        <v>8625.0</v>
      </c>
      <c r="H585" s="53">
        <v>12000.0</v>
      </c>
      <c r="I585" s="53">
        <v>3375.0</v>
      </c>
      <c r="J585" s="54">
        <v>0.391304347826087</v>
      </c>
    </row>
    <row r="586" ht="26.25" customHeight="1">
      <c r="A586" s="11" t="s">
        <v>1401</v>
      </c>
      <c r="B586" s="13" t="s">
        <v>1363</v>
      </c>
      <c r="C586" s="16" t="s">
        <v>1402</v>
      </c>
      <c r="D586" s="13" t="s">
        <v>19</v>
      </c>
      <c r="E586" s="19" t="s">
        <v>22</v>
      </c>
      <c r="F586" s="13" t="s">
        <v>23</v>
      </c>
      <c r="G586" s="22">
        <v>11314.0</v>
      </c>
      <c r="H586" s="22">
        <v>14000.0</v>
      </c>
      <c r="I586" s="22">
        <v>2686.0</v>
      </c>
      <c r="J586" s="46">
        <v>0.23740498497436804</v>
      </c>
    </row>
    <row r="587" ht="26.25" customHeight="1">
      <c r="A587" s="47" t="s">
        <v>1403</v>
      </c>
      <c r="B587" s="48" t="s">
        <v>1363</v>
      </c>
      <c r="C587" s="50" t="s">
        <v>1404</v>
      </c>
      <c r="D587" s="48" t="s">
        <v>19</v>
      </c>
      <c r="E587" s="52" t="s">
        <v>22</v>
      </c>
      <c r="F587" s="48" t="s">
        <v>23</v>
      </c>
      <c r="G587" s="53">
        <v>13314.0</v>
      </c>
      <c r="H587" s="53">
        <v>16000.0</v>
      </c>
      <c r="I587" s="53">
        <v>2686.0</v>
      </c>
      <c r="J587" s="54">
        <v>0.2017425266636623</v>
      </c>
    </row>
    <row r="588" ht="26.25" customHeight="1">
      <c r="A588" s="11" t="s">
        <v>1405</v>
      </c>
      <c r="B588" s="13" t="s">
        <v>1363</v>
      </c>
      <c r="C588" s="16" t="s">
        <v>1406</v>
      </c>
      <c r="D588" s="13" t="s">
        <v>19</v>
      </c>
      <c r="E588" s="19" t="s">
        <v>22</v>
      </c>
      <c r="F588" s="13" t="s">
        <v>23</v>
      </c>
      <c r="G588" s="22">
        <v>13510.0</v>
      </c>
      <c r="H588" s="22">
        <v>16000.0</v>
      </c>
      <c r="I588" s="22">
        <v>2490.0</v>
      </c>
      <c r="J588" s="46">
        <v>0.1843079200592154</v>
      </c>
    </row>
    <row r="589" ht="26.25" customHeight="1">
      <c r="A589" s="47" t="s">
        <v>1407</v>
      </c>
      <c r="B589" s="48" t="s">
        <v>1363</v>
      </c>
      <c r="C589" s="50" t="s">
        <v>1408</v>
      </c>
      <c r="D589" s="48" t="s">
        <v>19</v>
      </c>
      <c r="E589" s="52" t="s">
        <v>22</v>
      </c>
      <c r="F589" s="48" t="s">
        <v>23</v>
      </c>
      <c r="G589" s="53">
        <v>18898.0</v>
      </c>
      <c r="H589" s="53">
        <v>21000.0</v>
      </c>
      <c r="I589" s="53">
        <v>2102.0</v>
      </c>
      <c r="J589" s="54">
        <v>0.11122870144988888</v>
      </c>
    </row>
    <row r="590" ht="26.25" customHeight="1">
      <c r="A590" s="11" t="s">
        <v>1409</v>
      </c>
      <c r="B590" s="13" t="s">
        <v>1363</v>
      </c>
      <c r="C590" s="16" t="s">
        <v>1410</v>
      </c>
      <c r="D590" s="13" t="s">
        <v>19</v>
      </c>
      <c r="E590" s="19" t="s">
        <v>22</v>
      </c>
      <c r="F590" s="13" t="s">
        <v>23</v>
      </c>
      <c r="G590" s="22">
        <v>18717.0</v>
      </c>
      <c r="H590" s="22">
        <v>21000.0</v>
      </c>
      <c r="I590" s="22">
        <v>2283.0</v>
      </c>
      <c r="J590" s="46">
        <v>0.1219746754287546</v>
      </c>
    </row>
    <row r="591" ht="26.25" customHeight="1">
      <c r="A591" s="47" t="s">
        <v>1411</v>
      </c>
      <c r="B591" s="48" t="s">
        <v>1363</v>
      </c>
      <c r="C591" s="50" t="s">
        <v>1412</v>
      </c>
      <c r="D591" s="48" t="s">
        <v>19</v>
      </c>
      <c r="E591" s="52" t="s">
        <v>22</v>
      </c>
      <c r="F591" s="48" t="s">
        <v>23</v>
      </c>
      <c r="G591" s="53">
        <v>18070.0</v>
      </c>
      <c r="H591" s="53">
        <v>21000.0</v>
      </c>
      <c r="I591" s="53">
        <v>2930.0</v>
      </c>
      <c r="J591" s="54">
        <v>0.16214720531267293</v>
      </c>
    </row>
    <row r="592" ht="26.25" customHeight="1">
      <c r="A592" s="11" t="s">
        <v>1413</v>
      </c>
      <c r="B592" s="13" t="s">
        <v>1363</v>
      </c>
      <c r="C592" s="16" t="s">
        <v>1414</v>
      </c>
      <c r="D592" s="13" t="s">
        <v>19</v>
      </c>
      <c r="E592" s="19" t="s">
        <v>22</v>
      </c>
      <c r="F592" s="13" t="s">
        <v>23</v>
      </c>
      <c r="G592" s="22">
        <v>22518.0</v>
      </c>
      <c r="H592" s="22">
        <v>25000.0</v>
      </c>
      <c r="I592" s="22">
        <v>2482.0</v>
      </c>
      <c r="J592" s="46">
        <v>0.1102229327648992</v>
      </c>
    </row>
    <row r="593" ht="26.25" customHeight="1">
      <c r="A593" s="47" t="s">
        <v>1416</v>
      </c>
      <c r="B593" s="48" t="s">
        <v>1363</v>
      </c>
      <c r="C593" s="50" t="s">
        <v>1417</v>
      </c>
      <c r="D593" s="48" t="s">
        <v>19</v>
      </c>
      <c r="E593" s="52" t="s">
        <v>22</v>
      </c>
      <c r="F593" s="48" t="s">
        <v>23</v>
      </c>
      <c r="G593" s="53">
        <v>22934.0</v>
      </c>
      <c r="H593" s="53">
        <v>26000.0</v>
      </c>
      <c r="I593" s="53">
        <v>3066.0</v>
      </c>
      <c r="J593" s="54">
        <v>0.1336879741867969</v>
      </c>
    </row>
    <row r="594" ht="26.25" customHeight="1">
      <c r="A594" s="11" t="s">
        <v>1419</v>
      </c>
      <c r="B594" s="13" t="s">
        <v>1363</v>
      </c>
      <c r="C594" s="16" t="s">
        <v>1420</v>
      </c>
      <c r="D594" s="13" t="s">
        <v>19</v>
      </c>
      <c r="E594" s="19" t="s">
        <v>22</v>
      </c>
      <c r="F594" s="13" t="s">
        <v>23</v>
      </c>
      <c r="G594" s="22">
        <v>26303.0</v>
      </c>
      <c r="H594" s="22">
        <v>29000.0</v>
      </c>
      <c r="I594" s="22">
        <v>2697.0</v>
      </c>
      <c r="J594" s="46">
        <v>0.10253583241455347</v>
      </c>
    </row>
    <row r="595" ht="26.25" customHeight="1">
      <c r="A595" s="47" t="s">
        <v>1421</v>
      </c>
      <c r="B595" s="48" t="s">
        <v>1363</v>
      </c>
      <c r="C595" s="50" t="s">
        <v>1422</v>
      </c>
      <c r="D595" s="48" t="s">
        <v>19</v>
      </c>
      <c r="E595" s="52" t="s">
        <v>22</v>
      </c>
      <c r="F595" s="48" t="s">
        <v>23</v>
      </c>
      <c r="G595" s="53">
        <v>27750.0</v>
      </c>
      <c r="H595" s="53">
        <v>31000.0</v>
      </c>
      <c r="I595" s="53">
        <v>3250.0</v>
      </c>
      <c r="J595" s="54">
        <v>0.11711711711711711</v>
      </c>
    </row>
    <row r="596" ht="26.25" customHeight="1">
      <c r="A596" s="11" t="s">
        <v>1423</v>
      </c>
      <c r="B596" s="13" t="s">
        <v>1363</v>
      </c>
      <c r="C596" s="16" t="s">
        <v>1424</v>
      </c>
      <c r="D596" s="13" t="s">
        <v>19</v>
      </c>
      <c r="E596" s="19" t="s">
        <v>22</v>
      </c>
      <c r="F596" s="13" t="s">
        <v>23</v>
      </c>
      <c r="G596" s="22">
        <v>36139.0</v>
      </c>
      <c r="H596" s="22">
        <v>39000.0</v>
      </c>
      <c r="I596" s="22">
        <v>2861.0</v>
      </c>
      <c r="J596" s="46">
        <v>0.07916655137109493</v>
      </c>
    </row>
    <row r="597" ht="26.25" customHeight="1">
      <c r="A597" s="47" t="s">
        <v>1425</v>
      </c>
      <c r="B597" s="48" t="s">
        <v>1363</v>
      </c>
      <c r="C597" s="50" t="s">
        <v>1426</v>
      </c>
      <c r="D597" s="48" t="s">
        <v>19</v>
      </c>
      <c r="E597" s="52" t="s">
        <v>22</v>
      </c>
      <c r="F597" s="48" t="s">
        <v>23</v>
      </c>
      <c r="G597" s="53">
        <v>36470.0</v>
      </c>
      <c r="H597" s="53">
        <v>40000.0</v>
      </c>
      <c r="I597" s="53">
        <v>3530.0</v>
      </c>
      <c r="J597" s="54">
        <v>0.09679188374006033</v>
      </c>
    </row>
    <row r="598" ht="26.25" customHeight="1">
      <c r="A598" s="11" t="s">
        <v>1427</v>
      </c>
      <c r="B598" s="13" t="s">
        <v>1363</v>
      </c>
      <c r="C598" s="16" t="s">
        <v>1428</v>
      </c>
      <c r="D598" s="13" t="s">
        <v>19</v>
      </c>
      <c r="E598" s="19" t="s">
        <v>22</v>
      </c>
      <c r="F598" s="13" t="s">
        <v>23</v>
      </c>
      <c r="G598" s="22">
        <v>43104.0</v>
      </c>
      <c r="H598" s="22">
        <v>47000.0</v>
      </c>
      <c r="I598" s="22">
        <v>3896.0</v>
      </c>
      <c r="J598" s="46">
        <v>0.09038604305864885</v>
      </c>
    </row>
    <row r="599" ht="26.25" customHeight="1">
      <c r="A599" s="47" t="s">
        <v>1429</v>
      </c>
      <c r="B599" s="48" t="s">
        <v>1363</v>
      </c>
      <c r="C599" s="50" t="s">
        <v>1430</v>
      </c>
      <c r="D599" s="48" t="s">
        <v>19</v>
      </c>
      <c r="E599" s="52" t="s">
        <v>22</v>
      </c>
      <c r="F599" s="48" t="s">
        <v>23</v>
      </c>
      <c r="G599" s="53">
        <v>45115.0</v>
      </c>
      <c r="H599" s="53">
        <v>49000.0</v>
      </c>
      <c r="I599" s="53">
        <v>3885.0</v>
      </c>
      <c r="J599" s="54">
        <v>0.08611326609775019</v>
      </c>
    </row>
    <row r="600" ht="26.25" customHeight="1">
      <c r="A600" s="11" t="s">
        <v>1431</v>
      </c>
      <c r="B600" s="13" t="s">
        <v>1363</v>
      </c>
      <c r="C600" s="16" t="s">
        <v>1432</v>
      </c>
      <c r="D600" s="13" t="s">
        <v>19</v>
      </c>
      <c r="E600" s="19" t="s">
        <v>22</v>
      </c>
      <c r="F600" s="13" t="s">
        <v>23</v>
      </c>
      <c r="G600" s="22">
        <v>67714.0</v>
      </c>
      <c r="H600" s="22">
        <v>72000.0</v>
      </c>
      <c r="I600" s="22">
        <v>4286.0</v>
      </c>
      <c r="J600" s="46">
        <v>0.06329562571993974</v>
      </c>
    </row>
    <row r="601" ht="26.25" customHeight="1">
      <c r="A601" s="47" t="s">
        <v>1433</v>
      </c>
      <c r="B601" s="48" t="s">
        <v>1363</v>
      </c>
      <c r="C601" s="50" t="s">
        <v>1434</v>
      </c>
      <c r="D601" s="48" t="s">
        <v>140</v>
      </c>
      <c r="E601" s="52" t="s">
        <v>22</v>
      </c>
      <c r="F601" s="48" t="s">
        <v>23</v>
      </c>
      <c r="G601" s="53">
        <v>35600.0</v>
      </c>
      <c r="H601" s="53">
        <v>35000.0</v>
      </c>
      <c r="I601" s="53">
        <v>-600.0</v>
      </c>
      <c r="J601" s="54">
        <v>-0.016853932584269662</v>
      </c>
    </row>
    <row r="602" ht="26.25" customHeight="1">
      <c r="A602" s="11" t="s">
        <v>1435</v>
      </c>
      <c r="B602" s="13" t="s">
        <v>1363</v>
      </c>
      <c r="C602" s="16" t="s">
        <v>1436</v>
      </c>
      <c r="D602" s="13" t="s">
        <v>140</v>
      </c>
      <c r="E602" s="19" t="s">
        <v>22</v>
      </c>
      <c r="F602" s="13" t="s">
        <v>23</v>
      </c>
      <c r="G602" s="22">
        <v>45230.0</v>
      </c>
      <c r="H602" s="22">
        <v>48000.0</v>
      </c>
      <c r="I602" s="22">
        <v>2770.0</v>
      </c>
      <c r="J602" s="46">
        <v>0.06124253813840371</v>
      </c>
    </row>
    <row r="603" ht="26.25" customHeight="1">
      <c r="A603" s="47" t="s">
        <v>1437</v>
      </c>
      <c r="B603" s="48" t="s">
        <v>1363</v>
      </c>
      <c r="C603" s="50" t="s">
        <v>1438</v>
      </c>
      <c r="D603" s="48" t="s">
        <v>140</v>
      </c>
      <c r="E603" s="52" t="s">
        <v>22</v>
      </c>
      <c r="F603" s="48" t="s">
        <v>23</v>
      </c>
      <c r="G603" s="53">
        <v>83400.0</v>
      </c>
      <c r="H603" s="53">
        <v>87000.0</v>
      </c>
      <c r="I603" s="53">
        <v>3600.0</v>
      </c>
      <c r="J603" s="54">
        <v>0.04316546762589928</v>
      </c>
    </row>
    <row r="604" ht="26.25" customHeight="1">
      <c r="A604" s="11" t="s">
        <v>1439</v>
      </c>
      <c r="B604" s="13" t="s">
        <v>1363</v>
      </c>
      <c r="C604" s="16" t="s">
        <v>1440</v>
      </c>
      <c r="D604" s="13" t="s">
        <v>140</v>
      </c>
      <c r="E604" s="19" t="s">
        <v>22</v>
      </c>
      <c r="F604" s="13" t="s">
        <v>23</v>
      </c>
      <c r="G604" s="22">
        <v>88700.0</v>
      </c>
      <c r="H604" s="22">
        <v>93000.0</v>
      </c>
      <c r="I604" s="22">
        <v>4300.0</v>
      </c>
      <c r="J604" s="46">
        <v>0.048478015783540024</v>
      </c>
    </row>
    <row r="605" ht="26.25" customHeight="1">
      <c r="A605" s="47" t="s">
        <v>1441</v>
      </c>
      <c r="B605" s="48" t="s">
        <v>1363</v>
      </c>
      <c r="C605" s="50" t="s">
        <v>1442</v>
      </c>
      <c r="D605" s="48" t="s">
        <v>140</v>
      </c>
      <c r="E605" s="52" t="s">
        <v>22</v>
      </c>
      <c r="F605" s="48" t="s">
        <v>23</v>
      </c>
      <c r="G605" s="53">
        <v>116084.0</v>
      </c>
      <c r="H605" s="53">
        <v>122000.0</v>
      </c>
      <c r="I605" s="53">
        <v>5916.0</v>
      </c>
      <c r="J605" s="54">
        <v>0.05096309568932842</v>
      </c>
    </row>
    <row r="606" ht="26.25" customHeight="1">
      <c r="A606" s="11" t="s">
        <v>1443</v>
      </c>
      <c r="B606" s="13" t="s">
        <v>1363</v>
      </c>
      <c r="C606" s="16" t="s">
        <v>1444</v>
      </c>
      <c r="D606" s="13" t="s">
        <v>140</v>
      </c>
      <c r="E606" s="19" t="s">
        <v>22</v>
      </c>
      <c r="F606" s="13" t="s">
        <v>23</v>
      </c>
      <c r="G606" s="22">
        <v>113759.0</v>
      </c>
      <c r="H606" s="22">
        <v>122000.0</v>
      </c>
      <c r="I606" s="22">
        <v>8241.0</v>
      </c>
      <c r="J606" s="46">
        <v>0.0724426199245774</v>
      </c>
    </row>
    <row r="607" ht="26.25" customHeight="1">
      <c r="A607" s="47" t="s">
        <v>1445</v>
      </c>
      <c r="B607" s="48" t="s">
        <v>1363</v>
      </c>
      <c r="C607" s="50" t="s">
        <v>1446</v>
      </c>
      <c r="D607" s="48" t="s">
        <v>140</v>
      </c>
      <c r="E607" s="52" t="s">
        <v>22</v>
      </c>
      <c r="F607" s="48" t="s">
        <v>23</v>
      </c>
      <c r="G607" s="53">
        <v>5424.0</v>
      </c>
      <c r="H607" s="53">
        <v>7500.0</v>
      </c>
      <c r="I607" s="53">
        <v>2076.0</v>
      </c>
      <c r="J607" s="54">
        <v>0.3827433628318584</v>
      </c>
    </row>
    <row r="608" ht="26.25" customHeight="1">
      <c r="A608" s="11" t="s">
        <v>1448</v>
      </c>
      <c r="B608" s="13" t="s">
        <v>1363</v>
      </c>
      <c r="C608" s="16" t="s">
        <v>1449</v>
      </c>
      <c r="D608" s="13" t="s">
        <v>140</v>
      </c>
      <c r="E608" s="19" t="s">
        <v>22</v>
      </c>
      <c r="F608" s="13" t="s">
        <v>23</v>
      </c>
      <c r="G608" s="22">
        <v>6345.0</v>
      </c>
      <c r="H608" s="22">
        <v>8000.0</v>
      </c>
      <c r="I608" s="22">
        <v>1655.0</v>
      </c>
      <c r="J608" s="46">
        <v>0.26083530338849487</v>
      </c>
    </row>
    <row r="609" ht="26.25" customHeight="1">
      <c r="A609" s="47" t="s">
        <v>1451</v>
      </c>
      <c r="B609" s="48" t="s">
        <v>1363</v>
      </c>
      <c r="C609" s="50" t="s">
        <v>1452</v>
      </c>
      <c r="D609" s="48" t="s">
        <v>140</v>
      </c>
      <c r="E609" s="52" t="s">
        <v>22</v>
      </c>
      <c r="F609" s="48" t="s">
        <v>23</v>
      </c>
      <c r="G609" s="53">
        <v>6940.0</v>
      </c>
      <c r="H609" s="53">
        <v>85000.0</v>
      </c>
      <c r="I609" s="53">
        <v>78060.0</v>
      </c>
      <c r="J609" s="54">
        <v>11.247838616714697</v>
      </c>
    </row>
    <row r="610" ht="26.25" customHeight="1">
      <c r="A610" s="11" t="s">
        <v>1453</v>
      </c>
      <c r="B610" s="13" t="s">
        <v>1363</v>
      </c>
      <c r="C610" s="16" t="s">
        <v>1454</v>
      </c>
      <c r="D610" s="13" t="s">
        <v>140</v>
      </c>
      <c r="E610" s="19" t="s">
        <v>22</v>
      </c>
      <c r="F610" s="13" t="s">
        <v>23</v>
      </c>
      <c r="G610" s="22">
        <v>6897.0</v>
      </c>
      <c r="H610" s="22">
        <v>9000.0</v>
      </c>
      <c r="I610" s="22">
        <v>2103.0</v>
      </c>
      <c r="J610" s="46">
        <v>0.30491518051326666</v>
      </c>
    </row>
    <row r="611" ht="26.25" customHeight="1">
      <c r="A611" s="47" t="s">
        <v>1455</v>
      </c>
      <c r="B611" s="48" t="s">
        <v>1363</v>
      </c>
      <c r="C611" s="50" t="s">
        <v>1456</v>
      </c>
      <c r="D611" s="48" t="s">
        <v>140</v>
      </c>
      <c r="E611" s="52" t="s">
        <v>22</v>
      </c>
      <c r="F611" s="48" t="s">
        <v>23</v>
      </c>
      <c r="G611" s="53">
        <v>6680.0</v>
      </c>
      <c r="H611" s="53">
        <v>9500.0</v>
      </c>
      <c r="I611" s="53">
        <v>2820.0</v>
      </c>
      <c r="J611" s="54">
        <v>0.4221556886227545</v>
      </c>
    </row>
    <row r="612" ht="26.25" customHeight="1">
      <c r="A612" s="11" t="s">
        <v>1457</v>
      </c>
      <c r="B612" s="13" t="s">
        <v>1363</v>
      </c>
      <c r="C612" s="16" t="s">
        <v>1458</v>
      </c>
      <c r="D612" s="13" t="s">
        <v>140</v>
      </c>
      <c r="E612" s="19" t="s">
        <v>22</v>
      </c>
      <c r="F612" s="13" t="s">
        <v>23</v>
      </c>
      <c r="G612" s="22">
        <v>7981.0</v>
      </c>
      <c r="H612" s="22">
        <v>10000.0</v>
      </c>
      <c r="I612" s="22">
        <v>2019.0</v>
      </c>
      <c r="J612" s="46">
        <v>0.25297581756672094</v>
      </c>
    </row>
    <row r="613" ht="26.25" customHeight="1">
      <c r="A613" s="47" t="s">
        <v>1459</v>
      </c>
      <c r="B613" s="48" t="s">
        <v>1363</v>
      </c>
      <c r="C613" s="50" t="s">
        <v>1460</v>
      </c>
      <c r="D613" s="48" t="s">
        <v>140</v>
      </c>
      <c r="E613" s="52" t="s">
        <v>22</v>
      </c>
      <c r="F613" s="48" t="s">
        <v>23</v>
      </c>
      <c r="G613" s="53">
        <v>9148.0</v>
      </c>
      <c r="H613" s="53">
        <v>10500.0</v>
      </c>
      <c r="I613" s="53">
        <v>1352.0</v>
      </c>
      <c r="J613" s="54">
        <v>0.14779186707477043</v>
      </c>
    </row>
    <row r="614" ht="26.25" customHeight="1">
      <c r="A614" s="11" t="s">
        <v>1461</v>
      </c>
      <c r="B614" s="13" t="s">
        <v>1363</v>
      </c>
      <c r="C614" s="16" t="s">
        <v>1462</v>
      </c>
      <c r="D614" s="13" t="s">
        <v>140</v>
      </c>
      <c r="E614" s="19" t="s">
        <v>22</v>
      </c>
      <c r="F614" s="13" t="s">
        <v>23</v>
      </c>
      <c r="G614" s="22">
        <v>8990.0</v>
      </c>
      <c r="H614" s="22">
        <v>11000.0</v>
      </c>
      <c r="I614" s="22">
        <v>2010.0</v>
      </c>
      <c r="J614" s="46">
        <v>0.2235817575083426</v>
      </c>
    </row>
    <row r="615" ht="26.25" customHeight="1">
      <c r="A615" s="47" t="s">
        <v>1463</v>
      </c>
      <c r="B615" s="48" t="s">
        <v>1363</v>
      </c>
      <c r="C615" s="50" t="s">
        <v>1464</v>
      </c>
      <c r="D615" s="48" t="s">
        <v>140</v>
      </c>
      <c r="E615" s="52" t="s">
        <v>22</v>
      </c>
      <c r="F615" s="48" t="s">
        <v>23</v>
      </c>
      <c r="G615" s="53">
        <v>9405.0</v>
      </c>
      <c r="H615" s="53">
        <v>11500.0</v>
      </c>
      <c r="I615" s="53">
        <v>2095.0</v>
      </c>
      <c r="J615" s="54">
        <v>0.2227538543328017</v>
      </c>
    </row>
    <row r="616" ht="26.25" customHeight="1">
      <c r="A616" s="11" t="s">
        <v>1465</v>
      </c>
      <c r="B616" s="13" t="s">
        <v>1363</v>
      </c>
      <c r="C616" s="16" t="s">
        <v>1466</v>
      </c>
      <c r="D616" s="13" t="s">
        <v>140</v>
      </c>
      <c r="E616" s="19" t="s">
        <v>22</v>
      </c>
      <c r="F616" s="13" t="s">
        <v>23</v>
      </c>
      <c r="G616" s="22">
        <v>9225.0</v>
      </c>
      <c r="H616" s="22">
        <v>12000.0</v>
      </c>
      <c r="I616" s="22">
        <v>2775.0</v>
      </c>
      <c r="J616" s="46">
        <v>0.3008130081300813</v>
      </c>
    </row>
    <row r="617" ht="26.25" customHeight="1">
      <c r="A617" s="47" t="s">
        <v>1467</v>
      </c>
      <c r="B617" s="48" t="s">
        <v>1363</v>
      </c>
      <c r="C617" s="50" t="s">
        <v>1468</v>
      </c>
      <c r="D617" s="48" t="s">
        <v>140</v>
      </c>
      <c r="E617" s="52" t="s">
        <v>22</v>
      </c>
      <c r="F617" s="48" t="s">
        <v>23</v>
      </c>
      <c r="G617" s="53">
        <v>7120.0</v>
      </c>
      <c r="H617" s="53">
        <v>10000.0</v>
      </c>
      <c r="I617" s="53">
        <v>2880.0</v>
      </c>
      <c r="J617" s="54">
        <v>0.4044943820224719</v>
      </c>
    </row>
    <row r="618" ht="26.25" customHeight="1">
      <c r="A618" s="11" t="s">
        <v>1469</v>
      </c>
      <c r="B618" s="13" t="s">
        <v>1363</v>
      </c>
      <c r="C618" s="16" t="s">
        <v>1470</v>
      </c>
      <c r="D618" s="13" t="s">
        <v>140</v>
      </c>
      <c r="E618" s="19" t="s">
        <v>22</v>
      </c>
      <c r="F618" s="13" t="s">
        <v>23</v>
      </c>
      <c r="G618" s="22">
        <v>11600.0</v>
      </c>
      <c r="H618" s="22">
        <v>14000.0</v>
      </c>
      <c r="I618" s="22">
        <v>2400.0</v>
      </c>
      <c r="J618" s="46">
        <v>0.20689655172413793</v>
      </c>
    </row>
    <row r="619" ht="26.25" customHeight="1">
      <c r="A619" s="47" t="s">
        <v>1471</v>
      </c>
      <c r="B619" s="48" t="s">
        <v>1363</v>
      </c>
      <c r="C619" s="50" t="s">
        <v>1472</v>
      </c>
      <c r="D619" s="48" t="s">
        <v>140</v>
      </c>
      <c r="E619" s="52" t="s">
        <v>22</v>
      </c>
      <c r="F619" s="48" t="s">
        <v>23</v>
      </c>
      <c r="G619" s="53">
        <v>12690.0</v>
      </c>
      <c r="H619" s="53">
        <v>15000.0</v>
      </c>
      <c r="I619" s="53">
        <v>2310.0</v>
      </c>
      <c r="J619" s="54">
        <v>0.18203309692671396</v>
      </c>
    </row>
    <row r="620" ht="26.25" customHeight="1">
      <c r="A620" s="11" t="s">
        <v>1473</v>
      </c>
      <c r="B620" s="13" t="s">
        <v>1363</v>
      </c>
      <c r="C620" s="16" t="s">
        <v>1474</v>
      </c>
      <c r="D620" s="13" t="s">
        <v>140</v>
      </c>
      <c r="E620" s="19" t="s">
        <v>22</v>
      </c>
      <c r="F620" s="13" t="s">
        <v>23</v>
      </c>
      <c r="G620" s="22">
        <v>12800.0</v>
      </c>
      <c r="H620" s="22">
        <v>16000.0</v>
      </c>
      <c r="I620" s="22">
        <v>3200.0</v>
      </c>
      <c r="J620" s="46">
        <v>0.25</v>
      </c>
    </row>
    <row r="621" ht="26.25" customHeight="1">
      <c r="A621" s="47" t="s">
        <v>1475</v>
      </c>
      <c r="B621" s="48" t="s">
        <v>1363</v>
      </c>
      <c r="C621" s="50" t="s">
        <v>1476</v>
      </c>
      <c r="D621" s="48" t="s">
        <v>140</v>
      </c>
      <c r="E621" s="52" t="s">
        <v>22</v>
      </c>
      <c r="F621" s="48" t="s">
        <v>23</v>
      </c>
      <c r="G621" s="53">
        <v>15610.0</v>
      </c>
      <c r="H621" s="53">
        <v>18000.0</v>
      </c>
      <c r="I621" s="53">
        <v>2390.0</v>
      </c>
      <c r="J621" s="54">
        <v>0.15310698270339526</v>
      </c>
    </row>
    <row r="622" ht="26.25" customHeight="1">
      <c r="A622" s="11" t="s">
        <v>1477</v>
      </c>
      <c r="B622" s="13" t="s">
        <v>1363</v>
      </c>
      <c r="C622" s="16" t="s">
        <v>1479</v>
      </c>
      <c r="D622" s="13" t="s">
        <v>140</v>
      </c>
      <c r="E622" s="19" t="s">
        <v>22</v>
      </c>
      <c r="F622" s="13" t="s">
        <v>23</v>
      </c>
      <c r="G622" s="22">
        <v>16905.0</v>
      </c>
      <c r="H622" s="22">
        <v>19000.0</v>
      </c>
      <c r="I622" s="22">
        <v>2095.0</v>
      </c>
      <c r="J622" s="46">
        <v>0.12392783200236616</v>
      </c>
    </row>
    <row r="623" ht="26.25" customHeight="1">
      <c r="A623" s="47" t="s">
        <v>1480</v>
      </c>
      <c r="B623" s="48" t="s">
        <v>1363</v>
      </c>
      <c r="C623" s="50" t="s">
        <v>1481</v>
      </c>
      <c r="D623" s="48" t="s">
        <v>140</v>
      </c>
      <c r="E623" s="52" t="s">
        <v>22</v>
      </c>
      <c r="F623" s="48" t="s">
        <v>23</v>
      </c>
      <c r="G623" s="53">
        <v>16625.0</v>
      </c>
      <c r="H623" s="53">
        <v>19000.0</v>
      </c>
      <c r="I623" s="53">
        <v>2375.0</v>
      </c>
      <c r="J623" s="54">
        <v>0.14285714285714285</v>
      </c>
    </row>
    <row r="624" ht="26.25" customHeight="1">
      <c r="A624" s="11" t="s">
        <v>1482</v>
      </c>
      <c r="B624" s="13" t="s">
        <v>1363</v>
      </c>
      <c r="C624" s="16" t="s">
        <v>1484</v>
      </c>
      <c r="D624" s="13" t="s">
        <v>140</v>
      </c>
      <c r="E624" s="19" t="s">
        <v>22</v>
      </c>
      <c r="F624" s="13" t="s">
        <v>23</v>
      </c>
      <c r="G624" s="22">
        <v>18394.0</v>
      </c>
      <c r="H624" s="22">
        <v>20000.0</v>
      </c>
      <c r="I624" s="22">
        <v>1606.0</v>
      </c>
      <c r="J624" s="46">
        <v>0.08731107969990214</v>
      </c>
    </row>
    <row r="625" ht="26.25" customHeight="1">
      <c r="A625" s="47" t="s">
        <v>1486</v>
      </c>
      <c r="B625" s="48" t="s">
        <v>1363</v>
      </c>
      <c r="C625" s="50" t="s">
        <v>1487</v>
      </c>
      <c r="D625" s="48" t="s">
        <v>140</v>
      </c>
      <c r="E625" s="52" t="s">
        <v>22</v>
      </c>
      <c r="F625" s="48" t="s">
        <v>23</v>
      </c>
      <c r="G625" s="53">
        <v>18055.0</v>
      </c>
      <c r="H625" s="53">
        <v>20000.0</v>
      </c>
      <c r="I625" s="53">
        <v>1945.0</v>
      </c>
      <c r="J625" s="54">
        <v>0.10772639158127942</v>
      </c>
    </row>
    <row r="626" ht="26.25" customHeight="1">
      <c r="A626" s="11" t="s">
        <v>1488</v>
      </c>
      <c r="B626" s="13" t="s">
        <v>1363</v>
      </c>
      <c r="C626" s="16" t="s">
        <v>1489</v>
      </c>
      <c r="D626" s="13" t="s">
        <v>140</v>
      </c>
      <c r="E626" s="19" t="s">
        <v>22</v>
      </c>
      <c r="F626" s="13" t="s">
        <v>23</v>
      </c>
      <c r="G626" s="22">
        <v>19880.0</v>
      </c>
      <c r="H626" s="22">
        <v>22000.0</v>
      </c>
      <c r="I626" s="22">
        <v>2120.0</v>
      </c>
      <c r="J626" s="46">
        <v>0.10663983903420524</v>
      </c>
    </row>
    <row r="627" ht="26.25" customHeight="1">
      <c r="A627" s="47" t="s">
        <v>1490</v>
      </c>
      <c r="B627" s="48" t="s">
        <v>1363</v>
      </c>
      <c r="C627" s="50" t="s">
        <v>1491</v>
      </c>
      <c r="D627" s="48" t="s">
        <v>140</v>
      </c>
      <c r="E627" s="52" t="s">
        <v>22</v>
      </c>
      <c r="F627" s="48" t="s">
        <v>23</v>
      </c>
      <c r="G627" s="53">
        <v>9375.0</v>
      </c>
      <c r="H627" s="53">
        <v>12000.0</v>
      </c>
      <c r="I627" s="53">
        <v>2625.0</v>
      </c>
      <c r="J627" s="54">
        <v>0.28</v>
      </c>
    </row>
    <row r="628" ht="26.25" customHeight="1">
      <c r="A628" s="11" t="s">
        <v>1492</v>
      </c>
      <c r="B628" s="13" t="s">
        <v>1363</v>
      </c>
      <c r="C628" s="16" t="s">
        <v>1493</v>
      </c>
      <c r="D628" s="13" t="s">
        <v>140</v>
      </c>
      <c r="E628" s="19" t="s">
        <v>22</v>
      </c>
      <c r="F628" s="13" t="s">
        <v>23</v>
      </c>
      <c r="G628" s="22">
        <v>19338.0</v>
      </c>
      <c r="H628" s="22">
        <v>22000.0</v>
      </c>
      <c r="I628" s="22">
        <v>2662.0</v>
      </c>
      <c r="J628" s="46">
        <v>0.13765642775881684</v>
      </c>
    </row>
    <row r="629" ht="26.25" customHeight="1">
      <c r="A629" s="47" t="s">
        <v>1494</v>
      </c>
      <c r="B629" s="48" t="s">
        <v>1363</v>
      </c>
      <c r="C629" s="50" t="s">
        <v>1495</v>
      </c>
      <c r="D629" s="48" t="s">
        <v>140</v>
      </c>
      <c r="E629" s="52" t="s">
        <v>22</v>
      </c>
      <c r="F629" s="48" t="s">
        <v>23</v>
      </c>
      <c r="G629" s="53">
        <v>20300.0</v>
      </c>
      <c r="H629" s="53">
        <v>23000.0</v>
      </c>
      <c r="I629" s="53">
        <v>2700.0</v>
      </c>
      <c r="J629" s="54">
        <v>0.1330049261083744</v>
      </c>
    </row>
    <row r="630" ht="26.25" customHeight="1">
      <c r="A630" s="11" t="s">
        <v>1496</v>
      </c>
      <c r="B630" s="13" t="s">
        <v>1363</v>
      </c>
      <c r="C630" s="16" t="s">
        <v>1497</v>
      </c>
      <c r="D630" s="13" t="s">
        <v>140</v>
      </c>
      <c r="E630" s="19" t="s">
        <v>22</v>
      </c>
      <c r="F630" s="13" t="s">
        <v>23</v>
      </c>
      <c r="G630" s="22">
        <v>24040.0</v>
      </c>
      <c r="H630" s="22">
        <v>27000.0</v>
      </c>
      <c r="I630" s="22">
        <v>2960.0</v>
      </c>
      <c r="J630" s="46">
        <v>0.12312811980033278</v>
      </c>
    </row>
    <row r="631" ht="26.25" customHeight="1">
      <c r="A631" s="47" t="s">
        <v>1498</v>
      </c>
      <c r="B631" s="48" t="s">
        <v>1363</v>
      </c>
      <c r="C631" s="50" t="s">
        <v>1499</v>
      </c>
      <c r="D631" s="48" t="s">
        <v>140</v>
      </c>
      <c r="E631" s="52" t="s">
        <v>22</v>
      </c>
      <c r="F631" s="48" t="s">
        <v>23</v>
      </c>
      <c r="G631" s="53">
        <v>22796.0</v>
      </c>
      <c r="H631" s="53">
        <v>27000.0</v>
      </c>
      <c r="I631" s="53">
        <v>4204.0</v>
      </c>
      <c r="J631" s="54">
        <v>0.1844183190033339</v>
      </c>
    </row>
    <row r="632" ht="26.25" customHeight="1">
      <c r="A632" s="11" t="s">
        <v>1500</v>
      </c>
      <c r="B632" s="13" t="s">
        <v>1363</v>
      </c>
      <c r="C632" s="16" t="s">
        <v>1501</v>
      </c>
      <c r="D632" s="13" t="s">
        <v>140</v>
      </c>
      <c r="E632" s="19" t="s">
        <v>22</v>
      </c>
      <c r="F632" s="13" t="s">
        <v>23</v>
      </c>
      <c r="G632" s="22">
        <v>23894.0</v>
      </c>
      <c r="H632" s="22">
        <v>29000.0</v>
      </c>
      <c r="I632" s="22">
        <v>5106.0</v>
      </c>
      <c r="J632" s="46">
        <v>0.2136938143466979</v>
      </c>
    </row>
    <row r="633" ht="26.25" customHeight="1">
      <c r="A633" s="47" t="s">
        <v>1502</v>
      </c>
      <c r="B633" s="48" t="s">
        <v>1363</v>
      </c>
      <c r="C633" s="50" t="s">
        <v>1503</v>
      </c>
      <c r="D633" s="48" t="s">
        <v>140</v>
      </c>
      <c r="E633" s="52" t="s">
        <v>22</v>
      </c>
      <c r="F633" s="48" t="s">
        <v>23</v>
      </c>
      <c r="G633" s="53">
        <v>29525.0</v>
      </c>
      <c r="H633" s="53">
        <v>30000.0</v>
      </c>
      <c r="I633" s="53">
        <v>475.0</v>
      </c>
      <c r="J633" s="54">
        <v>0.016088060965283656</v>
      </c>
    </row>
    <row r="634" ht="26.25" customHeight="1">
      <c r="A634" s="11" t="s">
        <v>1504</v>
      </c>
      <c r="B634" s="13" t="s">
        <v>1363</v>
      </c>
      <c r="C634" s="16" t="s">
        <v>1505</v>
      </c>
      <c r="D634" s="13" t="s">
        <v>140</v>
      </c>
      <c r="E634" s="19" t="s">
        <v>22</v>
      </c>
      <c r="F634" s="13" t="s">
        <v>23</v>
      </c>
      <c r="G634" s="22">
        <v>21170.0</v>
      </c>
      <c r="H634" s="22">
        <v>23000.0</v>
      </c>
      <c r="I634" s="22">
        <v>1830.0</v>
      </c>
      <c r="J634" s="46">
        <v>0.08644307982994803</v>
      </c>
    </row>
    <row r="635" ht="26.25" customHeight="1">
      <c r="A635" s="47" t="s">
        <v>1506</v>
      </c>
      <c r="B635" s="48" t="s">
        <v>1363</v>
      </c>
      <c r="C635" s="50" t="s">
        <v>1507</v>
      </c>
      <c r="D635" s="48" t="s">
        <v>140</v>
      </c>
      <c r="E635" s="52" t="s">
        <v>22</v>
      </c>
      <c r="F635" s="48" t="s">
        <v>23</v>
      </c>
      <c r="G635" s="53">
        <v>21844.0</v>
      </c>
      <c r="H635" s="53">
        <v>25000.0</v>
      </c>
      <c r="I635" s="53">
        <v>3156.0</v>
      </c>
      <c r="J635" s="54">
        <v>0.1444790331441128</v>
      </c>
    </row>
    <row r="636" ht="26.25" customHeight="1">
      <c r="A636" s="11" t="s">
        <v>1509</v>
      </c>
      <c r="B636" s="13" t="s">
        <v>1363</v>
      </c>
      <c r="C636" s="16" t="s">
        <v>1511</v>
      </c>
      <c r="D636" s="13" t="s">
        <v>140</v>
      </c>
      <c r="E636" s="19" t="s">
        <v>22</v>
      </c>
      <c r="F636" s="13" t="s">
        <v>23</v>
      </c>
      <c r="G636" s="22">
        <v>26625.0</v>
      </c>
      <c r="H636" s="22">
        <v>30000.0</v>
      </c>
      <c r="I636" s="22">
        <v>3375.0</v>
      </c>
      <c r="J636" s="46">
        <v>0.1267605633802817</v>
      </c>
    </row>
    <row r="637" ht="26.25" customHeight="1">
      <c r="A637" s="47" t="s">
        <v>1512</v>
      </c>
      <c r="B637" s="48" t="s">
        <v>1363</v>
      </c>
      <c r="C637" s="50" t="s">
        <v>1513</v>
      </c>
      <c r="D637" s="48" t="s">
        <v>140</v>
      </c>
      <c r="E637" s="52" t="s">
        <v>22</v>
      </c>
      <c r="F637" s="48" t="s">
        <v>23</v>
      </c>
      <c r="G637" s="53">
        <v>26625.0</v>
      </c>
      <c r="H637" s="53">
        <v>29000.0</v>
      </c>
      <c r="I637" s="53">
        <v>2375.0</v>
      </c>
      <c r="J637" s="54">
        <v>0.0892018779342723</v>
      </c>
    </row>
    <row r="638" ht="26.25" customHeight="1">
      <c r="A638" s="11" t="s">
        <v>1514</v>
      </c>
      <c r="B638" s="13" t="s">
        <v>1363</v>
      </c>
      <c r="C638" s="16" t="s">
        <v>1515</v>
      </c>
      <c r="D638" s="13" t="s">
        <v>140</v>
      </c>
      <c r="E638" s="19" t="s">
        <v>22</v>
      </c>
      <c r="F638" s="13" t="s">
        <v>23</v>
      </c>
      <c r="G638" s="22">
        <v>27750.0</v>
      </c>
      <c r="H638" s="22">
        <v>30000.0</v>
      </c>
      <c r="I638" s="22">
        <v>2250.0</v>
      </c>
      <c r="J638" s="46">
        <v>0.08108108108108109</v>
      </c>
    </row>
    <row r="639" ht="26.25" customHeight="1">
      <c r="A639" s="47" t="s">
        <v>1516</v>
      </c>
      <c r="B639" s="48" t="s">
        <v>1363</v>
      </c>
      <c r="C639" s="50" t="s">
        <v>1517</v>
      </c>
      <c r="D639" s="48" t="s">
        <v>140</v>
      </c>
      <c r="E639" s="52" t="s">
        <v>22</v>
      </c>
      <c r="F639" s="48" t="s">
        <v>23</v>
      </c>
      <c r="G639" s="53">
        <v>31051.0</v>
      </c>
      <c r="H639" s="53">
        <v>34000.0</v>
      </c>
      <c r="I639" s="53">
        <v>2949.0</v>
      </c>
      <c r="J639" s="54">
        <v>0.09497278670574216</v>
      </c>
    </row>
    <row r="640" ht="26.25" customHeight="1">
      <c r="A640" s="11" t="s">
        <v>1518</v>
      </c>
      <c r="B640" s="13" t="s">
        <v>1363</v>
      </c>
      <c r="C640" s="16" t="s">
        <v>1519</v>
      </c>
      <c r="D640" s="13" t="s">
        <v>140</v>
      </c>
      <c r="E640" s="19" t="s">
        <v>22</v>
      </c>
      <c r="F640" s="13" t="s">
        <v>23</v>
      </c>
      <c r="G640" s="22">
        <v>25365.0</v>
      </c>
      <c r="H640" s="22">
        <v>29000.0</v>
      </c>
      <c r="I640" s="22">
        <v>3635.0</v>
      </c>
      <c r="J640" s="46">
        <v>0.1433077074709245</v>
      </c>
    </row>
    <row r="641" ht="26.25" customHeight="1">
      <c r="A641" s="47" t="s">
        <v>1520</v>
      </c>
      <c r="B641" s="48" t="s">
        <v>1363</v>
      </c>
      <c r="C641" s="50" t="s">
        <v>1521</v>
      </c>
      <c r="D641" s="48" t="s">
        <v>140</v>
      </c>
      <c r="E641" s="52" t="s">
        <v>22</v>
      </c>
      <c r="F641" s="48" t="s">
        <v>23</v>
      </c>
      <c r="G641" s="53">
        <v>29100.0</v>
      </c>
      <c r="H641" s="53">
        <v>31000.0</v>
      </c>
      <c r="I641" s="53">
        <v>1900.0</v>
      </c>
      <c r="J641" s="54">
        <v>0.06529209621993128</v>
      </c>
    </row>
    <row r="642" ht="26.25" customHeight="1">
      <c r="A642" s="11" t="s">
        <v>1522</v>
      </c>
      <c r="B642" s="13" t="s">
        <v>1363</v>
      </c>
      <c r="C642" s="16" t="s">
        <v>1523</v>
      </c>
      <c r="D642" s="13" t="s">
        <v>140</v>
      </c>
      <c r="E642" s="19" t="s">
        <v>22</v>
      </c>
      <c r="F642" s="13" t="s">
        <v>23</v>
      </c>
      <c r="G642" s="22">
        <v>63120.0</v>
      </c>
      <c r="H642" s="22">
        <v>67000.0</v>
      </c>
      <c r="I642" s="22">
        <v>3880.0</v>
      </c>
      <c r="J642" s="46">
        <v>0.0614702154626109</v>
      </c>
    </row>
    <row r="643" ht="26.25" customHeight="1">
      <c r="A643" s="47" t="s">
        <v>1524</v>
      </c>
      <c r="B643" s="48" t="s">
        <v>1363</v>
      </c>
      <c r="C643" s="50" t="s">
        <v>1525</v>
      </c>
      <c r="D643" s="48" t="s">
        <v>140</v>
      </c>
      <c r="E643" s="52" t="s">
        <v>22</v>
      </c>
      <c r="F643" s="48" t="s">
        <v>23</v>
      </c>
      <c r="G643" s="53">
        <v>11825.0</v>
      </c>
      <c r="H643" s="53">
        <v>14000.0</v>
      </c>
      <c r="I643" s="53">
        <v>2175.0</v>
      </c>
      <c r="J643" s="54">
        <v>0.1839323467230444</v>
      </c>
    </row>
    <row r="644" ht="26.25" customHeight="1">
      <c r="A644" s="11" t="s">
        <v>1526</v>
      </c>
      <c r="B644" s="13" t="s">
        <v>1363</v>
      </c>
      <c r="C644" s="16" t="s">
        <v>1527</v>
      </c>
      <c r="D644" s="13" t="s">
        <v>140</v>
      </c>
      <c r="E644" s="19" t="s">
        <v>22</v>
      </c>
      <c r="F644" s="13" t="s">
        <v>23</v>
      </c>
      <c r="G644" s="22">
        <v>6385.0</v>
      </c>
      <c r="H644" s="22">
        <v>12000.0</v>
      </c>
      <c r="I644" s="22">
        <v>5615.0</v>
      </c>
      <c r="J644" s="46">
        <v>0.8794048551292091</v>
      </c>
    </row>
    <row r="645" ht="26.25" customHeight="1">
      <c r="A645" s="47" t="s">
        <v>1528</v>
      </c>
      <c r="B645" s="48" t="s">
        <v>1363</v>
      </c>
      <c r="C645" s="50" t="s">
        <v>1529</v>
      </c>
      <c r="D645" s="48" t="s">
        <v>140</v>
      </c>
      <c r="E645" s="52" t="s">
        <v>22</v>
      </c>
      <c r="F645" s="48" t="s">
        <v>23</v>
      </c>
      <c r="G645" s="53">
        <v>17010.0</v>
      </c>
      <c r="H645" s="53">
        <v>19000.0</v>
      </c>
      <c r="I645" s="53">
        <v>1990.0</v>
      </c>
      <c r="J645" s="54">
        <v>0.11699000587889477</v>
      </c>
    </row>
    <row r="646" ht="26.25" customHeight="1">
      <c r="A646" s="11" t="s">
        <v>1530</v>
      </c>
      <c r="B646" s="13" t="s">
        <v>1363</v>
      </c>
      <c r="C646" s="16" t="s">
        <v>1532</v>
      </c>
      <c r="D646" s="13" t="s">
        <v>140</v>
      </c>
      <c r="E646" s="19" t="s">
        <v>22</v>
      </c>
      <c r="F646" s="13" t="s">
        <v>23</v>
      </c>
      <c r="G646" s="22">
        <v>23300.0</v>
      </c>
      <c r="H646" s="22">
        <v>25000.0</v>
      </c>
      <c r="I646" s="22">
        <v>1700.0</v>
      </c>
      <c r="J646" s="46">
        <v>0.07296137339055794</v>
      </c>
    </row>
    <row r="647" ht="26.25" customHeight="1">
      <c r="A647" s="47" t="s">
        <v>1534</v>
      </c>
      <c r="B647" s="48" t="s">
        <v>1363</v>
      </c>
      <c r="C647" s="50" t="s">
        <v>1535</v>
      </c>
      <c r="D647" s="48" t="s">
        <v>254</v>
      </c>
      <c r="E647" s="52" t="s">
        <v>22</v>
      </c>
      <c r="F647" s="48" t="s">
        <v>23</v>
      </c>
      <c r="G647" s="53">
        <v>19010.0</v>
      </c>
      <c r="H647" s="53">
        <v>21000.0</v>
      </c>
      <c r="I647" s="53">
        <v>1990.0</v>
      </c>
      <c r="J647" s="54">
        <v>0.10468174644923724</v>
      </c>
    </row>
    <row r="648" ht="26.25" customHeight="1">
      <c r="A648" s="11" t="s">
        <v>1537</v>
      </c>
      <c r="B648" s="13" t="s">
        <v>1363</v>
      </c>
      <c r="C648" s="16" t="s">
        <v>1538</v>
      </c>
      <c r="D648" s="13" t="s">
        <v>254</v>
      </c>
      <c r="E648" s="19" t="s">
        <v>22</v>
      </c>
      <c r="F648" s="13" t="s">
        <v>23</v>
      </c>
      <c r="G648" s="22">
        <v>27165.0</v>
      </c>
      <c r="H648" s="22">
        <v>30000.0</v>
      </c>
      <c r="I648" s="22">
        <v>2835.0</v>
      </c>
      <c r="J648" s="46">
        <v>0.10436223081170624</v>
      </c>
    </row>
    <row r="649" ht="26.25" customHeight="1">
      <c r="A649" s="47" t="s">
        <v>1539</v>
      </c>
      <c r="B649" s="48" t="s">
        <v>1363</v>
      </c>
      <c r="C649" s="50" t="s">
        <v>1540</v>
      </c>
      <c r="D649" s="48" t="s">
        <v>254</v>
      </c>
      <c r="E649" s="52" t="s">
        <v>22</v>
      </c>
      <c r="F649" s="48" t="s">
        <v>23</v>
      </c>
      <c r="G649" s="53">
        <v>29886.0</v>
      </c>
      <c r="H649" s="53">
        <v>34000.0</v>
      </c>
      <c r="I649" s="53">
        <v>4114.0</v>
      </c>
      <c r="J649" s="54">
        <v>0.13765642775881684</v>
      </c>
    </row>
    <row r="650" ht="26.25" customHeight="1">
      <c r="A650" s="11" t="s">
        <v>1541</v>
      </c>
      <c r="B650" s="13" t="s">
        <v>1363</v>
      </c>
      <c r="C650" s="16" t="s">
        <v>1542</v>
      </c>
      <c r="D650" s="13" t="s">
        <v>254</v>
      </c>
      <c r="E650" s="19" t="s">
        <v>22</v>
      </c>
      <c r="F650" s="13" t="s">
        <v>23</v>
      </c>
      <c r="G650" s="22">
        <v>31850.0</v>
      </c>
      <c r="H650" s="22">
        <v>35000.0</v>
      </c>
      <c r="I650" s="22">
        <v>3150.0</v>
      </c>
      <c r="J650" s="46">
        <v>0.0989010989010989</v>
      </c>
    </row>
    <row r="651" ht="26.25" customHeight="1">
      <c r="A651" s="47" t="s">
        <v>1543</v>
      </c>
      <c r="B651" s="48" t="s">
        <v>1363</v>
      </c>
      <c r="C651" s="50" t="s">
        <v>1544</v>
      </c>
      <c r="D651" s="48" t="s">
        <v>254</v>
      </c>
      <c r="E651" s="52" t="s">
        <v>22</v>
      </c>
      <c r="F651" s="48" t="s">
        <v>23</v>
      </c>
      <c r="G651" s="53">
        <v>33500.0</v>
      </c>
      <c r="H651" s="53">
        <v>36000.0</v>
      </c>
      <c r="I651" s="53">
        <v>2500.0</v>
      </c>
      <c r="J651" s="54">
        <v>0.07462686567164178</v>
      </c>
    </row>
    <row r="652" ht="26.25" customHeight="1">
      <c r="A652" s="11" t="s">
        <v>1545</v>
      </c>
      <c r="B652" s="13" t="s">
        <v>1363</v>
      </c>
      <c r="C652" s="16" t="s">
        <v>1546</v>
      </c>
      <c r="D652" s="13" t="s">
        <v>254</v>
      </c>
      <c r="E652" s="19" t="s">
        <v>22</v>
      </c>
      <c r="F652" s="13" t="s">
        <v>23</v>
      </c>
      <c r="G652" s="22">
        <v>33739.0</v>
      </c>
      <c r="H652" s="22">
        <v>38000.0</v>
      </c>
      <c r="I652" s="22">
        <v>4261.0</v>
      </c>
      <c r="J652" s="46">
        <v>0.1262930140193841</v>
      </c>
    </row>
    <row r="653" ht="26.25" customHeight="1">
      <c r="A653" s="47" t="s">
        <v>1547</v>
      </c>
      <c r="B653" s="48" t="s">
        <v>1363</v>
      </c>
      <c r="C653" s="50" t="s">
        <v>1548</v>
      </c>
      <c r="D653" s="48" t="s">
        <v>254</v>
      </c>
      <c r="E653" s="52" t="s">
        <v>22</v>
      </c>
      <c r="F653" s="48" t="s">
        <v>23</v>
      </c>
      <c r="G653" s="53">
        <v>43275.0</v>
      </c>
      <c r="H653" s="53">
        <v>47000.0</v>
      </c>
      <c r="I653" s="53">
        <v>3725.0</v>
      </c>
      <c r="J653" s="54">
        <v>0.08607741190063548</v>
      </c>
    </row>
    <row r="654" ht="26.25" customHeight="1">
      <c r="A654" s="11" t="s">
        <v>1549</v>
      </c>
      <c r="B654" s="13" t="s">
        <v>1363</v>
      </c>
      <c r="C654" s="16" t="s">
        <v>1550</v>
      </c>
      <c r="D654" s="13" t="s">
        <v>254</v>
      </c>
      <c r="E654" s="19" t="s">
        <v>22</v>
      </c>
      <c r="F654" s="13" t="s">
        <v>23</v>
      </c>
      <c r="G654" s="22">
        <v>57845.0</v>
      </c>
      <c r="H654" s="22">
        <v>62000.0</v>
      </c>
      <c r="I654" s="22">
        <v>4155.0</v>
      </c>
      <c r="J654" s="46">
        <v>0.07182989022387415</v>
      </c>
    </row>
    <row r="655" ht="26.25" customHeight="1">
      <c r="A655" s="47" t="s">
        <v>1551</v>
      </c>
      <c r="B655" s="48" t="s">
        <v>1363</v>
      </c>
      <c r="C655" s="50" t="s">
        <v>1552</v>
      </c>
      <c r="D655" s="48" t="s">
        <v>254</v>
      </c>
      <c r="E655" s="52" t="s">
        <v>22</v>
      </c>
      <c r="F655" s="48" t="s">
        <v>23</v>
      </c>
      <c r="G655" s="53">
        <v>74499.0</v>
      </c>
      <c r="H655" s="53">
        <v>75000.0</v>
      </c>
      <c r="I655" s="53">
        <v>501.0</v>
      </c>
      <c r="J655" s="54">
        <v>0.006724922482180969</v>
      </c>
    </row>
    <row r="656" ht="26.25" customHeight="1">
      <c r="A656" s="11" t="s">
        <v>1554</v>
      </c>
      <c r="B656" s="13" t="s">
        <v>1363</v>
      </c>
      <c r="C656" s="16" t="s">
        <v>1556</v>
      </c>
      <c r="D656" s="13" t="s">
        <v>254</v>
      </c>
      <c r="E656" s="19" t="s">
        <v>22</v>
      </c>
      <c r="F656" s="13" t="s">
        <v>23</v>
      </c>
      <c r="G656" s="22">
        <v>72078.0</v>
      </c>
      <c r="H656" s="22">
        <v>76000.0</v>
      </c>
      <c r="I656" s="22">
        <v>3922.0</v>
      </c>
      <c r="J656" s="46">
        <v>0.054413274508171704</v>
      </c>
    </row>
    <row r="657" ht="26.25" customHeight="1">
      <c r="A657" s="47" t="s">
        <v>1557</v>
      </c>
      <c r="B657" s="48" t="s">
        <v>1363</v>
      </c>
      <c r="C657" s="50" t="s">
        <v>1558</v>
      </c>
      <c r="D657" s="48" t="s">
        <v>254</v>
      </c>
      <c r="E657" s="52" t="s">
        <v>22</v>
      </c>
      <c r="F657" s="48" t="s">
        <v>23</v>
      </c>
      <c r="G657" s="53">
        <v>94227.0</v>
      </c>
      <c r="H657" s="53">
        <v>99000.0</v>
      </c>
      <c r="I657" s="53">
        <v>4773.0</v>
      </c>
      <c r="J657" s="54">
        <v>0.05065427106880194</v>
      </c>
    </row>
    <row r="658" ht="26.25" customHeight="1">
      <c r="A658" s="11" t="s">
        <v>1559</v>
      </c>
      <c r="B658" s="13" t="s">
        <v>1363</v>
      </c>
      <c r="C658" s="16" t="s">
        <v>1560</v>
      </c>
      <c r="D658" s="13" t="s">
        <v>254</v>
      </c>
      <c r="E658" s="19" t="s">
        <v>22</v>
      </c>
      <c r="F658" s="13" t="s">
        <v>23</v>
      </c>
      <c r="G658" s="22">
        <v>117218.0</v>
      </c>
      <c r="H658" s="22">
        <v>122000.0</v>
      </c>
      <c r="I658" s="22">
        <v>4782.0</v>
      </c>
      <c r="J658" s="46">
        <v>0.04079578221774813</v>
      </c>
    </row>
    <row r="659" ht="26.25" customHeight="1">
      <c r="A659" s="47" t="s">
        <v>1561</v>
      </c>
      <c r="B659" s="48" t="s">
        <v>1363</v>
      </c>
      <c r="C659" s="50" t="s">
        <v>1562</v>
      </c>
      <c r="D659" s="48" t="s">
        <v>254</v>
      </c>
      <c r="E659" s="52" t="s">
        <v>22</v>
      </c>
      <c r="F659" s="48" t="s">
        <v>23</v>
      </c>
      <c r="G659" s="53">
        <v>7840.0</v>
      </c>
      <c r="H659" s="53">
        <v>11000.0</v>
      </c>
      <c r="I659" s="53">
        <v>3160.0</v>
      </c>
      <c r="J659" s="54">
        <v>0.4030612244897959</v>
      </c>
    </row>
    <row r="660" ht="26.25" customHeight="1">
      <c r="A660" s="11" t="s">
        <v>1563</v>
      </c>
      <c r="B660" s="13" t="s">
        <v>1363</v>
      </c>
      <c r="C660" s="16" t="s">
        <v>1564</v>
      </c>
      <c r="D660" s="13" t="s">
        <v>254</v>
      </c>
      <c r="E660" s="19" t="s">
        <v>22</v>
      </c>
      <c r="F660" s="13" t="s">
        <v>23</v>
      </c>
      <c r="G660" s="22">
        <v>12110.0</v>
      </c>
      <c r="H660" s="22">
        <v>15000.0</v>
      </c>
      <c r="I660" s="22">
        <v>2890.0</v>
      </c>
      <c r="J660" s="46">
        <v>0.23864574731626756</v>
      </c>
    </row>
    <row r="661" ht="26.25" customHeight="1">
      <c r="A661" s="47" t="s">
        <v>1565</v>
      </c>
      <c r="B661" s="48" t="s">
        <v>1363</v>
      </c>
      <c r="C661" s="50" t="s">
        <v>1566</v>
      </c>
      <c r="D661" s="48" t="s">
        <v>254</v>
      </c>
      <c r="E661" s="52" t="s">
        <v>22</v>
      </c>
      <c r="F661" s="48" t="s">
        <v>23</v>
      </c>
      <c r="G661" s="53">
        <v>12613.0</v>
      </c>
      <c r="H661" s="53">
        <v>15000.0</v>
      </c>
      <c r="I661" s="53">
        <v>2387.0</v>
      </c>
      <c r="J661" s="54">
        <v>0.18924918734638865</v>
      </c>
    </row>
    <row r="662" ht="26.25" customHeight="1">
      <c r="A662" s="11" t="s">
        <v>1567</v>
      </c>
      <c r="B662" s="13" t="s">
        <v>1363</v>
      </c>
      <c r="C662" s="16" t="s">
        <v>1568</v>
      </c>
      <c r="D662" s="13" t="s">
        <v>254</v>
      </c>
      <c r="E662" s="19" t="s">
        <v>22</v>
      </c>
      <c r="F662" s="13" t="s">
        <v>23</v>
      </c>
      <c r="G662" s="22">
        <v>12996.0</v>
      </c>
      <c r="H662" s="22">
        <v>16000.0</v>
      </c>
      <c r="I662" s="22">
        <v>3004.0</v>
      </c>
      <c r="J662" s="46">
        <v>0.2311480455524777</v>
      </c>
    </row>
    <row r="663" ht="26.25" customHeight="1">
      <c r="A663" s="47" t="s">
        <v>1569</v>
      </c>
      <c r="B663" s="48" t="s">
        <v>1363</v>
      </c>
      <c r="C663" s="50" t="s">
        <v>1570</v>
      </c>
      <c r="D663" s="48" t="s">
        <v>254</v>
      </c>
      <c r="E663" s="52" t="s">
        <v>22</v>
      </c>
      <c r="F663" s="48" t="s">
        <v>23</v>
      </c>
      <c r="G663" s="53">
        <v>15722.0</v>
      </c>
      <c r="H663" s="53">
        <v>18000.0</v>
      </c>
      <c r="I663" s="53">
        <v>2278.0</v>
      </c>
      <c r="J663" s="54">
        <v>0.14489250731459102</v>
      </c>
    </row>
    <row r="664" ht="26.25" customHeight="1">
      <c r="A664" s="11" t="s">
        <v>1571</v>
      </c>
      <c r="B664" s="13" t="s">
        <v>1363</v>
      </c>
      <c r="C664" s="16" t="s">
        <v>1572</v>
      </c>
      <c r="D664" s="13" t="s">
        <v>254</v>
      </c>
      <c r="E664" s="19" t="s">
        <v>22</v>
      </c>
      <c r="F664" s="13" t="s">
        <v>23</v>
      </c>
      <c r="G664" s="22">
        <v>16917.0</v>
      </c>
      <c r="H664" s="22">
        <v>20000.0</v>
      </c>
      <c r="I664" s="22">
        <v>3083.0</v>
      </c>
      <c r="J664" s="46">
        <v>0.18224271442927234</v>
      </c>
    </row>
    <row r="665" ht="26.25" customHeight="1">
      <c r="A665" s="47" t="s">
        <v>1573</v>
      </c>
      <c r="B665" s="48" t="s">
        <v>1363</v>
      </c>
      <c r="C665" s="50" t="s">
        <v>1574</v>
      </c>
      <c r="D665" s="48" t="s">
        <v>254</v>
      </c>
      <c r="E665" s="52" t="s">
        <v>22</v>
      </c>
      <c r="F665" s="48" t="s">
        <v>23</v>
      </c>
      <c r="G665" s="53">
        <v>13300.0</v>
      </c>
      <c r="H665" s="53">
        <v>15000.0</v>
      </c>
      <c r="I665" s="53">
        <v>1700.0</v>
      </c>
      <c r="J665" s="54">
        <v>0.12781954887218044</v>
      </c>
    </row>
    <row r="666" ht="26.25" customHeight="1">
      <c r="A666" s="11" t="s">
        <v>1575</v>
      </c>
      <c r="B666" s="13" t="s">
        <v>1363</v>
      </c>
      <c r="C666" s="16" t="s">
        <v>1576</v>
      </c>
      <c r="D666" s="13" t="s">
        <v>254</v>
      </c>
      <c r="E666" s="19" t="s">
        <v>22</v>
      </c>
      <c r="F666" s="13" t="s">
        <v>23</v>
      </c>
      <c r="G666" s="22">
        <v>12300.0</v>
      </c>
      <c r="H666" s="22">
        <v>15000.0</v>
      </c>
      <c r="I666" s="22">
        <v>2700.0</v>
      </c>
      <c r="J666" s="46">
        <v>0.21951219512195122</v>
      </c>
    </row>
    <row r="667" ht="26.25" customHeight="1">
      <c r="A667" s="47" t="s">
        <v>1577</v>
      </c>
      <c r="B667" s="48" t="s">
        <v>1363</v>
      </c>
      <c r="C667" s="50" t="s">
        <v>1578</v>
      </c>
      <c r="D667" s="48" t="s">
        <v>254</v>
      </c>
      <c r="E667" s="52" t="s">
        <v>22</v>
      </c>
      <c r="F667" s="48" t="s">
        <v>23</v>
      </c>
      <c r="G667" s="53">
        <v>12483.0</v>
      </c>
      <c r="H667" s="53">
        <v>16000.0</v>
      </c>
      <c r="I667" s="53">
        <v>3517.0</v>
      </c>
      <c r="J667" s="54">
        <v>0.28174317071216853</v>
      </c>
    </row>
    <row r="668" ht="26.25" customHeight="1">
      <c r="A668" s="11" t="s">
        <v>1579</v>
      </c>
      <c r="B668" s="13" t="s">
        <v>1363</v>
      </c>
      <c r="C668" s="16" t="s">
        <v>1580</v>
      </c>
      <c r="D668" s="13" t="s">
        <v>254</v>
      </c>
      <c r="E668" s="19" t="s">
        <v>22</v>
      </c>
      <c r="F668" s="13" t="s">
        <v>23</v>
      </c>
      <c r="G668" s="22">
        <v>13900.0</v>
      </c>
      <c r="H668" s="22">
        <v>16000.0</v>
      </c>
      <c r="I668" s="22">
        <v>2100.0</v>
      </c>
      <c r="J668" s="46">
        <v>0.1510791366906475</v>
      </c>
    </row>
    <row r="669" ht="26.25" customHeight="1">
      <c r="A669" s="47" t="s">
        <v>1581</v>
      </c>
      <c r="B669" s="48" t="s">
        <v>1363</v>
      </c>
      <c r="C669" s="50" t="s">
        <v>1582</v>
      </c>
      <c r="D669" s="48" t="s">
        <v>254</v>
      </c>
      <c r="E669" s="52" t="s">
        <v>22</v>
      </c>
      <c r="F669" s="48" t="s">
        <v>23</v>
      </c>
      <c r="G669" s="53">
        <v>14275.0</v>
      </c>
      <c r="H669" s="53">
        <v>16500.0</v>
      </c>
      <c r="I669" s="53">
        <v>2225.0</v>
      </c>
      <c r="J669" s="54">
        <v>0.15586690017513136</v>
      </c>
    </row>
    <row r="670" ht="26.25" customHeight="1">
      <c r="A670" s="11" t="s">
        <v>1583</v>
      </c>
      <c r="B670" s="13" t="s">
        <v>1363</v>
      </c>
      <c r="C670" s="16" t="s">
        <v>1584</v>
      </c>
      <c r="D670" s="13" t="s">
        <v>254</v>
      </c>
      <c r="E670" s="19" t="s">
        <v>22</v>
      </c>
      <c r="F670" s="13" t="s">
        <v>23</v>
      </c>
      <c r="G670" s="22">
        <v>14498.0</v>
      </c>
      <c r="H670" s="22">
        <v>17000.0</v>
      </c>
      <c r="I670" s="22">
        <v>2502.0</v>
      </c>
      <c r="J670" s="46">
        <v>0.17257552765898745</v>
      </c>
    </row>
    <row r="671" ht="26.25" customHeight="1">
      <c r="A671" s="47" t="s">
        <v>1585</v>
      </c>
      <c r="B671" s="48" t="s">
        <v>1363</v>
      </c>
      <c r="C671" s="50" t="s">
        <v>1586</v>
      </c>
      <c r="D671" s="48" t="s">
        <v>254</v>
      </c>
      <c r="E671" s="52" t="s">
        <v>22</v>
      </c>
      <c r="F671" s="48" t="s">
        <v>23</v>
      </c>
      <c r="G671" s="53">
        <v>16990.0</v>
      </c>
      <c r="H671" s="53">
        <v>19000.0</v>
      </c>
      <c r="I671" s="53">
        <v>2010.0</v>
      </c>
      <c r="J671" s="54">
        <v>0.11830488522660389</v>
      </c>
    </row>
    <row r="672" ht="26.25" customHeight="1">
      <c r="A672" s="11" t="s">
        <v>1587</v>
      </c>
      <c r="B672" s="13" t="s">
        <v>1363</v>
      </c>
      <c r="C672" s="16" t="s">
        <v>1588</v>
      </c>
      <c r="D672" s="13" t="s">
        <v>254</v>
      </c>
      <c r="E672" s="19" t="s">
        <v>22</v>
      </c>
      <c r="F672" s="13" t="s">
        <v>23</v>
      </c>
      <c r="G672" s="22">
        <v>21500.0</v>
      </c>
      <c r="H672" s="22">
        <v>24000.0</v>
      </c>
      <c r="I672" s="22">
        <v>2500.0</v>
      </c>
      <c r="J672" s="46">
        <v>0.11627906976744186</v>
      </c>
    </row>
    <row r="673" ht="26.25" customHeight="1">
      <c r="A673" s="47" t="s">
        <v>1590</v>
      </c>
      <c r="B673" s="48" t="s">
        <v>1363</v>
      </c>
      <c r="C673" s="50" t="s">
        <v>1591</v>
      </c>
      <c r="D673" s="48" t="s">
        <v>254</v>
      </c>
      <c r="E673" s="52" t="s">
        <v>22</v>
      </c>
      <c r="F673" s="48" t="s">
        <v>23</v>
      </c>
      <c r="G673" s="53">
        <v>22551.0</v>
      </c>
      <c r="H673" s="53">
        <v>25000.0</v>
      </c>
      <c r="I673" s="53">
        <v>2449.0</v>
      </c>
      <c r="J673" s="54">
        <v>0.10859828832424283</v>
      </c>
    </row>
    <row r="674" ht="26.25" customHeight="1">
      <c r="A674" s="11" t="s">
        <v>1593</v>
      </c>
      <c r="B674" s="13" t="s">
        <v>1363</v>
      </c>
      <c r="C674" s="16" t="s">
        <v>1594</v>
      </c>
      <c r="D674" s="13" t="s">
        <v>254</v>
      </c>
      <c r="E674" s="19" t="s">
        <v>22</v>
      </c>
      <c r="F674" s="13" t="s">
        <v>23</v>
      </c>
      <c r="G674" s="22">
        <v>26050.0</v>
      </c>
      <c r="H674" s="22">
        <v>28000.0</v>
      </c>
      <c r="I674" s="22">
        <v>1950.0</v>
      </c>
      <c r="J674" s="46">
        <v>0.07485604606525911</v>
      </c>
    </row>
    <row r="675" ht="26.25" customHeight="1">
      <c r="A675" s="47" t="s">
        <v>1595</v>
      </c>
      <c r="B675" s="48" t="s">
        <v>1363</v>
      </c>
      <c r="C675" s="50" t="s">
        <v>1596</v>
      </c>
      <c r="D675" s="48" t="s">
        <v>254</v>
      </c>
      <c r="E675" s="52" t="s">
        <v>22</v>
      </c>
      <c r="F675" s="48" t="s">
        <v>23</v>
      </c>
      <c r="G675" s="53">
        <v>25710.0</v>
      </c>
      <c r="H675" s="53">
        <v>29000.0</v>
      </c>
      <c r="I675" s="53">
        <v>3290.0</v>
      </c>
      <c r="J675" s="54">
        <v>0.1279657720731233</v>
      </c>
    </row>
    <row r="676" ht="26.25" customHeight="1">
      <c r="A676" s="11" t="s">
        <v>1598</v>
      </c>
      <c r="B676" s="13" t="s">
        <v>1363</v>
      </c>
      <c r="C676" s="16" t="s">
        <v>1599</v>
      </c>
      <c r="D676" s="13" t="s">
        <v>254</v>
      </c>
      <c r="E676" s="19" t="s">
        <v>22</v>
      </c>
      <c r="F676" s="13" t="s">
        <v>23</v>
      </c>
      <c r="G676" s="22">
        <v>31328.0</v>
      </c>
      <c r="H676" s="22">
        <v>35000.0</v>
      </c>
      <c r="I676" s="22">
        <v>3672.0</v>
      </c>
      <c r="J676" s="46">
        <v>0.11721144024514811</v>
      </c>
    </row>
    <row r="677" ht="26.25" customHeight="1">
      <c r="A677" s="47" t="s">
        <v>1600</v>
      </c>
      <c r="B677" s="48" t="s">
        <v>1363</v>
      </c>
      <c r="C677" s="50" t="s">
        <v>1601</v>
      </c>
      <c r="D677" s="48" t="s">
        <v>254</v>
      </c>
      <c r="E677" s="52" t="s">
        <v>22</v>
      </c>
      <c r="F677" s="48" t="s">
        <v>23</v>
      </c>
      <c r="G677" s="53">
        <v>34283.0</v>
      </c>
      <c r="H677" s="53">
        <v>38000.0</v>
      </c>
      <c r="I677" s="53">
        <v>3717.0</v>
      </c>
      <c r="J677" s="54">
        <v>0.10842108333576408</v>
      </c>
    </row>
    <row r="678" ht="26.25" customHeight="1">
      <c r="A678" s="11" t="s">
        <v>1602</v>
      </c>
      <c r="B678" s="13" t="s">
        <v>1363</v>
      </c>
      <c r="C678" s="16" t="s">
        <v>1603</v>
      </c>
      <c r="D678" s="13" t="s">
        <v>254</v>
      </c>
      <c r="E678" s="19" t="s">
        <v>22</v>
      </c>
      <c r="F678" s="13" t="s">
        <v>23</v>
      </c>
      <c r="G678" s="22">
        <v>16307.0</v>
      </c>
      <c r="H678" s="22">
        <v>18500.0</v>
      </c>
      <c r="I678" s="22">
        <v>2193.0</v>
      </c>
      <c r="J678" s="46">
        <v>0.13448212424112344</v>
      </c>
    </row>
    <row r="679" ht="26.25" customHeight="1">
      <c r="A679" s="47" t="s">
        <v>1604</v>
      </c>
      <c r="B679" s="48" t="s">
        <v>1363</v>
      </c>
      <c r="C679" s="50" t="s">
        <v>1605</v>
      </c>
      <c r="D679" s="48" t="s">
        <v>254</v>
      </c>
      <c r="E679" s="52" t="s">
        <v>22</v>
      </c>
      <c r="F679" s="48" t="s">
        <v>23</v>
      </c>
      <c r="G679" s="53">
        <v>17860.0</v>
      </c>
      <c r="H679" s="53">
        <v>20000.0</v>
      </c>
      <c r="I679" s="53">
        <v>2140.0</v>
      </c>
      <c r="J679" s="54">
        <v>0.11982082866741321</v>
      </c>
    </row>
    <row r="680" ht="26.25" customHeight="1">
      <c r="A680" s="11" t="s">
        <v>1606</v>
      </c>
      <c r="B680" s="13" t="s">
        <v>1363</v>
      </c>
      <c r="C680" s="16" t="s">
        <v>1607</v>
      </c>
      <c r="D680" s="13" t="s">
        <v>254</v>
      </c>
      <c r="E680" s="19" t="s">
        <v>22</v>
      </c>
      <c r="F680" s="13" t="s">
        <v>23</v>
      </c>
      <c r="G680" s="22">
        <v>40979.0</v>
      </c>
      <c r="H680" s="22">
        <v>44000.0</v>
      </c>
      <c r="I680" s="22">
        <v>3021.0</v>
      </c>
      <c r="J680" s="46">
        <v>0.07372068620512946</v>
      </c>
    </row>
    <row r="681" ht="26.25" customHeight="1">
      <c r="A681" s="47" t="s">
        <v>1609</v>
      </c>
      <c r="B681" s="48" t="s">
        <v>1363</v>
      </c>
      <c r="C681" s="50" t="s">
        <v>1610</v>
      </c>
      <c r="D681" s="48" t="s">
        <v>254</v>
      </c>
      <c r="E681" s="52" t="s">
        <v>22</v>
      </c>
      <c r="F681" s="48" t="s">
        <v>23</v>
      </c>
      <c r="G681" s="53">
        <v>17860.0</v>
      </c>
      <c r="H681" s="53">
        <v>20000.0</v>
      </c>
      <c r="I681" s="53">
        <v>2140.0</v>
      </c>
      <c r="J681" s="54">
        <v>0.11982082866741321</v>
      </c>
    </row>
    <row r="682" ht="26.25" customHeight="1">
      <c r="A682" s="11" t="s">
        <v>1611</v>
      </c>
      <c r="B682" s="13" t="s">
        <v>1363</v>
      </c>
      <c r="C682" s="16" t="s">
        <v>1612</v>
      </c>
      <c r="D682" s="13" t="s">
        <v>254</v>
      </c>
      <c r="E682" s="19" t="s">
        <v>22</v>
      </c>
      <c r="F682" s="13" t="s">
        <v>23</v>
      </c>
      <c r="G682" s="22">
        <v>34383.0</v>
      </c>
      <c r="H682" s="22">
        <v>38000.0</v>
      </c>
      <c r="I682" s="22">
        <v>3617.0</v>
      </c>
      <c r="J682" s="46">
        <v>0.10519733589273769</v>
      </c>
    </row>
    <row r="683" ht="26.25" customHeight="1">
      <c r="A683" s="47" t="s">
        <v>1613</v>
      </c>
      <c r="B683" s="48" t="s">
        <v>1363</v>
      </c>
      <c r="C683" s="50" t="s">
        <v>1614</v>
      </c>
      <c r="D683" s="48" t="s">
        <v>321</v>
      </c>
      <c r="E683" s="52" t="s">
        <v>22</v>
      </c>
      <c r="F683" s="48" t="s">
        <v>23</v>
      </c>
      <c r="G683" s="53">
        <v>44153.0</v>
      </c>
      <c r="H683" s="53">
        <v>47000.0</v>
      </c>
      <c r="I683" s="53">
        <v>2847.0</v>
      </c>
      <c r="J683" s="54">
        <v>0.06448032976241705</v>
      </c>
    </row>
    <row r="684" ht="26.25" customHeight="1">
      <c r="A684" s="11" t="s">
        <v>1615</v>
      </c>
      <c r="B684" s="13" t="s">
        <v>1363</v>
      </c>
      <c r="C684" s="16" t="s">
        <v>1616</v>
      </c>
      <c r="D684" s="13" t="s">
        <v>321</v>
      </c>
      <c r="E684" s="19" t="s">
        <v>22</v>
      </c>
      <c r="F684" s="13" t="s">
        <v>23</v>
      </c>
      <c r="G684" s="22">
        <v>44410.0</v>
      </c>
      <c r="H684" s="22">
        <v>48000.0</v>
      </c>
      <c r="I684" s="22">
        <v>3590.0</v>
      </c>
      <c r="J684" s="46">
        <v>0.08083764917811304</v>
      </c>
    </row>
    <row r="685" ht="26.25" customHeight="1">
      <c r="A685" s="47" t="s">
        <v>1617</v>
      </c>
      <c r="B685" s="48" t="s">
        <v>1363</v>
      </c>
      <c r="C685" s="50" t="s">
        <v>1619</v>
      </c>
      <c r="D685" s="48" t="s">
        <v>321</v>
      </c>
      <c r="E685" s="52" t="s">
        <v>22</v>
      </c>
      <c r="F685" s="48" t="s">
        <v>23</v>
      </c>
      <c r="G685" s="53">
        <v>45031.0</v>
      </c>
      <c r="H685" s="53">
        <v>48000.0</v>
      </c>
      <c r="I685" s="53">
        <v>2969.0</v>
      </c>
      <c r="J685" s="54">
        <v>0.06593235770913371</v>
      </c>
    </row>
    <row r="686" ht="26.25" customHeight="1">
      <c r="A686" s="11" t="s">
        <v>1621</v>
      </c>
      <c r="B686" s="13" t="s">
        <v>1363</v>
      </c>
      <c r="C686" s="16" t="s">
        <v>1623</v>
      </c>
      <c r="D686" s="13" t="s">
        <v>321</v>
      </c>
      <c r="E686" s="19" t="s">
        <v>22</v>
      </c>
      <c r="F686" s="13" t="s">
        <v>23</v>
      </c>
      <c r="G686" s="22">
        <v>45765.0</v>
      </c>
      <c r="H686" s="22">
        <v>48000.0</v>
      </c>
      <c r="I686" s="22">
        <v>2235.0</v>
      </c>
      <c r="J686" s="46">
        <v>0.04883644706653556</v>
      </c>
    </row>
    <row r="687" ht="26.25" customHeight="1">
      <c r="A687" s="47" t="s">
        <v>1624</v>
      </c>
      <c r="B687" s="48" t="s">
        <v>1363</v>
      </c>
      <c r="C687" s="50" t="s">
        <v>1625</v>
      </c>
      <c r="D687" s="48" t="s">
        <v>321</v>
      </c>
      <c r="E687" s="52" t="s">
        <v>22</v>
      </c>
      <c r="F687" s="48" t="s">
        <v>23</v>
      </c>
      <c r="G687" s="53">
        <v>44601.0</v>
      </c>
      <c r="H687" s="53">
        <v>48000.0</v>
      </c>
      <c r="I687" s="53">
        <v>3399.0</v>
      </c>
      <c r="J687" s="54">
        <v>0.07620905360866348</v>
      </c>
    </row>
    <row r="688" ht="26.25" customHeight="1">
      <c r="A688" s="11" t="s">
        <v>1626</v>
      </c>
      <c r="B688" s="13" t="s">
        <v>1363</v>
      </c>
      <c r="C688" s="16" t="s">
        <v>1627</v>
      </c>
      <c r="D688" s="13" t="s">
        <v>321</v>
      </c>
      <c r="E688" s="19" t="s">
        <v>22</v>
      </c>
      <c r="F688" s="13" t="s">
        <v>23</v>
      </c>
      <c r="G688" s="22">
        <v>51039.0</v>
      </c>
      <c r="H688" s="22">
        <v>55000.0</v>
      </c>
      <c r="I688" s="22">
        <v>3961.0</v>
      </c>
      <c r="J688" s="46">
        <v>0.07760731989263113</v>
      </c>
    </row>
    <row r="689" ht="26.25" customHeight="1">
      <c r="A689" s="47" t="s">
        <v>1628</v>
      </c>
      <c r="B689" s="48" t="s">
        <v>1363</v>
      </c>
      <c r="C689" s="50" t="s">
        <v>1629</v>
      </c>
      <c r="D689" s="48" t="s">
        <v>321</v>
      </c>
      <c r="E689" s="52" t="s">
        <v>22</v>
      </c>
      <c r="F689" s="48" t="s">
        <v>23</v>
      </c>
      <c r="G689" s="53">
        <v>54045.0</v>
      </c>
      <c r="H689" s="53">
        <v>57000.0</v>
      </c>
      <c r="I689" s="53">
        <v>2955.0</v>
      </c>
      <c r="J689" s="54">
        <v>0.054676658340271994</v>
      </c>
    </row>
    <row r="690" ht="26.25" customHeight="1">
      <c r="A690" s="11" t="s">
        <v>1630</v>
      </c>
      <c r="B690" s="13" t="s">
        <v>1363</v>
      </c>
      <c r="C690" s="16" t="s">
        <v>1631</v>
      </c>
      <c r="D690" s="13" t="s">
        <v>321</v>
      </c>
      <c r="E690" s="19" t="s">
        <v>22</v>
      </c>
      <c r="F690" s="13" t="s">
        <v>23</v>
      </c>
      <c r="G690" s="22">
        <v>53900.0</v>
      </c>
      <c r="H690" s="22">
        <v>57000.0</v>
      </c>
      <c r="I690" s="22">
        <v>3100.0</v>
      </c>
      <c r="J690" s="46">
        <v>0.0575139146567718</v>
      </c>
    </row>
    <row r="691" ht="26.25" customHeight="1">
      <c r="A691" s="47" t="s">
        <v>1632</v>
      </c>
      <c r="B691" s="48" t="s">
        <v>1363</v>
      </c>
      <c r="C691" s="50" t="s">
        <v>1633</v>
      </c>
      <c r="D691" s="48" t="s">
        <v>321</v>
      </c>
      <c r="E691" s="52" t="s">
        <v>22</v>
      </c>
      <c r="F691" s="48" t="s">
        <v>23</v>
      </c>
      <c r="G691" s="53">
        <v>62600.0</v>
      </c>
      <c r="H691" s="53">
        <v>65000.0</v>
      </c>
      <c r="I691" s="53">
        <v>2400.0</v>
      </c>
      <c r="J691" s="54">
        <v>0.038338658146964855</v>
      </c>
    </row>
    <row r="692" ht="26.25" customHeight="1">
      <c r="A692" s="11" t="s">
        <v>1634</v>
      </c>
      <c r="B692" s="13" t="s">
        <v>1363</v>
      </c>
      <c r="C692" s="16" t="s">
        <v>1635</v>
      </c>
      <c r="D692" s="13" t="s">
        <v>321</v>
      </c>
      <c r="E692" s="19" t="s">
        <v>22</v>
      </c>
      <c r="F692" s="13" t="s">
        <v>23</v>
      </c>
      <c r="G692" s="22">
        <v>62939.0</v>
      </c>
      <c r="H692" s="22">
        <v>65000.0</v>
      </c>
      <c r="I692" s="22">
        <v>2061.0</v>
      </c>
      <c r="J692" s="46">
        <v>0.03274599215113046</v>
      </c>
    </row>
    <row r="693" ht="26.25" customHeight="1">
      <c r="A693" s="47" t="s">
        <v>1636</v>
      </c>
      <c r="B693" s="48" t="s">
        <v>1363</v>
      </c>
      <c r="C693" s="50" t="s">
        <v>1637</v>
      </c>
      <c r="D693" s="48" t="s">
        <v>321</v>
      </c>
      <c r="E693" s="52" t="s">
        <v>22</v>
      </c>
      <c r="F693" s="48" t="s">
        <v>23</v>
      </c>
      <c r="G693" s="53">
        <v>62400.0</v>
      </c>
      <c r="H693" s="53">
        <v>66000.0</v>
      </c>
      <c r="I693" s="53">
        <v>3600.0</v>
      </c>
      <c r="J693" s="54">
        <v>0.057692307692307696</v>
      </c>
    </row>
    <row r="694" ht="26.25" customHeight="1">
      <c r="A694" s="11" t="s">
        <v>1638</v>
      </c>
      <c r="B694" s="13" t="s">
        <v>1363</v>
      </c>
      <c r="C694" s="16" t="s">
        <v>1639</v>
      </c>
      <c r="D694" s="13" t="s">
        <v>321</v>
      </c>
      <c r="E694" s="19" t="s">
        <v>22</v>
      </c>
      <c r="F694" s="13" t="s">
        <v>23</v>
      </c>
      <c r="G694" s="22">
        <v>71049.0</v>
      </c>
      <c r="H694" s="22">
        <v>76000.0</v>
      </c>
      <c r="I694" s="22">
        <v>4951.0</v>
      </c>
      <c r="J694" s="46">
        <v>0.06968430238286254</v>
      </c>
    </row>
    <row r="695" ht="26.25" customHeight="1">
      <c r="A695" s="47" t="s">
        <v>1640</v>
      </c>
      <c r="B695" s="48" t="s">
        <v>1363</v>
      </c>
      <c r="C695" s="50" t="s">
        <v>1641</v>
      </c>
      <c r="D695" s="48" t="s">
        <v>321</v>
      </c>
      <c r="E695" s="52" t="s">
        <v>22</v>
      </c>
      <c r="F695" s="48" t="s">
        <v>23</v>
      </c>
      <c r="G695" s="53">
        <v>86135.0</v>
      </c>
      <c r="H695" s="53">
        <v>91000.0</v>
      </c>
      <c r="I695" s="53">
        <v>4865.0</v>
      </c>
      <c r="J695" s="54">
        <v>0.056481105241771634</v>
      </c>
    </row>
    <row r="696" ht="26.25" customHeight="1">
      <c r="A696" s="11" t="s">
        <v>1642</v>
      </c>
      <c r="B696" s="13" t="s">
        <v>1363</v>
      </c>
      <c r="C696" s="16" t="s">
        <v>1643</v>
      </c>
      <c r="D696" s="13" t="s">
        <v>321</v>
      </c>
      <c r="E696" s="19" t="s">
        <v>22</v>
      </c>
      <c r="F696" s="13" t="s">
        <v>23</v>
      </c>
      <c r="G696" s="22">
        <v>86961.0</v>
      </c>
      <c r="H696" s="22">
        <v>93000.0</v>
      </c>
      <c r="I696" s="22">
        <v>6039.0</v>
      </c>
      <c r="J696" s="46">
        <v>0.0694449235864353</v>
      </c>
    </row>
    <row r="697" ht="26.25" customHeight="1">
      <c r="A697" s="47" t="s">
        <v>1645</v>
      </c>
      <c r="B697" s="48" t="s">
        <v>1363</v>
      </c>
      <c r="C697" s="50" t="s">
        <v>1647</v>
      </c>
      <c r="D697" s="48" t="s">
        <v>321</v>
      </c>
      <c r="E697" s="52" t="s">
        <v>22</v>
      </c>
      <c r="F697" s="48" t="s">
        <v>23</v>
      </c>
      <c r="G697" s="53">
        <v>89160.0</v>
      </c>
      <c r="H697" s="53">
        <v>95000.0</v>
      </c>
      <c r="I697" s="53">
        <v>5840.0</v>
      </c>
      <c r="J697" s="54">
        <v>0.0655002243158367</v>
      </c>
    </row>
    <row r="698" ht="26.25" customHeight="1">
      <c r="A698" s="11" t="s">
        <v>1650</v>
      </c>
      <c r="B698" s="13" t="s">
        <v>1363</v>
      </c>
      <c r="C698" s="16" t="s">
        <v>1651</v>
      </c>
      <c r="D698" s="13" t="s">
        <v>321</v>
      </c>
      <c r="E698" s="19" t="s">
        <v>22</v>
      </c>
      <c r="F698" s="13" t="s">
        <v>23</v>
      </c>
      <c r="G698" s="22">
        <v>90698.0</v>
      </c>
      <c r="H698" s="22">
        <v>97000.0</v>
      </c>
      <c r="I698" s="22">
        <v>6302.0</v>
      </c>
      <c r="J698" s="46">
        <v>0.06948334031621425</v>
      </c>
    </row>
    <row r="699" ht="26.25" customHeight="1">
      <c r="A699" s="47" t="s">
        <v>1652</v>
      </c>
      <c r="B699" s="48" t="s">
        <v>1363</v>
      </c>
      <c r="C699" s="50" t="s">
        <v>1653</v>
      </c>
      <c r="D699" s="48" t="s">
        <v>321</v>
      </c>
      <c r="E699" s="52" t="s">
        <v>22</v>
      </c>
      <c r="F699" s="48" t="s">
        <v>23</v>
      </c>
      <c r="G699" s="53">
        <v>93730.0</v>
      </c>
      <c r="H699" s="53">
        <v>100000.0</v>
      </c>
      <c r="I699" s="53">
        <v>6270.0</v>
      </c>
      <c r="J699" s="54">
        <v>0.06689427077776593</v>
      </c>
    </row>
    <row r="700" ht="26.25" customHeight="1">
      <c r="A700" s="11" t="s">
        <v>1654</v>
      </c>
      <c r="B700" s="13" t="s">
        <v>1363</v>
      </c>
      <c r="C700" s="16" t="s">
        <v>1655</v>
      </c>
      <c r="D700" s="13" t="s">
        <v>321</v>
      </c>
      <c r="E700" s="19" t="s">
        <v>22</v>
      </c>
      <c r="F700" s="13" t="s">
        <v>23</v>
      </c>
      <c r="G700" s="22">
        <v>105827.0</v>
      </c>
      <c r="H700" s="22">
        <v>112000.0</v>
      </c>
      <c r="I700" s="22">
        <v>6173.0</v>
      </c>
      <c r="J700" s="46">
        <v>0.05833104973210995</v>
      </c>
    </row>
    <row r="701" ht="26.25" customHeight="1">
      <c r="A701" s="47" t="s">
        <v>1656</v>
      </c>
      <c r="B701" s="48" t="s">
        <v>1363</v>
      </c>
      <c r="C701" s="50" t="s">
        <v>1657</v>
      </c>
      <c r="D701" s="48" t="s">
        <v>321</v>
      </c>
      <c r="E701" s="52" t="s">
        <v>22</v>
      </c>
      <c r="F701" s="48" t="s">
        <v>23</v>
      </c>
      <c r="G701" s="53">
        <v>120180.0</v>
      </c>
      <c r="H701" s="53">
        <v>128000.0</v>
      </c>
      <c r="I701" s="53">
        <v>7820.0</v>
      </c>
      <c r="J701" s="54">
        <v>0.06506906307205858</v>
      </c>
    </row>
    <row r="702" ht="26.25" customHeight="1">
      <c r="A702" s="11" t="s">
        <v>1658</v>
      </c>
      <c r="B702" s="13" t="s">
        <v>1363</v>
      </c>
      <c r="C702" s="16" t="s">
        <v>1659</v>
      </c>
      <c r="D702" s="13" t="s">
        <v>321</v>
      </c>
      <c r="E702" s="19" t="s">
        <v>22</v>
      </c>
      <c r="F702" s="13" t="s">
        <v>23</v>
      </c>
      <c r="G702" s="22">
        <v>7821.0</v>
      </c>
      <c r="H702" s="22">
        <v>10000.0</v>
      </c>
      <c r="I702" s="22">
        <v>2179.0</v>
      </c>
      <c r="J702" s="46">
        <v>0.2786088735455824</v>
      </c>
    </row>
    <row r="703" ht="26.25" customHeight="1">
      <c r="A703" s="47" t="s">
        <v>1660</v>
      </c>
      <c r="B703" s="48" t="s">
        <v>1363</v>
      </c>
      <c r="C703" s="50" t="s">
        <v>1661</v>
      </c>
      <c r="D703" s="48" t="s">
        <v>321</v>
      </c>
      <c r="E703" s="52" t="s">
        <v>22</v>
      </c>
      <c r="F703" s="48" t="s">
        <v>23</v>
      </c>
      <c r="G703" s="53">
        <v>11922.0</v>
      </c>
      <c r="H703" s="53">
        <v>14000.0</v>
      </c>
      <c r="I703" s="53">
        <v>2078.0</v>
      </c>
      <c r="J703" s="54">
        <v>0.1742996141586982</v>
      </c>
    </row>
    <row r="704" ht="26.25" customHeight="1">
      <c r="A704" s="11" t="s">
        <v>1662</v>
      </c>
      <c r="B704" s="13" t="s">
        <v>1363</v>
      </c>
      <c r="C704" s="16" t="s">
        <v>1663</v>
      </c>
      <c r="D704" s="13" t="s">
        <v>321</v>
      </c>
      <c r="E704" s="19" t="s">
        <v>22</v>
      </c>
      <c r="F704" s="13" t="s">
        <v>23</v>
      </c>
      <c r="G704" s="22">
        <v>17330.0</v>
      </c>
      <c r="H704" s="22">
        <v>20000.0</v>
      </c>
      <c r="I704" s="22">
        <v>2670.0</v>
      </c>
      <c r="J704" s="46">
        <v>0.15406809001731103</v>
      </c>
    </row>
    <row r="705" ht="26.25" customHeight="1">
      <c r="A705" s="47" t="s">
        <v>1664</v>
      </c>
      <c r="B705" s="48" t="s">
        <v>1363</v>
      </c>
      <c r="C705" s="50" t="s">
        <v>1665</v>
      </c>
      <c r="D705" s="48" t="s">
        <v>321</v>
      </c>
      <c r="E705" s="52" t="s">
        <v>22</v>
      </c>
      <c r="F705" s="48" t="s">
        <v>23</v>
      </c>
      <c r="G705" s="53">
        <v>17850.0</v>
      </c>
      <c r="H705" s="53">
        <v>21000.0</v>
      </c>
      <c r="I705" s="53">
        <v>3150.0</v>
      </c>
      <c r="J705" s="54">
        <v>0.17647058823529413</v>
      </c>
    </row>
    <row r="706" ht="26.25" customHeight="1">
      <c r="A706" s="11" t="s">
        <v>1666</v>
      </c>
      <c r="B706" s="13" t="s">
        <v>1363</v>
      </c>
      <c r="C706" s="16" t="s">
        <v>1667</v>
      </c>
      <c r="D706" s="13" t="s">
        <v>321</v>
      </c>
      <c r="E706" s="19" t="s">
        <v>22</v>
      </c>
      <c r="F706" s="13" t="s">
        <v>23</v>
      </c>
      <c r="G706" s="22">
        <v>27975.0</v>
      </c>
      <c r="H706" s="22">
        <v>25000.0</v>
      </c>
      <c r="I706" s="22">
        <v>-2975.0</v>
      </c>
      <c r="J706" s="46">
        <v>-0.1063449508489723</v>
      </c>
    </row>
    <row r="707" ht="26.25" customHeight="1">
      <c r="A707" s="47" t="s">
        <v>1668</v>
      </c>
      <c r="B707" s="48" t="s">
        <v>1363</v>
      </c>
      <c r="C707" s="50" t="s">
        <v>1669</v>
      </c>
      <c r="D707" s="48" t="s">
        <v>321</v>
      </c>
      <c r="E707" s="52" t="s">
        <v>22</v>
      </c>
      <c r="F707" s="48" t="s">
        <v>23</v>
      </c>
      <c r="G707" s="53">
        <v>33788.0</v>
      </c>
      <c r="H707" s="53">
        <v>0.0</v>
      </c>
      <c r="I707" s="53">
        <v>-33788.0</v>
      </c>
      <c r="J707" s="54">
        <v>-1.0</v>
      </c>
    </row>
    <row r="708" ht="26.25" customHeight="1">
      <c r="A708" s="11" t="s">
        <v>1671</v>
      </c>
      <c r="B708" s="13" t="s">
        <v>1363</v>
      </c>
      <c r="C708" s="16" t="s">
        <v>1672</v>
      </c>
      <c r="D708" s="13" t="s">
        <v>321</v>
      </c>
      <c r="E708" s="19" t="s">
        <v>22</v>
      </c>
      <c r="F708" s="13" t="s">
        <v>23</v>
      </c>
      <c r="G708" s="22">
        <v>44925.0</v>
      </c>
      <c r="H708" s="22">
        <v>48000.0</v>
      </c>
      <c r="I708" s="22">
        <v>3075.0</v>
      </c>
      <c r="J708" s="46">
        <v>0.06844741235392321</v>
      </c>
    </row>
    <row r="709" ht="26.25" customHeight="1">
      <c r="A709" s="47" t="s">
        <v>1674</v>
      </c>
      <c r="B709" s="48" t="s">
        <v>1363</v>
      </c>
      <c r="C709" s="50" t="s">
        <v>1676</v>
      </c>
      <c r="D709" s="48" t="s">
        <v>321</v>
      </c>
      <c r="E709" s="52" t="s">
        <v>22</v>
      </c>
      <c r="F709" s="48" t="s">
        <v>23</v>
      </c>
      <c r="G709" s="53">
        <v>21620.0</v>
      </c>
      <c r="H709" s="53">
        <v>25000.0</v>
      </c>
      <c r="I709" s="53">
        <v>3380.0</v>
      </c>
      <c r="J709" s="54">
        <v>0.15633672525439407</v>
      </c>
    </row>
    <row r="710" ht="26.25" customHeight="1">
      <c r="A710" s="11" t="s">
        <v>1677</v>
      </c>
      <c r="B710" s="13" t="s">
        <v>1363</v>
      </c>
      <c r="C710" s="16" t="s">
        <v>1678</v>
      </c>
      <c r="D710" s="13" t="s">
        <v>321</v>
      </c>
      <c r="E710" s="19" t="s">
        <v>22</v>
      </c>
      <c r="F710" s="13" t="s">
        <v>23</v>
      </c>
      <c r="G710" s="22">
        <v>47450.0</v>
      </c>
      <c r="H710" s="22">
        <v>51000.0</v>
      </c>
      <c r="I710" s="22">
        <v>3550.0</v>
      </c>
      <c r="J710" s="46">
        <v>0.07481559536354057</v>
      </c>
    </row>
    <row r="711" ht="26.25" customHeight="1">
      <c r="A711" s="47" t="s">
        <v>1679</v>
      </c>
      <c r="B711" s="48" t="s">
        <v>1363</v>
      </c>
      <c r="C711" s="50" t="s">
        <v>1680</v>
      </c>
      <c r="D711" s="48" t="s">
        <v>321</v>
      </c>
      <c r="E711" s="52" t="s">
        <v>22</v>
      </c>
      <c r="F711" s="48" t="s">
        <v>23</v>
      </c>
      <c r="G711" s="53">
        <v>55000.0</v>
      </c>
      <c r="H711" s="53">
        <v>58000.0</v>
      </c>
      <c r="I711" s="53">
        <v>3000.0</v>
      </c>
      <c r="J711" s="54">
        <v>0.05454545454545454</v>
      </c>
    </row>
    <row r="712" ht="26.25" customHeight="1">
      <c r="A712" s="11" t="s">
        <v>1681</v>
      </c>
      <c r="B712" s="13" t="s">
        <v>1363</v>
      </c>
      <c r="C712" s="16" t="s">
        <v>1682</v>
      </c>
      <c r="D712" s="13" t="s">
        <v>321</v>
      </c>
      <c r="E712" s="19" t="s">
        <v>22</v>
      </c>
      <c r="F712" s="13" t="s">
        <v>23</v>
      </c>
      <c r="G712" s="22">
        <v>67100.0</v>
      </c>
      <c r="H712" s="22">
        <v>71000.0</v>
      </c>
      <c r="I712" s="22">
        <v>3900.0</v>
      </c>
      <c r="J712" s="46">
        <v>0.05812220566318927</v>
      </c>
    </row>
    <row r="713" ht="26.25" customHeight="1">
      <c r="A713" s="47" t="s">
        <v>1683</v>
      </c>
      <c r="B713" s="48" t="s">
        <v>1363</v>
      </c>
      <c r="C713" s="50" t="s">
        <v>1684</v>
      </c>
      <c r="D713" s="48" t="s">
        <v>321</v>
      </c>
      <c r="E713" s="52" t="s">
        <v>22</v>
      </c>
      <c r="F713" s="48" t="s">
        <v>23</v>
      </c>
      <c r="G713" s="53">
        <v>16300.0</v>
      </c>
      <c r="H713" s="53">
        <v>19000.0</v>
      </c>
      <c r="I713" s="53">
        <v>2700.0</v>
      </c>
      <c r="J713" s="54">
        <v>0.1656441717791411</v>
      </c>
    </row>
    <row r="714" ht="26.25" customHeight="1">
      <c r="A714" s="11" t="s">
        <v>1685</v>
      </c>
      <c r="B714" s="13" t="s">
        <v>1363</v>
      </c>
      <c r="C714" s="16" t="s">
        <v>1686</v>
      </c>
      <c r="D714" s="13" t="s">
        <v>321</v>
      </c>
      <c r="E714" s="19" t="s">
        <v>22</v>
      </c>
      <c r="F714" s="13" t="s">
        <v>23</v>
      </c>
      <c r="G714" s="22">
        <v>35515.0</v>
      </c>
      <c r="H714" s="22">
        <v>38000.0</v>
      </c>
      <c r="I714" s="22">
        <v>2485.0</v>
      </c>
      <c r="J714" s="46">
        <v>0.06997043502745319</v>
      </c>
    </row>
    <row r="715" ht="26.25" customHeight="1">
      <c r="A715" s="47" t="s">
        <v>1687</v>
      </c>
      <c r="B715" s="48" t="s">
        <v>1363</v>
      </c>
      <c r="C715" s="50" t="s">
        <v>1688</v>
      </c>
      <c r="D715" s="48" t="s">
        <v>321</v>
      </c>
      <c r="E715" s="52" t="s">
        <v>22</v>
      </c>
      <c r="F715" s="48" t="s">
        <v>23</v>
      </c>
      <c r="G715" s="53">
        <v>57050.0</v>
      </c>
      <c r="H715" s="53">
        <v>61000.0</v>
      </c>
      <c r="I715" s="53">
        <v>3950.0</v>
      </c>
      <c r="J715" s="54">
        <v>0.06923751095530237</v>
      </c>
    </row>
    <row r="716" ht="26.25" customHeight="1">
      <c r="A716" s="11" t="s">
        <v>1689</v>
      </c>
      <c r="B716" s="13" t="s">
        <v>1363</v>
      </c>
      <c r="C716" s="16" t="s">
        <v>1690</v>
      </c>
      <c r="D716" s="13" t="s">
        <v>321</v>
      </c>
      <c r="E716" s="19" t="s">
        <v>22</v>
      </c>
      <c r="F716" s="13" t="s">
        <v>23</v>
      </c>
      <c r="G716" s="22">
        <v>79784.0</v>
      </c>
      <c r="H716" s="22">
        <v>83000.0</v>
      </c>
      <c r="I716" s="22">
        <v>3216.0</v>
      </c>
      <c r="J716" s="46">
        <v>0.04030883385139878</v>
      </c>
    </row>
    <row r="717" ht="26.25" customHeight="1">
      <c r="A717" s="47" t="s">
        <v>1691</v>
      </c>
      <c r="B717" s="48" t="s">
        <v>1363</v>
      </c>
      <c r="C717" s="50" t="s">
        <v>1692</v>
      </c>
      <c r="D717" s="48" t="s">
        <v>321</v>
      </c>
      <c r="E717" s="52" t="s">
        <v>22</v>
      </c>
      <c r="F717" s="48" t="s">
        <v>23</v>
      </c>
      <c r="G717" s="53">
        <v>102050.0</v>
      </c>
      <c r="H717" s="53">
        <v>107000.0</v>
      </c>
      <c r="I717" s="53">
        <v>4950.0</v>
      </c>
      <c r="J717" s="54">
        <v>0.04850563449289564</v>
      </c>
    </row>
    <row r="718" ht="26.25" customHeight="1">
      <c r="A718" s="11" t="s">
        <v>1693</v>
      </c>
      <c r="B718" s="13" t="s">
        <v>1363</v>
      </c>
      <c r="C718" s="16" t="s">
        <v>1694</v>
      </c>
      <c r="D718" s="13" t="s">
        <v>471</v>
      </c>
      <c r="E718" s="19" t="s">
        <v>22</v>
      </c>
      <c r="F718" s="13" t="s">
        <v>23</v>
      </c>
      <c r="G718" s="22">
        <v>5970.0</v>
      </c>
      <c r="H718" s="22">
        <v>8000.0</v>
      </c>
      <c r="I718" s="22">
        <v>2030.0</v>
      </c>
      <c r="J718" s="46">
        <v>0.34003350083752093</v>
      </c>
    </row>
    <row r="719" ht="26.25" customHeight="1">
      <c r="A719" s="47" t="s">
        <v>1696</v>
      </c>
      <c r="B719" s="48" t="s">
        <v>1363</v>
      </c>
      <c r="C719" s="50" t="s">
        <v>1698</v>
      </c>
      <c r="D719" s="48" t="s">
        <v>471</v>
      </c>
      <c r="E719" s="52" t="s">
        <v>22</v>
      </c>
      <c r="F719" s="48" t="s">
        <v>23</v>
      </c>
      <c r="G719" s="53">
        <v>8907.0</v>
      </c>
      <c r="H719" s="53">
        <v>12000.0</v>
      </c>
      <c r="I719" s="53">
        <v>3093.0</v>
      </c>
      <c r="J719" s="54">
        <v>0.3472549680026945</v>
      </c>
    </row>
    <row r="720" ht="26.25" customHeight="1">
      <c r="A720" s="11" t="s">
        <v>1700</v>
      </c>
      <c r="B720" s="13" t="s">
        <v>1363</v>
      </c>
      <c r="C720" s="16" t="s">
        <v>1701</v>
      </c>
      <c r="D720" s="13" t="s">
        <v>471</v>
      </c>
      <c r="E720" s="19" t="s">
        <v>22</v>
      </c>
      <c r="F720" s="13" t="s">
        <v>23</v>
      </c>
      <c r="G720" s="22">
        <v>8990.0</v>
      </c>
      <c r="H720" s="22">
        <v>11000.0</v>
      </c>
      <c r="I720" s="22">
        <v>2010.0</v>
      </c>
      <c r="J720" s="46">
        <v>0.2235817575083426</v>
      </c>
    </row>
    <row r="721" ht="26.25" customHeight="1">
      <c r="A721" s="47" t="s">
        <v>1702</v>
      </c>
      <c r="B721" s="48" t="s">
        <v>1363</v>
      </c>
      <c r="C721" s="50" t="s">
        <v>1703</v>
      </c>
      <c r="D721" s="48" t="s">
        <v>471</v>
      </c>
      <c r="E721" s="52" t="s">
        <v>22</v>
      </c>
      <c r="F721" s="48" t="s">
        <v>23</v>
      </c>
      <c r="G721" s="53">
        <v>13210.0</v>
      </c>
      <c r="H721" s="53">
        <v>15000.0</v>
      </c>
      <c r="I721" s="53">
        <v>1790.0</v>
      </c>
      <c r="J721" s="54">
        <v>0.13550340651021953</v>
      </c>
    </row>
    <row r="722" ht="26.25" customHeight="1">
      <c r="A722" s="11" t="s">
        <v>1704</v>
      </c>
      <c r="B722" s="13" t="s">
        <v>1363</v>
      </c>
      <c r="C722" s="16" t="s">
        <v>1705</v>
      </c>
      <c r="D722" s="13" t="s">
        <v>471</v>
      </c>
      <c r="E722" s="19" t="s">
        <v>22</v>
      </c>
      <c r="F722" s="13" t="s">
        <v>23</v>
      </c>
      <c r="G722" s="22">
        <v>13550.0</v>
      </c>
      <c r="H722" s="22">
        <v>16000.0</v>
      </c>
      <c r="I722" s="22">
        <v>2450.0</v>
      </c>
      <c r="J722" s="46">
        <v>0.18081180811808117</v>
      </c>
    </row>
    <row r="723" ht="26.25" customHeight="1">
      <c r="A723" s="47" t="s">
        <v>1706</v>
      </c>
      <c r="B723" s="48" t="s">
        <v>1363</v>
      </c>
      <c r="C723" s="50" t="s">
        <v>1707</v>
      </c>
      <c r="D723" s="48" t="s">
        <v>471</v>
      </c>
      <c r="E723" s="52" t="s">
        <v>22</v>
      </c>
      <c r="F723" s="48" t="s">
        <v>23</v>
      </c>
      <c r="G723" s="53">
        <v>20100.0</v>
      </c>
      <c r="H723" s="53">
        <v>22000.0</v>
      </c>
      <c r="I723" s="53">
        <v>1900.0</v>
      </c>
      <c r="J723" s="54">
        <v>0.0945273631840796</v>
      </c>
    </row>
    <row r="724" ht="26.25" customHeight="1">
      <c r="A724" s="11" t="s">
        <v>1708</v>
      </c>
      <c r="B724" s="13" t="s">
        <v>1363</v>
      </c>
      <c r="C724" s="16" t="s">
        <v>1709</v>
      </c>
      <c r="D724" s="13" t="s">
        <v>471</v>
      </c>
      <c r="E724" s="19" t="s">
        <v>22</v>
      </c>
      <c r="F724" s="13" t="s">
        <v>23</v>
      </c>
      <c r="G724" s="22">
        <v>9350.0</v>
      </c>
      <c r="H724" s="22">
        <v>13000.0</v>
      </c>
      <c r="I724" s="22">
        <v>3650.0</v>
      </c>
      <c r="J724" s="46">
        <v>0.39037433155080214</v>
      </c>
    </row>
    <row r="725" ht="26.25" customHeight="1">
      <c r="A725" s="47" t="s">
        <v>1710</v>
      </c>
      <c r="B725" s="48" t="s">
        <v>1363</v>
      </c>
      <c r="C725" s="50" t="s">
        <v>1711</v>
      </c>
      <c r="D725" s="48" t="s">
        <v>471</v>
      </c>
      <c r="E725" s="52" t="s">
        <v>22</v>
      </c>
      <c r="F725" s="48" t="s">
        <v>23</v>
      </c>
      <c r="G725" s="53">
        <v>14650.0</v>
      </c>
      <c r="H725" s="53">
        <v>17000.0</v>
      </c>
      <c r="I725" s="53">
        <v>2350.0</v>
      </c>
      <c r="J725" s="54">
        <v>0.16040955631399317</v>
      </c>
    </row>
    <row r="726" ht="26.25" customHeight="1">
      <c r="A726" s="11" t="s">
        <v>1712</v>
      </c>
      <c r="B726" s="13" t="s">
        <v>1363</v>
      </c>
      <c r="C726" s="16" t="s">
        <v>1713</v>
      </c>
      <c r="D726" s="13" t="s">
        <v>471</v>
      </c>
      <c r="E726" s="19" t="s">
        <v>22</v>
      </c>
      <c r="F726" s="13" t="s">
        <v>23</v>
      </c>
      <c r="G726" s="22">
        <v>14589.0</v>
      </c>
      <c r="H726" s="22">
        <v>17000.0</v>
      </c>
      <c r="I726" s="22">
        <v>2411.0</v>
      </c>
      <c r="J726" s="46">
        <v>0.16526149838919735</v>
      </c>
    </row>
    <row r="727" ht="26.25" customHeight="1">
      <c r="A727" s="47" t="s">
        <v>1714</v>
      </c>
      <c r="B727" s="48" t="s">
        <v>1363</v>
      </c>
      <c r="C727" s="50" t="s">
        <v>1715</v>
      </c>
      <c r="D727" s="48" t="s">
        <v>471</v>
      </c>
      <c r="E727" s="52" t="s">
        <v>22</v>
      </c>
      <c r="F727" s="48" t="s">
        <v>23</v>
      </c>
      <c r="G727" s="53">
        <v>19125.0</v>
      </c>
      <c r="H727" s="53">
        <v>22000.0</v>
      </c>
      <c r="I727" s="53">
        <v>2875.0</v>
      </c>
      <c r="J727" s="54">
        <v>0.1503267973856209</v>
      </c>
    </row>
    <row r="728" ht="26.25" customHeight="1">
      <c r="A728" s="11" t="s">
        <v>1718</v>
      </c>
      <c r="B728" s="13" t="s">
        <v>1363</v>
      </c>
      <c r="C728" s="16" t="s">
        <v>1719</v>
      </c>
      <c r="D728" s="13" t="s">
        <v>471</v>
      </c>
      <c r="E728" s="19" t="s">
        <v>22</v>
      </c>
      <c r="F728" s="13" t="s">
        <v>23</v>
      </c>
      <c r="G728" s="22">
        <v>19150.0</v>
      </c>
      <c r="H728" s="22">
        <v>23000.0</v>
      </c>
      <c r="I728" s="22">
        <v>3850.0</v>
      </c>
      <c r="J728" s="46">
        <v>0.2010443864229765</v>
      </c>
    </row>
    <row r="729" ht="26.25" customHeight="1">
      <c r="A729" s="47" t="s">
        <v>1720</v>
      </c>
      <c r="B729" s="48" t="s">
        <v>1363</v>
      </c>
      <c r="C729" s="50" t="s">
        <v>1721</v>
      </c>
      <c r="D729" s="48" t="s">
        <v>471</v>
      </c>
      <c r="E729" s="52" t="s">
        <v>22</v>
      </c>
      <c r="F729" s="48" t="s">
        <v>23</v>
      </c>
      <c r="G729" s="53">
        <v>31452.0</v>
      </c>
      <c r="H729" s="53">
        <v>35000.0</v>
      </c>
      <c r="I729" s="53">
        <v>3548.0</v>
      </c>
      <c r="J729" s="54">
        <v>0.11280681673661452</v>
      </c>
    </row>
    <row r="730" ht="26.25" customHeight="1">
      <c r="A730" s="11" t="s">
        <v>1722</v>
      </c>
      <c r="B730" s="13" t="s">
        <v>1363</v>
      </c>
      <c r="C730" s="16" t="s">
        <v>1723</v>
      </c>
      <c r="D730" s="13" t="s">
        <v>471</v>
      </c>
      <c r="E730" s="19" t="s">
        <v>22</v>
      </c>
      <c r="F730" s="13" t="s">
        <v>23</v>
      </c>
      <c r="G730" s="22">
        <v>62800.0</v>
      </c>
      <c r="H730" s="22">
        <v>66000.0</v>
      </c>
      <c r="I730" s="22">
        <v>3200.0</v>
      </c>
      <c r="J730" s="46">
        <v>0.050955414012738856</v>
      </c>
    </row>
    <row r="731" ht="26.25" customHeight="1">
      <c r="A731" s="47" t="s">
        <v>1724</v>
      </c>
      <c r="B731" s="48" t="s">
        <v>1363</v>
      </c>
      <c r="C731" s="50" t="s">
        <v>1725</v>
      </c>
      <c r="D731" s="48" t="s">
        <v>471</v>
      </c>
      <c r="E731" s="52" t="s">
        <v>22</v>
      </c>
      <c r="F731" s="48" t="s">
        <v>23</v>
      </c>
      <c r="G731" s="53">
        <v>32900.0</v>
      </c>
      <c r="H731" s="53">
        <v>35000.0</v>
      </c>
      <c r="I731" s="53">
        <v>2100.0</v>
      </c>
      <c r="J731" s="54">
        <v>0.06382978723404255</v>
      </c>
    </row>
    <row r="732" ht="26.25" customHeight="1">
      <c r="A732" s="11" t="s">
        <v>1726</v>
      </c>
      <c r="B732" s="13" t="s">
        <v>1363</v>
      </c>
      <c r="C732" s="16" t="s">
        <v>1727</v>
      </c>
      <c r="D732" s="13" t="s">
        <v>471</v>
      </c>
      <c r="E732" s="19" t="s">
        <v>22</v>
      </c>
      <c r="F732" s="13" t="s">
        <v>23</v>
      </c>
      <c r="G732" s="22">
        <v>93365.0</v>
      </c>
      <c r="H732" s="22">
        <v>98000.0</v>
      </c>
      <c r="I732" s="22">
        <v>4635.0</v>
      </c>
      <c r="J732" s="46">
        <v>0.04964387082953998</v>
      </c>
    </row>
    <row r="733" ht="26.25" customHeight="1">
      <c r="A733" s="47" t="s">
        <v>1728</v>
      </c>
      <c r="B733" s="48" t="s">
        <v>1363</v>
      </c>
      <c r="C733" s="50" t="s">
        <v>1729</v>
      </c>
      <c r="D733" s="48" t="s">
        <v>471</v>
      </c>
      <c r="E733" s="52" t="s">
        <v>22</v>
      </c>
      <c r="F733" s="48" t="s">
        <v>23</v>
      </c>
      <c r="G733" s="53">
        <v>141940.0</v>
      </c>
      <c r="H733" s="53">
        <v>148000.0</v>
      </c>
      <c r="I733" s="53">
        <v>6060.0</v>
      </c>
      <c r="J733" s="54">
        <v>0.04269409609694237</v>
      </c>
    </row>
    <row r="734" ht="26.25" customHeight="1">
      <c r="A734" s="11" t="s">
        <v>1730</v>
      </c>
      <c r="B734" s="13" t="s">
        <v>1363</v>
      </c>
      <c r="C734" s="16" t="s">
        <v>1731</v>
      </c>
      <c r="D734" s="13" t="s">
        <v>471</v>
      </c>
      <c r="E734" s="19" t="s">
        <v>22</v>
      </c>
      <c r="F734" s="13" t="s">
        <v>23</v>
      </c>
      <c r="G734" s="22">
        <v>200500.0</v>
      </c>
      <c r="H734" s="22">
        <v>210000.0</v>
      </c>
      <c r="I734" s="22">
        <v>9500.0</v>
      </c>
      <c r="J734" s="46">
        <v>0.04738154613466334</v>
      </c>
    </row>
    <row r="735" ht="26.25" customHeight="1">
      <c r="A735" s="47" t="s">
        <v>1732</v>
      </c>
      <c r="B735" s="48" t="s">
        <v>1363</v>
      </c>
      <c r="C735" s="50" t="s">
        <v>1733</v>
      </c>
      <c r="D735" s="48" t="s">
        <v>471</v>
      </c>
      <c r="E735" s="52" t="s">
        <v>22</v>
      </c>
      <c r="F735" s="48" t="s">
        <v>23</v>
      </c>
      <c r="G735" s="53">
        <v>6480.0</v>
      </c>
      <c r="H735" s="53">
        <v>9000.0</v>
      </c>
      <c r="I735" s="53">
        <v>2520.0</v>
      </c>
      <c r="J735" s="54">
        <v>0.3888888888888889</v>
      </c>
    </row>
    <row r="736" ht="26.25" customHeight="1">
      <c r="A736" s="11" t="s">
        <v>1734</v>
      </c>
      <c r="B736" s="13" t="s">
        <v>1363</v>
      </c>
      <c r="C736" s="16" t="s">
        <v>1735</v>
      </c>
      <c r="D736" s="13" t="s">
        <v>471</v>
      </c>
      <c r="E736" s="19" t="s">
        <v>22</v>
      </c>
      <c r="F736" s="13" t="s">
        <v>23</v>
      </c>
      <c r="G736" s="22">
        <v>10250.0</v>
      </c>
      <c r="H736" s="22">
        <v>13000.0</v>
      </c>
      <c r="I736" s="22">
        <v>2750.0</v>
      </c>
      <c r="J736" s="46">
        <v>0.2682926829268293</v>
      </c>
    </row>
    <row r="737" ht="26.25" customHeight="1">
      <c r="A737" s="47" t="s">
        <v>1736</v>
      </c>
      <c r="B737" s="48" t="s">
        <v>1363</v>
      </c>
      <c r="C737" s="50" t="s">
        <v>1737</v>
      </c>
      <c r="D737" s="48" t="s">
        <v>471</v>
      </c>
      <c r="E737" s="52" t="s">
        <v>22</v>
      </c>
      <c r="F737" s="48" t="s">
        <v>23</v>
      </c>
      <c r="G737" s="53">
        <v>11539.0</v>
      </c>
      <c r="H737" s="53">
        <v>14000.0</v>
      </c>
      <c r="I737" s="53">
        <v>2461.0</v>
      </c>
      <c r="J737" s="54">
        <v>0.2132767137533582</v>
      </c>
    </row>
    <row r="738" ht="26.25" customHeight="1">
      <c r="A738" s="11" t="s">
        <v>1738</v>
      </c>
      <c r="B738" s="13" t="s">
        <v>1363</v>
      </c>
      <c r="C738" s="16" t="s">
        <v>1739</v>
      </c>
      <c r="D738" s="13" t="s">
        <v>471</v>
      </c>
      <c r="E738" s="19" t="s">
        <v>22</v>
      </c>
      <c r="F738" s="13" t="s">
        <v>23</v>
      </c>
      <c r="G738" s="22">
        <v>16901.0</v>
      </c>
      <c r="H738" s="22">
        <v>19000.0</v>
      </c>
      <c r="I738" s="22">
        <v>2099.0</v>
      </c>
      <c r="J738" s="46">
        <v>0.1241938346843382</v>
      </c>
    </row>
    <row r="739" ht="26.25" customHeight="1">
      <c r="A739" s="47" t="s">
        <v>1740</v>
      </c>
      <c r="B739" s="48" t="s">
        <v>1363</v>
      </c>
      <c r="C739" s="50" t="s">
        <v>1741</v>
      </c>
      <c r="D739" s="48" t="s">
        <v>471</v>
      </c>
      <c r="E739" s="52" t="s">
        <v>22</v>
      </c>
      <c r="F739" s="48" t="s">
        <v>23</v>
      </c>
      <c r="G739" s="53">
        <v>11267.0</v>
      </c>
      <c r="H739" s="53">
        <v>14000.0</v>
      </c>
      <c r="I739" s="53">
        <v>2733.0</v>
      </c>
      <c r="J739" s="54">
        <v>0.24256678796485312</v>
      </c>
    </row>
    <row r="740" ht="26.25" customHeight="1">
      <c r="A740" s="11" t="s">
        <v>1742</v>
      </c>
      <c r="B740" s="13" t="s">
        <v>1363</v>
      </c>
      <c r="C740" s="16" t="s">
        <v>1743</v>
      </c>
      <c r="D740" s="13" t="s">
        <v>471</v>
      </c>
      <c r="E740" s="19" t="s">
        <v>22</v>
      </c>
      <c r="F740" s="13" t="s">
        <v>23</v>
      </c>
      <c r="G740" s="22">
        <v>19078.0</v>
      </c>
      <c r="H740" s="22">
        <v>22000.0</v>
      </c>
      <c r="I740" s="22">
        <v>2922.0</v>
      </c>
      <c r="J740" s="46">
        <v>0.15316070866967188</v>
      </c>
    </row>
    <row r="741" ht="26.25" customHeight="1">
      <c r="A741" s="47" t="s">
        <v>1745</v>
      </c>
      <c r="B741" s="48" t="s">
        <v>1363</v>
      </c>
      <c r="C741" s="50" t="s">
        <v>1747</v>
      </c>
      <c r="D741" s="48" t="s">
        <v>471</v>
      </c>
      <c r="E741" s="52" t="s">
        <v>22</v>
      </c>
      <c r="F741" s="48" t="s">
        <v>23</v>
      </c>
      <c r="G741" s="53">
        <v>37906.0</v>
      </c>
      <c r="H741" s="53">
        <v>41000.0</v>
      </c>
      <c r="I741" s="53">
        <v>3094.0</v>
      </c>
      <c r="J741" s="54">
        <v>0.08162296206405319</v>
      </c>
    </row>
    <row r="742" ht="26.25" customHeight="1">
      <c r="A742" s="11" t="s">
        <v>1748</v>
      </c>
      <c r="B742" s="13" t="s">
        <v>1363</v>
      </c>
      <c r="C742" s="16" t="s">
        <v>1749</v>
      </c>
      <c r="D742" s="13" t="s">
        <v>471</v>
      </c>
      <c r="E742" s="19" t="s">
        <v>22</v>
      </c>
      <c r="F742" s="13" t="s">
        <v>23</v>
      </c>
      <c r="G742" s="22">
        <v>142606.0</v>
      </c>
      <c r="H742" s="22">
        <v>146000.0</v>
      </c>
      <c r="I742" s="22">
        <v>3394.0</v>
      </c>
      <c r="J742" s="46">
        <v>0.023799840118929078</v>
      </c>
    </row>
    <row r="743" ht="26.25" customHeight="1">
      <c r="A743" s="47" t="s">
        <v>1750</v>
      </c>
      <c r="B743" s="48" t="s">
        <v>1363</v>
      </c>
      <c r="C743" s="50" t="s">
        <v>1751</v>
      </c>
      <c r="D743" s="48" t="s">
        <v>471</v>
      </c>
      <c r="E743" s="52" t="s">
        <v>22</v>
      </c>
      <c r="F743" s="48" t="s">
        <v>23</v>
      </c>
      <c r="G743" s="53">
        <v>141414.0</v>
      </c>
      <c r="H743" s="53">
        <v>147000.0</v>
      </c>
      <c r="I743" s="53">
        <v>5586.0</v>
      </c>
      <c r="J743" s="54">
        <v>0.0395010395010395</v>
      </c>
    </row>
    <row r="744" ht="26.25" customHeight="1">
      <c r="A744" s="11" t="s">
        <v>1752</v>
      </c>
      <c r="B744" s="13" t="s">
        <v>1363</v>
      </c>
      <c r="C744" s="16" t="s">
        <v>1753</v>
      </c>
      <c r="D744" s="13" t="s">
        <v>471</v>
      </c>
      <c r="E744" s="19" t="s">
        <v>22</v>
      </c>
      <c r="F744" s="13" t="s">
        <v>23</v>
      </c>
      <c r="G744" s="22">
        <v>11695.0</v>
      </c>
      <c r="H744" s="22">
        <v>14000.0</v>
      </c>
      <c r="I744" s="22">
        <v>2305.0</v>
      </c>
      <c r="J744" s="46">
        <v>0.19709277469003847</v>
      </c>
    </row>
    <row r="745" ht="26.25" customHeight="1">
      <c r="A745" s="47" t="s">
        <v>1754</v>
      </c>
      <c r="B745" s="48" t="s">
        <v>1363</v>
      </c>
      <c r="C745" s="50" t="s">
        <v>1755</v>
      </c>
      <c r="D745" s="48" t="s">
        <v>471</v>
      </c>
      <c r="E745" s="52" t="s">
        <v>22</v>
      </c>
      <c r="F745" s="48" t="s">
        <v>23</v>
      </c>
      <c r="G745" s="53">
        <v>12395.0</v>
      </c>
      <c r="H745" s="53">
        <v>16000.0</v>
      </c>
      <c r="I745" s="53">
        <v>3605.0</v>
      </c>
      <c r="J745" s="54">
        <v>0.290843081887858</v>
      </c>
    </row>
    <row r="746" ht="26.25" customHeight="1">
      <c r="A746" s="11" t="s">
        <v>1756</v>
      </c>
      <c r="B746" s="13" t="s">
        <v>1363</v>
      </c>
      <c r="C746" s="16" t="s">
        <v>1757</v>
      </c>
      <c r="D746" s="13" t="s">
        <v>471</v>
      </c>
      <c r="E746" s="19" t="s">
        <v>22</v>
      </c>
      <c r="F746" s="13" t="s">
        <v>23</v>
      </c>
      <c r="G746" s="22">
        <v>19549.0</v>
      </c>
      <c r="H746" s="22">
        <v>23000.0</v>
      </c>
      <c r="I746" s="22">
        <v>3451.0</v>
      </c>
      <c r="J746" s="46">
        <v>0.17653076883728067</v>
      </c>
    </row>
    <row r="747" ht="26.25" customHeight="1">
      <c r="A747" s="47" t="s">
        <v>1758</v>
      </c>
      <c r="B747" s="48" t="s">
        <v>1363</v>
      </c>
      <c r="C747" s="50" t="s">
        <v>1759</v>
      </c>
      <c r="D747" s="48" t="s">
        <v>471</v>
      </c>
      <c r="E747" s="52" t="s">
        <v>22</v>
      </c>
      <c r="F747" s="48" t="s">
        <v>23</v>
      </c>
      <c r="G747" s="53">
        <v>18665.0</v>
      </c>
      <c r="H747" s="53">
        <v>21000.0</v>
      </c>
      <c r="I747" s="53">
        <v>2335.0</v>
      </c>
      <c r="J747" s="54">
        <v>0.12510045539780337</v>
      </c>
    </row>
    <row r="748" ht="26.25" customHeight="1">
      <c r="A748" s="11" t="s">
        <v>1760</v>
      </c>
      <c r="B748" s="13" t="s">
        <v>1363</v>
      </c>
      <c r="C748" s="16" t="s">
        <v>1761</v>
      </c>
      <c r="D748" s="13" t="s">
        <v>471</v>
      </c>
      <c r="E748" s="19" t="s">
        <v>22</v>
      </c>
      <c r="F748" s="13" t="s">
        <v>23</v>
      </c>
      <c r="G748" s="22">
        <v>38175.0</v>
      </c>
      <c r="H748" s="22">
        <v>42000.0</v>
      </c>
      <c r="I748" s="22">
        <v>3825.0</v>
      </c>
      <c r="J748" s="46">
        <v>0.10019646365422397</v>
      </c>
    </row>
    <row r="749" ht="26.25" customHeight="1">
      <c r="A749" s="47" t="s">
        <v>1762</v>
      </c>
      <c r="B749" s="48" t="s">
        <v>1363</v>
      </c>
      <c r="C749" s="50" t="s">
        <v>1763</v>
      </c>
      <c r="D749" s="48" t="s">
        <v>471</v>
      </c>
      <c r="E749" s="52" t="s">
        <v>22</v>
      </c>
      <c r="F749" s="48" t="s">
        <v>23</v>
      </c>
      <c r="G749" s="53">
        <v>18975.0</v>
      </c>
      <c r="H749" s="53">
        <v>22000.0</v>
      </c>
      <c r="I749" s="53">
        <v>3025.0</v>
      </c>
      <c r="J749" s="54">
        <v>0.15942028985507245</v>
      </c>
    </row>
    <row r="750" ht="26.25" customHeight="1">
      <c r="A750" s="11" t="s">
        <v>1764</v>
      </c>
      <c r="B750" s="13" t="s">
        <v>1363</v>
      </c>
      <c r="C750" s="16" t="s">
        <v>1765</v>
      </c>
      <c r="D750" s="13" t="s">
        <v>471</v>
      </c>
      <c r="E750" s="19" t="s">
        <v>22</v>
      </c>
      <c r="F750" s="13" t="s">
        <v>23</v>
      </c>
      <c r="G750" s="22">
        <v>19070.0</v>
      </c>
      <c r="H750" s="22">
        <v>23000.0</v>
      </c>
      <c r="I750" s="22">
        <v>3930.0</v>
      </c>
      <c r="J750" s="46">
        <v>0.20608285264813844</v>
      </c>
    </row>
    <row r="751" ht="26.25" customHeight="1">
      <c r="A751" s="47" t="s">
        <v>1767</v>
      </c>
      <c r="B751" s="48" t="s">
        <v>1363</v>
      </c>
      <c r="C751" s="50" t="s">
        <v>1769</v>
      </c>
      <c r="D751" s="48" t="s">
        <v>471</v>
      </c>
      <c r="E751" s="52" t="s">
        <v>22</v>
      </c>
      <c r="F751" s="48" t="s">
        <v>23</v>
      </c>
      <c r="G751" s="53">
        <v>27400.0</v>
      </c>
      <c r="H751" s="53">
        <v>30000.0</v>
      </c>
      <c r="I751" s="53">
        <v>2600.0</v>
      </c>
      <c r="J751" s="54">
        <v>0.0948905109489051</v>
      </c>
    </row>
    <row r="752" ht="26.25" customHeight="1">
      <c r="A752" s="11" t="s">
        <v>1770</v>
      </c>
      <c r="B752" s="13" t="s">
        <v>1363</v>
      </c>
      <c r="C752" s="16" t="s">
        <v>1771</v>
      </c>
      <c r="D752" s="13" t="s">
        <v>471</v>
      </c>
      <c r="E752" s="19" t="s">
        <v>22</v>
      </c>
      <c r="F752" s="13" t="s">
        <v>23</v>
      </c>
      <c r="G752" s="22">
        <v>28175.0</v>
      </c>
      <c r="H752" s="22">
        <v>32000.0</v>
      </c>
      <c r="I752" s="22">
        <v>3825.0</v>
      </c>
      <c r="J752" s="46">
        <v>0.13575865128660158</v>
      </c>
    </row>
    <row r="753" ht="26.25" customHeight="1">
      <c r="A753" s="47" t="s">
        <v>1772</v>
      </c>
      <c r="B753" s="48" t="s">
        <v>1363</v>
      </c>
      <c r="C753" s="50" t="s">
        <v>1773</v>
      </c>
      <c r="D753" s="48" t="s">
        <v>471</v>
      </c>
      <c r="E753" s="52" t="s">
        <v>22</v>
      </c>
      <c r="F753" s="48" t="s">
        <v>23</v>
      </c>
      <c r="G753" s="53">
        <v>31760.0</v>
      </c>
      <c r="H753" s="53">
        <v>35000.0</v>
      </c>
      <c r="I753" s="53">
        <v>3240.0</v>
      </c>
      <c r="J753" s="54">
        <v>0.10201511335012595</v>
      </c>
    </row>
    <row r="754" ht="26.25" customHeight="1">
      <c r="A754" s="11" t="s">
        <v>1774</v>
      </c>
      <c r="B754" s="13" t="s">
        <v>1363</v>
      </c>
      <c r="C754" s="16" t="s">
        <v>1775</v>
      </c>
      <c r="D754" s="13" t="s">
        <v>471</v>
      </c>
      <c r="E754" s="19" t="s">
        <v>22</v>
      </c>
      <c r="F754" s="13" t="s">
        <v>23</v>
      </c>
      <c r="G754" s="22">
        <v>38500.0</v>
      </c>
      <c r="H754" s="22">
        <v>42000.0</v>
      </c>
      <c r="I754" s="22">
        <v>3500.0</v>
      </c>
      <c r="J754" s="46">
        <v>0.09090909090909091</v>
      </c>
    </row>
    <row r="755" ht="26.25" customHeight="1">
      <c r="A755" s="47" t="s">
        <v>1776</v>
      </c>
      <c r="B755" s="48" t="s">
        <v>1363</v>
      </c>
      <c r="C755" s="50" t="s">
        <v>1777</v>
      </c>
      <c r="D755" s="48" t="s">
        <v>471</v>
      </c>
      <c r="E755" s="52" t="s">
        <v>22</v>
      </c>
      <c r="F755" s="48" t="s">
        <v>23</v>
      </c>
      <c r="G755" s="53">
        <v>43900.0</v>
      </c>
      <c r="H755" s="53">
        <v>47000.0</v>
      </c>
      <c r="I755" s="53">
        <v>3100.0</v>
      </c>
      <c r="J755" s="54">
        <v>0.07061503416856492</v>
      </c>
    </row>
    <row r="756" ht="26.25" customHeight="1">
      <c r="A756" s="11" t="s">
        <v>1778</v>
      </c>
      <c r="B756" s="13" t="s">
        <v>1363</v>
      </c>
      <c r="C756" s="16" t="s">
        <v>1779</v>
      </c>
      <c r="D756" s="13" t="s">
        <v>471</v>
      </c>
      <c r="E756" s="19" t="s">
        <v>22</v>
      </c>
      <c r="F756" s="13" t="s">
        <v>23</v>
      </c>
      <c r="G756" s="22">
        <v>54920.0</v>
      </c>
      <c r="H756" s="22">
        <v>59000.0</v>
      </c>
      <c r="I756" s="22">
        <v>4080.0</v>
      </c>
      <c r="J756" s="46">
        <v>0.07428987618353969</v>
      </c>
    </row>
    <row r="757" ht="26.25" customHeight="1">
      <c r="A757" s="47" t="s">
        <v>1780</v>
      </c>
      <c r="B757" s="48" t="s">
        <v>1363</v>
      </c>
      <c r="C757" s="50" t="s">
        <v>1781</v>
      </c>
      <c r="D757" s="48" t="s">
        <v>471</v>
      </c>
      <c r="E757" s="52" t="s">
        <v>22</v>
      </c>
      <c r="F757" s="48" t="s">
        <v>23</v>
      </c>
      <c r="G757" s="53">
        <v>64880.0</v>
      </c>
      <c r="H757" s="53">
        <v>70000.0</v>
      </c>
      <c r="I757" s="53">
        <v>5120.0</v>
      </c>
      <c r="J757" s="54">
        <v>0.07891491985203453</v>
      </c>
    </row>
    <row r="758" ht="26.25" customHeight="1">
      <c r="A758" s="11" t="s">
        <v>1782</v>
      </c>
      <c r="B758" s="13" t="s">
        <v>1363</v>
      </c>
      <c r="C758" s="16" t="s">
        <v>1783</v>
      </c>
      <c r="D758" s="13" t="s">
        <v>471</v>
      </c>
      <c r="E758" s="19" t="s">
        <v>22</v>
      </c>
      <c r="F758" s="13" t="s">
        <v>23</v>
      </c>
      <c r="G758" s="22">
        <v>72725.0</v>
      </c>
      <c r="H758" s="22">
        <v>77000.0</v>
      </c>
      <c r="I758" s="22">
        <v>4275.0</v>
      </c>
      <c r="J758" s="46">
        <v>0.058783086971467856</v>
      </c>
    </row>
    <row r="759" ht="26.25" customHeight="1">
      <c r="A759" s="47" t="s">
        <v>1784</v>
      </c>
      <c r="B759" s="48" t="s">
        <v>1363</v>
      </c>
      <c r="C759" s="50" t="s">
        <v>1786</v>
      </c>
      <c r="D759" s="48" t="s">
        <v>471</v>
      </c>
      <c r="E759" s="52" t="s">
        <v>22</v>
      </c>
      <c r="F759" s="48" t="s">
        <v>23</v>
      </c>
      <c r="G759" s="53">
        <v>112500.0</v>
      </c>
      <c r="H759" s="53">
        <v>118000.0</v>
      </c>
      <c r="I759" s="53">
        <v>5500.0</v>
      </c>
      <c r="J759" s="54">
        <v>0.04888888888888889</v>
      </c>
    </row>
    <row r="760" ht="26.25" customHeight="1">
      <c r="A760" s="11" t="s">
        <v>1788</v>
      </c>
      <c r="B760" s="13" t="s">
        <v>1363</v>
      </c>
      <c r="C760" s="16" t="s">
        <v>1789</v>
      </c>
      <c r="D760" s="13" t="s">
        <v>471</v>
      </c>
      <c r="E760" s="19" t="s">
        <v>22</v>
      </c>
      <c r="F760" s="13" t="s">
        <v>23</v>
      </c>
      <c r="G760" s="22">
        <v>115800.0</v>
      </c>
      <c r="H760" s="22">
        <v>122000.0</v>
      </c>
      <c r="I760" s="22">
        <v>6200.0</v>
      </c>
      <c r="J760" s="46">
        <v>0.0535405872193437</v>
      </c>
    </row>
    <row r="761" ht="26.25" customHeight="1">
      <c r="A761" s="47" t="s">
        <v>1790</v>
      </c>
      <c r="B761" s="48" t="s">
        <v>1363</v>
      </c>
      <c r="C761" s="50" t="s">
        <v>1791</v>
      </c>
      <c r="D761" s="48" t="s">
        <v>575</v>
      </c>
      <c r="E761" s="52" t="s">
        <v>22</v>
      </c>
      <c r="F761" s="48" t="s">
        <v>23</v>
      </c>
      <c r="G761" s="53">
        <v>68900.0</v>
      </c>
      <c r="H761" s="53">
        <v>0.0</v>
      </c>
      <c r="I761" s="53">
        <v>-68900.0</v>
      </c>
      <c r="J761" s="54">
        <v>-1.0</v>
      </c>
    </row>
    <row r="762" ht="26.25" customHeight="1">
      <c r="A762" s="11" t="s">
        <v>1792</v>
      </c>
      <c r="B762" s="13" t="s">
        <v>1363</v>
      </c>
      <c r="C762" s="16" t="s">
        <v>1793</v>
      </c>
      <c r="D762" s="13" t="s">
        <v>575</v>
      </c>
      <c r="E762" s="19" t="s">
        <v>22</v>
      </c>
      <c r="F762" s="13" t="s">
        <v>23</v>
      </c>
      <c r="G762" s="22">
        <v>87125.0</v>
      </c>
      <c r="H762" s="22">
        <v>0.0</v>
      </c>
      <c r="I762" s="22">
        <v>-87125.0</v>
      </c>
      <c r="J762" s="46">
        <v>-1.0</v>
      </c>
    </row>
    <row r="763" ht="26.25" customHeight="1">
      <c r="A763" s="47" t="s">
        <v>1794</v>
      </c>
      <c r="B763" s="48" t="s">
        <v>1363</v>
      </c>
      <c r="C763" s="50" t="s">
        <v>1795</v>
      </c>
      <c r="D763" s="48" t="s">
        <v>575</v>
      </c>
      <c r="E763" s="52" t="s">
        <v>22</v>
      </c>
      <c r="F763" s="48" t="s">
        <v>23</v>
      </c>
      <c r="G763" s="53">
        <v>130950.0</v>
      </c>
      <c r="H763" s="53">
        <v>140000.0</v>
      </c>
      <c r="I763" s="53">
        <v>9050.0</v>
      </c>
      <c r="J763" s="54">
        <v>0.06911034746086292</v>
      </c>
    </row>
    <row r="764" ht="26.25" customHeight="1">
      <c r="A764" s="11" t="s">
        <v>1796</v>
      </c>
      <c r="B764" s="13" t="s">
        <v>1363</v>
      </c>
      <c r="C764" s="16" t="s">
        <v>1797</v>
      </c>
      <c r="D764" s="13" t="s">
        <v>575</v>
      </c>
      <c r="E764" s="19" t="s">
        <v>22</v>
      </c>
      <c r="F764" s="13" t="s">
        <v>23</v>
      </c>
      <c r="G764" s="22">
        <v>9690.0</v>
      </c>
      <c r="H764" s="22">
        <v>11000.0</v>
      </c>
      <c r="I764" s="22">
        <v>1310.0</v>
      </c>
      <c r="J764" s="46">
        <v>0.13519091847265222</v>
      </c>
    </row>
    <row r="765" ht="26.25" customHeight="1">
      <c r="A765" s="47" t="s">
        <v>1798</v>
      </c>
      <c r="B765" s="48" t="s">
        <v>1363</v>
      </c>
      <c r="C765" s="50" t="s">
        <v>1799</v>
      </c>
      <c r="D765" s="48" t="s">
        <v>575</v>
      </c>
      <c r="E765" s="52" t="s">
        <v>22</v>
      </c>
      <c r="F765" s="48" t="s">
        <v>23</v>
      </c>
      <c r="G765" s="53">
        <v>7700.0</v>
      </c>
      <c r="H765" s="53">
        <v>12000.0</v>
      </c>
      <c r="I765" s="53">
        <v>4300.0</v>
      </c>
      <c r="J765" s="54">
        <v>0.5584415584415584</v>
      </c>
    </row>
    <row r="766" ht="26.25" customHeight="1">
      <c r="A766" s="11" t="s">
        <v>1800</v>
      </c>
      <c r="B766" s="13" t="s">
        <v>1363</v>
      </c>
      <c r="C766" s="16" t="s">
        <v>1801</v>
      </c>
      <c r="D766" s="13" t="s">
        <v>575</v>
      </c>
      <c r="E766" s="19" t="s">
        <v>22</v>
      </c>
      <c r="F766" s="13" t="s">
        <v>23</v>
      </c>
      <c r="G766" s="22">
        <v>8890.0</v>
      </c>
      <c r="H766" s="22">
        <v>13000.0</v>
      </c>
      <c r="I766" s="22">
        <v>4110.0</v>
      </c>
      <c r="J766" s="46">
        <v>0.46231721034870643</v>
      </c>
    </row>
    <row r="767" ht="26.25" customHeight="1">
      <c r="A767" s="47" t="s">
        <v>1802</v>
      </c>
      <c r="B767" s="48" t="s">
        <v>1363</v>
      </c>
      <c r="C767" s="50" t="s">
        <v>1803</v>
      </c>
      <c r="D767" s="48" t="s">
        <v>575</v>
      </c>
      <c r="E767" s="52" t="s">
        <v>22</v>
      </c>
      <c r="F767" s="48" t="s">
        <v>23</v>
      </c>
      <c r="G767" s="53">
        <v>11275.0</v>
      </c>
      <c r="H767" s="53">
        <v>12500.0</v>
      </c>
      <c r="I767" s="53">
        <v>1225.0</v>
      </c>
      <c r="J767" s="54">
        <v>0.10864745011086474</v>
      </c>
    </row>
    <row r="768" ht="26.25" customHeight="1">
      <c r="A768" s="11" t="s">
        <v>1804</v>
      </c>
      <c r="B768" s="13" t="s">
        <v>1363</v>
      </c>
      <c r="C768" s="16" t="s">
        <v>1805</v>
      </c>
      <c r="D768" s="13" t="s">
        <v>575</v>
      </c>
      <c r="E768" s="19" t="s">
        <v>22</v>
      </c>
      <c r="F768" s="13" t="s">
        <v>23</v>
      </c>
      <c r="G768" s="22">
        <v>10890.0</v>
      </c>
      <c r="H768" s="22">
        <v>13000.0</v>
      </c>
      <c r="I768" s="22">
        <v>2110.0</v>
      </c>
      <c r="J768" s="46">
        <v>0.19375573921028466</v>
      </c>
    </row>
    <row r="769" ht="26.25" customHeight="1">
      <c r="A769" s="47" t="s">
        <v>1806</v>
      </c>
      <c r="B769" s="48" t="s">
        <v>1363</v>
      </c>
      <c r="C769" s="50" t="s">
        <v>1807</v>
      </c>
      <c r="D769" s="48" t="s">
        <v>575</v>
      </c>
      <c r="E769" s="52" t="s">
        <v>22</v>
      </c>
      <c r="F769" s="48" t="s">
        <v>23</v>
      </c>
      <c r="G769" s="53">
        <v>9965.0</v>
      </c>
      <c r="H769" s="53">
        <v>12000.0</v>
      </c>
      <c r="I769" s="53">
        <v>2035.0</v>
      </c>
      <c r="J769" s="54">
        <v>0.2042147516307075</v>
      </c>
    </row>
    <row r="770" ht="26.25" customHeight="1">
      <c r="A770" s="11" t="s">
        <v>1810</v>
      </c>
      <c r="B770" s="13" t="s">
        <v>1363</v>
      </c>
      <c r="C770" s="16" t="s">
        <v>1811</v>
      </c>
      <c r="D770" s="13" t="s">
        <v>575</v>
      </c>
      <c r="E770" s="19" t="s">
        <v>22</v>
      </c>
      <c r="F770" s="13" t="s">
        <v>23</v>
      </c>
      <c r="G770" s="22">
        <v>12050.0</v>
      </c>
      <c r="H770" s="22">
        <v>18000.0</v>
      </c>
      <c r="I770" s="22">
        <v>5950.0</v>
      </c>
      <c r="J770" s="46">
        <v>0.49377593360995853</v>
      </c>
    </row>
    <row r="771" ht="26.25" customHeight="1">
      <c r="A771" s="47" t="s">
        <v>1812</v>
      </c>
      <c r="B771" s="48" t="s">
        <v>1363</v>
      </c>
      <c r="C771" s="50" t="s">
        <v>1813</v>
      </c>
      <c r="D771" s="48" t="s">
        <v>575</v>
      </c>
      <c r="E771" s="52" t="s">
        <v>22</v>
      </c>
      <c r="F771" s="48" t="s">
        <v>23</v>
      </c>
      <c r="G771" s="53">
        <v>19800.0</v>
      </c>
      <c r="H771" s="53">
        <v>22000.0</v>
      </c>
      <c r="I771" s="53">
        <v>2200.0</v>
      </c>
      <c r="J771" s="54">
        <v>0.1111111111111111</v>
      </c>
    </row>
    <row r="772" ht="26.25" customHeight="1">
      <c r="A772" s="11" t="s">
        <v>1814</v>
      </c>
      <c r="B772" s="13" t="s">
        <v>1363</v>
      </c>
      <c r="C772" s="16" t="s">
        <v>1815</v>
      </c>
      <c r="D772" s="13" t="s">
        <v>575</v>
      </c>
      <c r="E772" s="19" t="s">
        <v>22</v>
      </c>
      <c r="F772" s="13" t="s">
        <v>23</v>
      </c>
      <c r="G772" s="22">
        <v>32698.0</v>
      </c>
      <c r="H772" s="22">
        <v>35000.0</v>
      </c>
      <c r="I772" s="22">
        <v>2302.0</v>
      </c>
      <c r="J772" s="46">
        <v>0.0704018594409444</v>
      </c>
    </row>
    <row r="773" ht="26.25" customHeight="1">
      <c r="A773" s="47" t="s">
        <v>1816</v>
      </c>
      <c r="B773" s="48" t="s">
        <v>1363</v>
      </c>
      <c r="C773" s="50" t="s">
        <v>1817</v>
      </c>
      <c r="D773" s="48" t="s">
        <v>575</v>
      </c>
      <c r="E773" s="52" t="s">
        <v>22</v>
      </c>
      <c r="F773" s="48" t="s">
        <v>23</v>
      </c>
      <c r="G773" s="53">
        <v>8440.0</v>
      </c>
      <c r="H773" s="53">
        <v>10500.0</v>
      </c>
      <c r="I773" s="53">
        <v>2060.0</v>
      </c>
      <c r="J773" s="54">
        <v>0.24407582938388625</v>
      </c>
    </row>
    <row r="774" ht="26.25" customHeight="1">
      <c r="A774" s="11" t="s">
        <v>1818</v>
      </c>
      <c r="B774" s="13" t="s">
        <v>1363</v>
      </c>
      <c r="C774" s="16" t="s">
        <v>1819</v>
      </c>
      <c r="D774" s="13" t="s">
        <v>575</v>
      </c>
      <c r="E774" s="19" t="s">
        <v>22</v>
      </c>
      <c r="F774" s="13" t="s">
        <v>23</v>
      </c>
      <c r="G774" s="22">
        <v>9220.0</v>
      </c>
      <c r="H774" s="22">
        <v>12000.0</v>
      </c>
      <c r="I774" s="22">
        <v>2780.0</v>
      </c>
      <c r="J774" s="46">
        <v>0.30151843817787416</v>
      </c>
    </row>
    <row r="775" ht="26.25" customHeight="1">
      <c r="A775" s="47" t="s">
        <v>1823</v>
      </c>
      <c r="B775" s="48" t="s">
        <v>1363</v>
      </c>
      <c r="C775" s="50" t="s">
        <v>1824</v>
      </c>
      <c r="D775" s="48" t="s">
        <v>575</v>
      </c>
      <c r="E775" s="52" t="s">
        <v>22</v>
      </c>
      <c r="F775" s="48" t="s">
        <v>23</v>
      </c>
      <c r="G775" s="53">
        <v>28470.0</v>
      </c>
      <c r="H775" s="53">
        <v>30000.0</v>
      </c>
      <c r="I775" s="53">
        <v>1530.0</v>
      </c>
      <c r="J775" s="54">
        <v>0.05374077976817703</v>
      </c>
    </row>
    <row r="776" ht="26.25" customHeight="1">
      <c r="A776" s="11" t="s">
        <v>1825</v>
      </c>
      <c r="B776" s="13" t="s">
        <v>1363</v>
      </c>
      <c r="C776" s="16" t="s">
        <v>1826</v>
      </c>
      <c r="D776" s="13" t="s">
        <v>575</v>
      </c>
      <c r="E776" s="19" t="s">
        <v>22</v>
      </c>
      <c r="F776" s="13" t="s">
        <v>23</v>
      </c>
      <c r="G776" s="22">
        <v>35500.0</v>
      </c>
      <c r="H776" s="22">
        <v>38000.0</v>
      </c>
      <c r="I776" s="22">
        <v>2500.0</v>
      </c>
      <c r="J776" s="46">
        <v>0.07042253521126761</v>
      </c>
    </row>
    <row r="777" ht="26.25" customHeight="1">
      <c r="A777" s="47" t="s">
        <v>1827</v>
      </c>
      <c r="B777" s="48" t="s">
        <v>1363</v>
      </c>
      <c r="C777" s="50" t="s">
        <v>1828</v>
      </c>
      <c r="D777" s="48" t="s">
        <v>575</v>
      </c>
      <c r="E777" s="52" t="s">
        <v>22</v>
      </c>
      <c r="F777" s="48" t="s">
        <v>23</v>
      </c>
      <c r="G777" s="53">
        <v>11750.0</v>
      </c>
      <c r="H777" s="53">
        <v>14000.0</v>
      </c>
      <c r="I777" s="53">
        <v>2250.0</v>
      </c>
      <c r="J777" s="54">
        <v>0.19148936170212766</v>
      </c>
    </row>
    <row r="778" ht="26.25" customHeight="1">
      <c r="A778" s="11" t="s">
        <v>1829</v>
      </c>
      <c r="B778" s="13" t="s">
        <v>1363</v>
      </c>
      <c r="C778" s="16" t="s">
        <v>1830</v>
      </c>
      <c r="D778" s="13" t="s">
        <v>575</v>
      </c>
      <c r="E778" s="19" t="s">
        <v>22</v>
      </c>
      <c r="F778" s="13" t="s">
        <v>23</v>
      </c>
      <c r="G778" s="22">
        <v>15100.0</v>
      </c>
      <c r="H778" s="22">
        <v>17000.0</v>
      </c>
      <c r="I778" s="22">
        <v>1900.0</v>
      </c>
      <c r="J778" s="46">
        <v>0.12582781456953643</v>
      </c>
    </row>
    <row r="779" ht="26.25" customHeight="1">
      <c r="A779" s="47" t="s">
        <v>1831</v>
      </c>
      <c r="B779" s="48" t="s">
        <v>1363</v>
      </c>
      <c r="C779" s="50" t="s">
        <v>1832</v>
      </c>
      <c r="D779" s="48" t="s">
        <v>575</v>
      </c>
      <c r="E779" s="52" t="s">
        <v>22</v>
      </c>
      <c r="F779" s="48" t="s">
        <v>23</v>
      </c>
      <c r="G779" s="53">
        <v>20260.0</v>
      </c>
      <c r="H779" s="53">
        <v>23000.0</v>
      </c>
      <c r="I779" s="53">
        <v>2740.0</v>
      </c>
      <c r="J779" s="54">
        <v>0.13524185587364265</v>
      </c>
    </row>
    <row r="780" ht="26.25" customHeight="1">
      <c r="A780" s="11" t="s">
        <v>1833</v>
      </c>
      <c r="B780" s="13" t="s">
        <v>1363</v>
      </c>
      <c r="C780" s="16" t="s">
        <v>1835</v>
      </c>
      <c r="D780" s="13" t="s">
        <v>575</v>
      </c>
      <c r="E780" s="19" t="s">
        <v>22</v>
      </c>
      <c r="F780" s="13" t="s">
        <v>23</v>
      </c>
      <c r="G780" s="22">
        <v>65815.0</v>
      </c>
      <c r="H780" s="22">
        <v>68000.0</v>
      </c>
      <c r="I780" s="22">
        <v>2185.0</v>
      </c>
      <c r="J780" s="46">
        <v>0.03319911874192813</v>
      </c>
    </row>
    <row r="781" ht="26.25" customHeight="1">
      <c r="A781" s="47" t="s">
        <v>1837</v>
      </c>
      <c r="B781" s="48" t="s">
        <v>1363</v>
      </c>
      <c r="C781" s="50" t="s">
        <v>1838</v>
      </c>
      <c r="D781" s="48" t="s">
        <v>575</v>
      </c>
      <c r="E781" s="52" t="s">
        <v>22</v>
      </c>
      <c r="F781" s="48" t="s">
        <v>23</v>
      </c>
      <c r="G781" s="53">
        <v>5245.0</v>
      </c>
      <c r="H781" s="53">
        <v>7000.0</v>
      </c>
      <c r="I781" s="53">
        <v>1755.0</v>
      </c>
      <c r="J781" s="54">
        <v>0.334604385128694</v>
      </c>
    </row>
    <row r="782" ht="26.25" customHeight="1">
      <c r="A782" s="11" t="s">
        <v>1839</v>
      </c>
      <c r="B782" s="13" t="s">
        <v>1363</v>
      </c>
      <c r="C782" s="16" t="s">
        <v>1840</v>
      </c>
      <c r="D782" s="13" t="s">
        <v>575</v>
      </c>
      <c r="E782" s="19" t="s">
        <v>22</v>
      </c>
      <c r="F782" s="13" t="s">
        <v>23</v>
      </c>
      <c r="G782" s="22">
        <v>6970.0</v>
      </c>
      <c r="H782" s="22">
        <v>8500.0</v>
      </c>
      <c r="I782" s="22">
        <v>1530.0</v>
      </c>
      <c r="J782" s="46">
        <v>0.21951219512195122</v>
      </c>
    </row>
    <row r="783" ht="26.25" customHeight="1">
      <c r="A783" s="47" t="s">
        <v>1841</v>
      </c>
      <c r="B783" s="48" t="s">
        <v>1363</v>
      </c>
      <c r="C783" s="50" t="s">
        <v>1842</v>
      </c>
      <c r="D783" s="48" t="s">
        <v>575</v>
      </c>
      <c r="E783" s="52" t="s">
        <v>22</v>
      </c>
      <c r="F783" s="48" t="s">
        <v>23</v>
      </c>
      <c r="G783" s="53">
        <v>10182.0</v>
      </c>
      <c r="H783" s="53">
        <v>12000.0</v>
      </c>
      <c r="I783" s="53">
        <v>1818.0</v>
      </c>
      <c r="J783" s="54">
        <v>0.1785503830288745</v>
      </c>
    </row>
    <row r="784" ht="26.25" customHeight="1">
      <c r="A784" s="11" t="s">
        <v>1843</v>
      </c>
      <c r="B784" s="13" t="s">
        <v>1363</v>
      </c>
      <c r="C784" s="16" t="s">
        <v>1844</v>
      </c>
      <c r="D784" s="13" t="s">
        <v>575</v>
      </c>
      <c r="E784" s="19" t="s">
        <v>22</v>
      </c>
      <c r="F784" s="13" t="s">
        <v>23</v>
      </c>
      <c r="G784" s="22">
        <v>14882.0</v>
      </c>
      <c r="H784" s="22">
        <v>17000.0</v>
      </c>
      <c r="I784" s="22">
        <v>2118.0</v>
      </c>
      <c r="J784" s="46">
        <v>0.14231958070151862</v>
      </c>
    </row>
    <row r="785" ht="26.25" customHeight="1">
      <c r="A785" s="47" t="s">
        <v>1845</v>
      </c>
      <c r="B785" s="48" t="s">
        <v>1363</v>
      </c>
      <c r="C785" s="50" t="s">
        <v>1846</v>
      </c>
      <c r="D785" s="48" t="s">
        <v>575</v>
      </c>
      <c r="E785" s="52" t="s">
        <v>22</v>
      </c>
      <c r="F785" s="48" t="s">
        <v>23</v>
      </c>
      <c r="G785" s="53">
        <v>19865.0</v>
      </c>
      <c r="H785" s="53">
        <v>22000.0</v>
      </c>
      <c r="I785" s="53">
        <v>2135.0</v>
      </c>
      <c r="J785" s="54">
        <v>0.10747545935061666</v>
      </c>
    </row>
    <row r="786" ht="26.25" customHeight="1">
      <c r="A786" s="11" t="s">
        <v>1847</v>
      </c>
      <c r="B786" s="13" t="s">
        <v>1363</v>
      </c>
      <c r="C786" s="16" t="s">
        <v>1848</v>
      </c>
      <c r="D786" s="13" t="s">
        <v>575</v>
      </c>
      <c r="E786" s="19" t="s">
        <v>22</v>
      </c>
      <c r="F786" s="13" t="s">
        <v>23</v>
      </c>
      <c r="G786" s="22">
        <v>24875.0</v>
      </c>
      <c r="H786" s="22">
        <v>27000.0</v>
      </c>
      <c r="I786" s="22">
        <v>2125.0</v>
      </c>
      <c r="J786" s="46">
        <v>0.08542713567839195</v>
      </c>
    </row>
    <row r="787" ht="26.25" customHeight="1">
      <c r="A787" s="47" t="s">
        <v>1849</v>
      </c>
      <c r="B787" s="48" t="s">
        <v>1363</v>
      </c>
      <c r="C787" s="50" t="s">
        <v>1851</v>
      </c>
      <c r="D787" s="48" t="s">
        <v>575</v>
      </c>
      <c r="E787" s="52" t="s">
        <v>22</v>
      </c>
      <c r="F787" s="48" t="s">
        <v>23</v>
      </c>
      <c r="G787" s="53">
        <v>29630.0</v>
      </c>
      <c r="H787" s="53">
        <v>32000.0</v>
      </c>
      <c r="I787" s="53">
        <v>2370.0</v>
      </c>
      <c r="J787" s="54">
        <v>0.07998650016874789</v>
      </c>
    </row>
    <row r="788" ht="26.25" customHeight="1">
      <c r="A788" s="11" t="s">
        <v>1853</v>
      </c>
      <c r="B788" s="13" t="s">
        <v>1363</v>
      </c>
      <c r="C788" s="16" t="s">
        <v>1855</v>
      </c>
      <c r="D788" s="13" t="s">
        <v>575</v>
      </c>
      <c r="E788" s="19" t="s">
        <v>22</v>
      </c>
      <c r="F788" s="13" t="s">
        <v>23</v>
      </c>
      <c r="G788" s="22">
        <v>34783.0</v>
      </c>
      <c r="H788" s="22">
        <v>37000.0</v>
      </c>
      <c r="I788" s="22">
        <v>2217.0</v>
      </c>
      <c r="J788" s="46">
        <v>0.06373803294712935</v>
      </c>
    </row>
    <row r="789" ht="26.25" customHeight="1">
      <c r="A789" s="47" t="s">
        <v>1856</v>
      </c>
      <c r="B789" s="48" t="s">
        <v>1363</v>
      </c>
      <c r="C789" s="50" t="s">
        <v>1857</v>
      </c>
      <c r="D789" s="48" t="s">
        <v>575</v>
      </c>
      <c r="E789" s="52" t="s">
        <v>22</v>
      </c>
      <c r="F789" s="48" t="s">
        <v>23</v>
      </c>
      <c r="G789" s="53">
        <v>39305.0</v>
      </c>
      <c r="H789" s="53">
        <v>42000.0</v>
      </c>
      <c r="I789" s="53">
        <v>2695.0</v>
      </c>
      <c r="J789" s="54">
        <v>0.06856634016028496</v>
      </c>
    </row>
    <row r="790" ht="26.25" customHeight="1">
      <c r="A790" s="11" t="s">
        <v>1858</v>
      </c>
      <c r="B790" s="13" t="s">
        <v>1363</v>
      </c>
      <c r="C790" s="16" t="s">
        <v>1859</v>
      </c>
      <c r="D790" s="13" t="s">
        <v>575</v>
      </c>
      <c r="E790" s="19" t="s">
        <v>22</v>
      </c>
      <c r="F790" s="13" t="s">
        <v>23</v>
      </c>
      <c r="G790" s="22">
        <v>44655.0</v>
      </c>
      <c r="H790" s="22">
        <v>47000.0</v>
      </c>
      <c r="I790" s="22">
        <v>2345.0</v>
      </c>
      <c r="J790" s="46">
        <v>0.05251371626917478</v>
      </c>
    </row>
    <row r="791" ht="26.25" customHeight="1">
      <c r="A791" s="47" t="s">
        <v>1860</v>
      </c>
      <c r="B791" s="48" t="s">
        <v>1363</v>
      </c>
      <c r="C791" s="50" t="s">
        <v>1861</v>
      </c>
      <c r="D791" s="48" t="s">
        <v>575</v>
      </c>
      <c r="E791" s="52" t="s">
        <v>22</v>
      </c>
      <c r="F791" s="48" t="s">
        <v>23</v>
      </c>
      <c r="G791" s="53">
        <v>49490.0</v>
      </c>
      <c r="H791" s="53">
        <v>52000.0</v>
      </c>
      <c r="I791" s="53">
        <v>2510.0</v>
      </c>
      <c r="J791" s="54">
        <v>0.050717316629622144</v>
      </c>
    </row>
    <row r="792" ht="26.25" customHeight="1">
      <c r="A792" s="11" t="s">
        <v>1862</v>
      </c>
      <c r="B792" s="13" t="s">
        <v>1363</v>
      </c>
      <c r="C792" s="16" t="s">
        <v>1863</v>
      </c>
      <c r="D792" s="13" t="s">
        <v>575</v>
      </c>
      <c r="E792" s="19" t="s">
        <v>22</v>
      </c>
      <c r="F792" s="13" t="s">
        <v>23</v>
      </c>
      <c r="G792" s="22">
        <v>54515.0</v>
      </c>
      <c r="H792" s="22">
        <v>57000.0</v>
      </c>
      <c r="I792" s="22">
        <v>2485.0</v>
      </c>
      <c r="J792" s="46">
        <v>0.04558378427955609</v>
      </c>
    </row>
    <row r="793" ht="26.25" customHeight="1">
      <c r="A793" s="47" t="s">
        <v>1864</v>
      </c>
      <c r="B793" s="48" t="s">
        <v>1363</v>
      </c>
      <c r="C793" s="50" t="s">
        <v>1865</v>
      </c>
      <c r="D793" s="48" t="s">
        <v>575</v>
      </c>
      <c r="E793" s="52" t="s">
        <v>22</v>
      </c>
      <c r="F793" s="48" t="s">
        <v>23</v>
      </c>
      <c r="G793" s="53">
        <v>59493.0</v>
      </c>
      <c r="H793" s="53">
        <v>62000.0</v>
      </c>
      <c r="I793" s="53">
        <v>2507.0</v>
      </c>
      <c r="J793" s="54">
        <v>0.04213941135931958</v>
      </c>
    </row>
    <row r="794" ht="26.25" customHeight="1">
      <c r="A794" s="11" t="s">
        <v>1866</v>
      </c>
      <c r="B794" s="13" t="s">
        <v>1363</v>
      </c>
      <c r="C794" s="16" t="s">
        <v>1867</v>
      </c>
      <c r="D794" s="13" t="s">
        <v>575</v>
      </c>
      <c r="E794" s="19" t="s">
        <v>22</v>
      </c>
      <c r="F794" s="13" t="s">
        <v>23</v>
      </c>
      <c r="G794" s="22">
        <v>64390.0</v>
      </c>
      <c r="H794" s="22">
        <v>62000.0</v>
      </c>
      <c r="I794" s="22">
        <v>-2390.0</v>
      </c>
      <c r="J794" s="46">
        <v>-0.03711756483926076</v>
      </c>
    </row>
    <row r="795" ht="26.25" customHeight="1">
      <c r="A795" s="47" t="s">
        <v>1868</v>
      </c>
      <c r="B795" s="48" t="s">
        <v>1363</v>
      </c>
      <c r="C795" s="50" t="s">
        <v>1869</v>
      </c>
      <c r="D795" s="48" t="s">
        <v>575</v>
      </c>
      <c r="E795" s="52" t="s">
        <v>22</v>
      </c>
      <c r="F795" s="48" t="s">
        <v>23</v>
      </c>
      <c r="G795" s="53">
        <v>69347.0</v>
      </c>
      <c r="H795" s="53">
        <v>72000.0</v>
      </c>
      <c r="I795" s="53">
        <v>2653.0</v>
      </c>
      <c r="J795" s="54">
        <v>0.038256882056902246</v>
      </c>
    </row>
    <row r="796" ht="26.25" customHeight="1">
      <c r="A796" s="11" t="s">
        <v>1870</v>
      </c>
      <c r="B796" s="13" t="s">
        <v>1363</v>
      </c>
      <c r="C796" s="16" t="s">
        <v>1871</v>
      </c>
      <c r="D796" s="13" t="s">
        <v>575</v>
      </c>
      <c r="E796" s="19" t="s">
        <v>22</v>
      </c>
      <c r="F796" s="13" t="s">
        <v>23</v>
      </c>
      <c r="G796" s="22">
        <v>73360.0</v>
      </c>
      <c r="H796" s="22">
        <v>77000.0</v>
      </c>
      <c r="I796" s="22">
        <v>3640.0</v>
      </c>
      <c r="J796" s="46">
        <v>0.04961832061068702</v>
      </c>
    </row>
    <row r="797" ht="26.25" customHeight="1">
      <c r="A797" s="47" t="s">
        <v>1872</v>
      </c>
      <c r="B797" s="48" t="s">
        <v>1363</v>
      </c>
      <c r="C797" s="50" t="s">
        <v>1873</v>
      </c>
      <c r="D797" s="48" t="s">
        <v>575</v>
      </c>
      <c r="E797" s="52" t="s">
        <v>22</v>
      </c>
      <c r="F797" s="48" t="s">
        <v>23</v>
      </c>
      <c r="G797" s="53">
        <v>79249.0</v>
      </c>
      <c r="H797" s="53">
        <v>82000.0</v>
      </c>
      <c r="I797" s="53">
        <v>2751.0</v>
      </c>
      <c r="J797" s="54">
        <v>0.03471337177756186</v>
      </c>
    </row>
    <row r="798" ht="26.25" customHeight="1">
      <c r="A798" s="11" t="s">
        <v>1874</v>
      </c>
      <c r="B798" s="13" t="s">
        <v>1363</v>
      </c>
      <c r="C798" s="16" t="s">
        <v>1875</v>
      </c>
      <c r="D798" s="13" t="s">
        <v>575</v>
      </c>
      <c r="E798" s="19" t="s">
        <v>22</v>
      </c>
      <c r="F798" s="13" t="s">
        <v>23</v>
      </c>
      <c r="G798" s="22">
        <v>84189.0</v>
      </c>
      <c r="H798" s="22">
        <v>87000.0</v>
      </c>
      <c r="I798" s="22">
        <v>2811.0</v>
      </c>
      <c r="J798" s="46">
        <v>0.033389160104051595</v>
      </c>
    </row>
    <row r="799" ht="26.25" customHeight="1">
      <c r="A799" s="47" t="s">
        <v>1876</v>
      </c>
      <c r="B799" s="48" t="s">
        <v>1363</v>
      </c>
      <c r="C799" s="50" t="s">
        <v>1878</v>
      </c>
      <c r="D799" s="48" t="s">
        <v>575</v>
      </c>
      <c r="E799" s="52" t="s">
        <v>22</v>
      </c>
      <c r="F799" s="48" t="s">
        <v>23</v>
      </c>
      <c r="G799" s="53">
        <v>89062.0</v>
      </c>
      <c r="H799" s="53">
        <v>92000.0</v>
      </c>
      <c r="I799" s="53">
        <v>2938.0</v>
      </c>
      <c r="J799" s="54">
        <v>0.03298825537266174</v>
      </c>
    </row>
    <row r="800" ht="26.25" customHeight="1">
      <c r="A800" s="11" t="s">
        <v>1880</v>
      </c>
      <c r="B800" s="13" t="s">
        <v>1363</v>
      </c>
      <c r="C800" s="16" t="s">
        <v>1881</v>
      </c>
      <c r="D800" s="13" t="s">
        <v>575</v>
      </c>
      <c r="E800" s="19" t="s">
        <v>22</v>
      </c>
      <c r="F800" s="13" t="s">
        <v>23</v>
      </c>
      <c r="G800" s="22">
        <v>94019.0</v>
      </c>
      <c r="H800" s="22">
        <v>97000.0</v>
      </c>
      <c r="I800" s="22">
        <v>2981.0</v>
      </c>
      <c r="J800" s="46">
        <v>0.03170635722566715</v>
      </c>
    </row>
    <row r="801" ht="26.25" customHeight="1">
      <c r="A801" s="47" t="s">
        <v>1882</v>
      </c>
      <c r="B801" s="48" t="s">
        <v>1363</v>
      </c>
      <c r="C801" s="50" t="s">
        <v>1883</v>
      </c>
      <c r="D801" s="48" t="s">
        <v>575</v>
      </c>
      <c r="E801" s="52" t="s">
        <v>22</v>
      </c>
      <c r="F801" s="48" t="s">
        <v>23</v>
      </c>
      <c r="G801" s="53">
        <v>97310.0</v>
      </c>
      <c r="H801" s="53">
        <v>103000.0</v>
      </c>
      <c r="I801" s="53">
        <v>5690.0</v>
      </c>
      <c r="J801" s="54">
        <v>0.058472921590792315</v>
      </c>
    </row>
    <row r="802" ht="26.25" customHeight="1">
      <c r="A802" s="11" t="s">
        <v>1884</v>
      </c>
      <c r="B802" s="13" t="s">
        <v>1363</v>
      </c>
      <c r="C802" s="16" t="s">
        <v>1885</v>
      </c>
      <c r="D802" s="13" t="s">
        <v>321</v>
      </c>
      <c r="E802" s="19" t="s">
        <v>22</v>
      </c>
      <c r="F802" s="13" t="s">
        <v>23</v>
      </c>
      <c r="G802" s="22">
        <v>6483.0</v>
      </c>
      <c r="H802" s="22">
        <v>8000.0</v>
      </c>
      <c r="I802" s="22">
        <v>1517.0</v>
      </c>
      <c r="J802" s="46">
        <v>0.2339966065093321</v>
      </c>
    </row>
    <row r="803" ht="26.25" customHeight="1">
      <c r="A803" s="47" t="s">
        <v>1886</v>
      </c>
      <c r="B803" s="48" t="s">
        <v>1363</v>
      </c>
      <c r="C803" s="50" t="s">
        <v>1887</v>
      </c>
      <c r="D803" s="48" t="s">
        <v>321</v>
      </c>
      <c r="E803" s="52" t="s">
        <v>22</v>
      </c>
      <c r="F803" s="48" t="s">
        <v>23</v>
      </c>
      <c r="G803" s="53">
        <v>11032.0</v>
      </c>
      <c r="H803" s="53">
        <v>13000.0</v>
      </c>
      <c r="I803" s="53">
        <v>1968.0</v>
      </c>
      <c r="J803" s="54">
        <v>0.1783901377810007</v>
      </c>
    </row>
    <row r="804" ht="26.25" customHeight="1">
      <c r="A804" s="11" t="s">
        <v>1888</v>
      </c>
      <c r="B804" s="13" t="s">
        <v>1363</v>
      </c>
      <c r="C804" s="16" t="s">
        <v>1889</v>
      </c>
      <c r="D804" s="13" t="s">
        <v>321</v>
      </c>
      <c r="E804" s="19" t="s">
        <v>22</v>
      </c>
      <c r="F804" s="13" t="s">
        <v>23</v>
      </c>
      <c r="G804" s="22">
        <v>12972.0</v>
      </c>
      <c r="H804" s="22">
        <v>14500.0</v>
      </c>
      <c r="I804" s="22">
        <v>1528.0</v>
      </c>
      <c r="J804" s="46">
        <v>0.11779216774591428</v>
      </c>
    </row>
    <row r="805" ht="26.25" customHeight="1">
      <c r="A805" s="47" t="s">
        <v>1890</v>
      </c>
      <c r="B805" s="48" t="s">
        <v>1363</v>
      </c>
      <c r="C805" s="50" t="s">
        <v>1891</v>
      </c>
      <c r="D805" s="48" t="s">
        <v>321</v>
      </c>
      <c r="E805" s="52" t="s">
        <v>22</v>
      </c>
      <c r="F805" s="48" t="s">
        <v>23</v>
      </c>
      <c r="G805" s="53">
        <v>15695.0</v>
      </c>
      <c r="H805" s="53">
        <v>17500.0</v>
      </c>
      <c r="I805" s="53">
        <v>1805.0</v>
      </c>
      <c r="J805" s="54">
        <v>0.11500477859190825</v>
      </c>
    </row>
    <row r="806" ht="26.25" customHeight="1">
      <c r="A806" s="11" t="s">
        <v>1892</v>
      </c>
      <c r="B806" s="13" t="s">
        <v>1363</v>
      </c>
      <c r="C806" s="16" t="s">
        <v>1893</v>
      </c>
      <c r="D806" s="13" t="s">
        <v>321</v>
      </c>
      <c r="E806" s="19" t="s">
        <v>22</v>
      </c>
      <c r="F806" s="13" t="s">
        <v>23</v>
      </c>
      <c r="G806" s="22">
        <v>20583.0</v>
      </c>
      <c r="H806" s="22">
        <v>22500.0</v>
      </c>
      <c r="I806" s="22">
        <v>1917.0</v>
      </c>
      <c r="J806" s="46">
        <v>0.09313511149978138</v>
      </c>
    </row>
    <row r="807" ht="26.25" customHeight="1">
      <c r="A807" s="47" t="s">
        <v>1894</v>
      </c>
      <c r="B807" s="48" t="s">
        <v>1363</v>
      </c>
      <c r="C807" s="50" t="s">
        <v>1895</v>
      </c>
      <c r="D807" s="48" t="s">
        <v>321</v>
      </c>
      <c r="E807" s="52" t="s">
        <v>22</v>
      </c>
      <c r="F807" s="48" t="s">
        <v>23</v>
      </c>
      <c r="G807" s="53">
        <v>25370.0</v>
      </c>
      <c r="H807" s="53">
        <v>27000.0</v>
      </c>
      <c r="I807" s="53">
        <v>1630.0</v>
      </c>
      <c r="J807" s="54">
        <v>0.06424911312573907</v>
      </c>
    </row>
    <row r="808" ht="26.25" customHeight="1">
      <c r="A808" s="11" t="s">
        <v>1897</v>
      </c>
      <c r="B808" s="13" t="s">
        <v>1363</v>
      </c>
      <c r="C808" s="16" t="s">
        <v>1899</v>
      </c>
      <c r="D808" s="13" t="s">
        <v>321</v>
      </c>
      <c r="E808" s="19" t="s">
        <v>22</v>
      </c>
      <c r="F808" s="13" t="s">
        <v>23</v>
      </c>
      <c r="G808" s="22">
        <v>30472.0</v>
      </c>
      <c r="H808" s="22">
        <v>32500.0</v>
      </c>
      <c r="I808" s="22">
        <v>2028.0</v>
      </c>
      <c r="J808" s="46">
        <v>0.06655290102389079</v>
      </c>
    </row>
    <row r="809" ht="26.25" customHeight="1">
      <c r="A809" s="47" t="s">
        <v>1901</v>
      </c>
      <c r="B809" s="48" t="s">
        <v>1363</v>
      </c>
      <c r="C809" s="50" t="s">
        <v>1902</v>
      </c>
      <c r="D809" s="48" t="s">
        <v>321</v>
      </c>
      <c r="E809" s="52" t="s">
        <v>22</v>
      </c>
      <c r="F809" s="48" t="s">
        <v>23</v>
      </c>
      <c r="G809" s="53">
        <v>39900.0</v>
      </c>
      <c r="H809" s="53">
        <v>42000.0</v>
      </c>
      <c r="I809" s="53">
        <v>2100.0</v>
      </c>
      <c r="J809" s="54">
        <v>0.05263157894736842</v>
      </c>
    </row>
    <row r="810" ht="26.25" customHeight="1">
      <c r="A810" s="11" t="s">
        <v>1903</v>
      </c>
      <c r="B810" s="13" t="s">
        <v>1363</v>
      </c>
      <c r="C810" s="16" t="s">
        <v>1904</v>
      </c>
      <c r="D810" s="13" t="s">
        <v>321</v>
      </c>
      <c r="E810" s="19" t="s">
        <v>22</v>
      </c>
      <c r="F810" s="13" t="s">
        <v>23</v>
      </c>
      <c r="G810" s="22">
        <v>49770.0</v>
      </c>
      <c r="H810" s="22">
        <v>52000.0</v>
      </c>
      <c r="I810" s="22">
        <v>2230.0</v>
      </c>
      <c r="J810" s="46">
        <v>0.04480610809724734</v>
      </c>
    </row>
    <row r="811" ht="26.25" customHeight="1">
      <c r="A811" s="47" t="s">
        <v>1905</v>
      </c>
      <c r="B811" s="48" t="s">
        <v>1363</v>
      </c>
      <c r="C811" s="50" t="s">
        <v>1906</v>
      </c>
      <c r="D811" s="48" t="s">
        <v>321</v>
      </c>
      <c r="E811" s="52" t="s">
        <v>22</v>
      </c>
      <c r="F811" s="48" t="s">
        <v>23</v>
      </c>
      <c r="G811" s="53">
        <v>58960.0</v>
      </c>
      <c r="H811" s="53">
        <v>62000.0</v>
      </c>
      <c r="I811" s="53">
        <v>3040.0</v>
      </c>
      <c r="J811" s="54">
        <v>0.051560379918588875</v>
      </c>
    </row>
    <row r="812" ht="26.25" customHeight="1">
      <c r="A812" s="11" t="s">
        <v>1907</v>
      </c>
      <c r="B812" s="13" t="s">
        <v>1363</v>
      </c>
      <c r="C812" s="16" t="s">
        <v>1908</v>
      </c>
      <c r="D812" s="13" t="s">
        <v>321</v>
      </c>
      <c r="E812" s="19" t="s">
        <v>22</v>
      </c>
      <c r="F812" s="13" t="s">
        <v>23</v>
      </c>
      <c r="G812" s="22">
        <v>68800.0</v>
      </c>
      <c r="H812" s="22">
        <v>72000.0</v>
      </c>
      <c r="I812" s="22">
        <v>3200.0</v>
      </c>
      <c r="J812" s="46">
        <v>0.046511627906976744</v>
      </c>
    </row>
    <row r="813" ht="26.25" customHeight="1">
      <c r="A813" s="47" t="s">
        <v>1909</v>
      </c>
      <c r="B813" s="48" t="s">
        <v>1363</v>
      </c>
      <c r="C813" s="50" t="s">
        <v>1910</v>
      </c>
      <c r="D813" s="48" t="s">
        <v>321</v>
      </c>
      <c r="E813" s="52" t="s">
        <v>22</v>
      </c>
      <c r="F813" s="48" t="s">
        <v>23</v>
      </c>
      <c r="G813" s="53">
        <v>78990.0</v>
      </c>
      <c r="H813" s="53">
        <v>82000.0</v>
      </c>
      <c r="I813" s="53">
        <v>3010.0</v>
      </c>
      <c r="J813" s="54">
        <v>0.038106089378402326</v>
      </c>
    </row>
    <row r="814" ht="26.25" customHeight="1">
      <c r="A814" s="11" t="s">
        <v>1911</v>
      </c>
      <c r="B814" s="13" t="s">
        <v>1363</v>
      </c>
      <c r="C814" s="16" t="s">
        <v>1912</v>
      </c>
      <c r="D814" s="13" t="s">
        <v>321</v>
      </c>
      <c r="E814" s="19" t="s">
        <v>22</v>
      </c>
      <c r="F814" s="13" t="s">
        <v>23</v>
      </c>
      <c r="G814" s="22">
        <v>88545.0</v>
      </c>
      <c r="H814" s="22">
        <v>93000.0</v>
      </c>
      <c r="I814" s="22">
        <v>4455.0</v>
      </c>
      <c r="J814" s="46">
        <v>0.05031339996611892</v>
      </c>
    </row>
    <row r="815" ht="26.25" customHeight="1">
      <c r="A815" s="47" t="s">
        <v>1914</v>
      </c>
      <c r="B815" s="48" t="s">
        <v>1363</v>
      </c>
      <c r="C815" s="50" t="s">
        <v>1916</v>
      </c>
      <c r="D815" s="48" t="s">
        <v>321</v>
      </c>
      <c r="E815" s="52" t="s">
        <v>22</v>
      </c>
      <c r="F815" s="48" t="s">
        <v>23</v>
      </c>
      <c r="G815" s="53">
        <v>97495.0</v>
      </c>
      <c r="H815" s="53">
        <v>100000.0</v>
      </c>
      <c r="I815" s="53">
        <v>2505.0</v>
      </c>
      <c r="J815" s="54">
        <v>0.025693625314118673</v>
      </c>
    </row>
    <row r="816" ht="26.25" customHeight="1">
      <c r="A816" s="11" t="s">
        <v>1917</v>
      </c>
      <c r="B816" s="13" t="s">
        <v>1363</v>
      </c>
      <c r="C816" s="16" t="s">
        <v>1918</v>
      </c>
      <c r="D816" s="13" t="s">
        <v>321</v>
      </c>
      <c r="E816" s="19" t="s">
        <v>22</v>
      </c>
      <c r="F816" s="13" t="s">
        <v>23</v>
      </c>
      <c r="G816" s="22">
        <v>114000.0</v>
      </c>
      <c r="H816" s="22">
        <v>118000.0</v>
      </c>
      <c r="I816" s="22">
        <v>4000.0</v>
      </c>
      <c r="J816" s="46">
        <v>0.03508771929824561</v>
      </c>
    </row>
    <row r="817" ht="26.25" customHeight="1">
      <c r="A817" s="47" t="s">
        <v>1919</v>
      </c>
      <c r="B817" s="48" t="s">
        <v>1363</v>
      </c>
      <c r="C817" s="50" t="s">
        <v>1920</v>
      </c>
      <c r="D817" s="48" t="s">
        <v>321</v>
      </c>
      <c r="E817" s="52" t="s">
        <v>22</v>
      </c>
      <c r="F817" s="48" t="s">
        <v>23</v>
      </c>
      <c r="G817" s="53">
        <v>122700.0</v>
      </c>
      <c r="H817" s="53">
        <v>125000.0</v>
      </c>
      <c r="I817" s="53">
        <v>2300.0</v>
      </c>
      <c r="J817" s="54">
        <v>0.018744906275468622</v>
      </c>
    </row>
    <row r="818" ht="26.25" customHeight="1">
      <c r="A818" s="11" t="s">
        <v>1921</v>
      </c>
      <c r="B818" s="13" t="s">
        <v>1363</v>
      </c>
      <c r="C818" s="16" t="s">
        <v>1922</v>
      </c>
      <c r="D818" s="13" t="s">
        <v>321</v>
      </c>
      <c r="E818" s="19" t="s">
        <v>22</v>
      </c>
      <c r="F818" s="13" t="s">
        <v>23</v>
      </c>
      <c r="G818" s="22">
        <v>144400.0</v>
      </c>
      <c r="H818" s="22">
        <v>150000.0</v>
      </c>
      <c r="I818" s="22">
        <v>5600.0</v>
      </c>
      <c r="J818" s="46">
        <v>0.038781163434903045</v>
      </c>
    </row>
    <row r="819" ht="26.25" customHeight="1">
      <c r="A819" s="47" t="s">
        <v>1923</v>
      </c>
      <c r="B819" s="48" t="s">
        <v>1363</v>
      </c>
      <c r="C819" s="50" t="s">
        <v>1924</v>
      </c>
      <c r="D819" s="48" t="s">
        <v>19</v>
      </c>
      <c r="E819" s="52" t="s">
        <v>22</v>
      </c>
      <c r="F819" s="48" t="s">
        <v>23</v>
      </c>
      <c r="G819" s="53">
        <v>6483.0</v>
      </c>
      <c r="H819" s="53">
        <v>7000.0</v>
      </c>
      <c r="I819" s="53">
        <v>517.0</v>
      </c>
      <c r="J819" s="54">
        <v>0.07974703069566559</v>
      </c>
    </row>
    <row r="820" ht="26.25" customHeight="1">
      <c r="A820" s="11" t="s">
        <v>1926</v>
      </c>
      <c r="B820" s="13" t="s">
        <v>1363</v>
      </c>
      <c r="C820" s="16" t="s">
        <v>1928</v>
      </c>
      <c r="D820" s="13" t="s">
        <v>19</v>
      </c>
      <c r="E820" s="19" t="s">
        <v>22</v>
      </c>
      <c r="F820" s="13" t="s">
        <v>23</v>
      </c>
      <c r="G820" s="22">
        <v>10835.0</v>
      </c>
      <c r="H820" s="22">
        <v>12500.0</v>
      </c>
      <c r="I820" s="22">
        <v>1665.0</v>
      </c>
      <c r="J820" s="46">
        <v>0.15366866635902168</v>
      </c>
    </row>
    <row r="821" ht="26.25" customHeight="1">
      <c r="A821" s="47" t="s">
        <v>1929</v>
      </c>
      <c r="B821" s="48" t="s">
        <v>1363</v>
      </c>
      <c r="C821" s="50" t="s">
        <v>1930</v>
      </c>
      <c r="D821" s="48" t="s">
        <v>19</v>
      </c>
      <c r="E821" s="52" t="s">
        <v>22</v>
      </c>
      <c r="F821" s="48" t="s">
        <v>23</v>
      </c>
      <c r="G821" s="53">
        <v>14990.0</v>
      </c>
      <c r="H821" s="53">
        <v>17000.0</v>
      </c>
      <c r="I821" s="53">
        <v>2010.0</v>
      </c>
      <c r="J821" s="54">
        <v>0.13408939292861907</v>
      </c>
    </row>
    <row r="822" ht="26.25" customHeight="1">
      <c r="A822" s="11" t="s">
        <v>1931</v>
      </c>
      <c r="B822" s="13" t="s">
        <v>1363</v>
      </c>
      <c r="C822" s="16" t="s">
        <v>1932</v>
      </c>
      <c r="D822" s="13" t="s">
        <v>19</v>
      </c>
      <c r="E822" s="19" t="s">
        <v>22</v>
      </c>
      <c r="F822" s="13" t="s">
        <v>23</v>
      </c>
      <c r="G822" s="22">
        <v>24985.0</v>
      </c>
      <c r="H822" s="22">
        <v>27000.0</v>
      </c>
      <c r="I822" s="22">
        <v>2015.0</v>
      </c>
      <c r="J822" s="46">
        <v>0.08064838903342005</v>
      </c>
    </row>
    <row r="823" ht="26.25" customHeight="1">
      <c r="A823" s="47" t="s">
        <v>1933</v>
      </c>
      <c r="B823" s="48" t="s">
        <v>1363</v>
      </c>
      <c r="C823" s="50" t="s">
        <v>1934</v>
      </c>
      <c r="D823" s="48" t="s">
        <v>19</v>
      </c>
      <c r="E823" s="52" t="s">
        <v>22</v>
      </c>
      <c r="F823" s="48" t="s">
        <v>23</v>
      </c>
      <c r="G823" s="53">
        <v>29975.0</v>
      </c>
      <c r="H823" s="53">
        <v>32500.0</v>
      </c>
      <c r="I823" s="53">
        <v>2525.0</v>
      </c>
      <c r="J823" s="54">
        <v>0.08423686405337781</v>
      </c>
    </row>
    <row r="824" ht="26.25" customHeight="1">
      <c r="A824" s="11" t="s">
        <v>1935</v>
      </c>
      <c r="B824" s="13" t="s">
        <v>1363</v>
      </c>
      <c r="C824" s="16" t="s">
        <v>1936</v>
      </c>
      <c r="D824" s="13" t="s">
        <v>19</v>
      </c>
      <c r="E824" s="19" t="s">
        <v>22</v>
      </c>
      <c r="F824" s="13" t="s">
        <v>23</v>
      </c>
      <c r="G824" s="22">
        <v>40047.0</v>
      </c>
      <c r="H824" s="22">
        <v>42000.0</v>
      </c>
      <c r="I824" s="22">
        <v>1953.0</v>
      </c>
      <c r="J824" s="46">
        <v>0.04876769795490299</v>
      </c>
    </row>
    <row r="825" ht="26.25" customHeight="1">
      <c r="A825" s="47" t="s">
        <v>1937</v>
      </c>
      <c r="B825" s="48" t="s">
        <v>1363</v>
      </c>
      <c r="C825" s="50" t="s">
        <v>1938</v>
      </c>
      <c r="D825" s="48" t="s">
        <v>19</v>
      </c>
      <c r="E825" s="52" t="s">
        <v>22</v>
      </c>
      <c r="F825" s="48" t="s">
        <v>23</v>
      </c>
      <c r="G825" s="53">
        <v>49770.0</v>
      </c>
      <c r="H825" s="53">
        <v>52000.0</v>
      </c>
      <c r="I825" s="53">
        <v>2230.0</v>
      </c>
      <c r="J825" s="54">
        <v>0.04480610809724734</v>
      </c>
    </row>
    <row r="826" ht="26.25" customHeight="1">
      <c r="A826" s="11" t="s">
        <v>1939</v>
      </c>
      <c r="B826" s="13" t="s">
        <v>1363</v>
      </c>
      <c r="C826" s="16" t="s">
        <v>1940</v>
      </c>
      <c r="D826" s="13" t="s">
        <v>19</v>
      </c>
      <c r="E826" s="19" t="s">
        <v>22</v>
      </c>
      <c r="F826" s="13" t="s">
        <v>23</v>
      </c>
      <c r="G826" s="22">
        <v>59935.0</v>
      </c>
      <c r="H826" s="22">
        <v>62000.0</v>
      </c>
      <c r="I826" s="22">
        <v>2065.0</v>
      </c>
      <c r="J826" s="46">
        <v>0.03445399182447652</v>
      </c>
    </row>
    <row r="827" ht="26.25" customHeight="1">
      <c r="A827" s="47" t="s">
        <v>1941</v>
      </c>
      <c r="B827" s="48" t="s">
        <v>1363</v>
      </c>
      <c r="C827" s="50" t="s">
        <v>1942</v>
      </c>
      <c r="D827" s="48" t="s">
        <v>19</v>
      </c>
      <c r="E827" s="52" t="s">
        <v>22</v>
      </c>
      <c r="F827" s="48" t="s">
        <v>23</v>
      </c>
      <c r="G827" s="53">
        <v>69974.0</v>
      </c>
      <c r="H827" s="53">
        <v>72000.0</v>
      </c>
      <c r="I827" s="53">
        <v>2026.0</v>
      </c>
      <c r="J827" s="54">
        <v>0.02895361134135536</v>
      </c>
    </row>
    <row r="828" ht="26.25" customHeight="1">
      <c r="A828" s="11" t="s">
        <v>1944</v>
      </c>
      <c r="B828" s="13" t="s">
        <v>1363</v>
      </c>
      <c r="C828" s="16" t="s">
        <v>1945</v>
      </c>
      <c r="D828" s="13" t="s">
        <v>19</v>
      </c>
      <c r="E828" s="19" t="s">
        <v>22</v>
      </c>
      <c r="F828" s="13" t="s">
        <v>23</v>
      </c>
      <c r="G828" s="22">
        <v>79950.0</v>
      </c>
      <c r="H828" s="22">
        <v>82000.0</v>
      </c>
      <c r="I828" s="22">
        <v>2050.0</v>
      </c>
      <c r="J828" s="46">
        <v>0.02564102564102564</v>
      </c>
    </row>
    <row r="829" ht="26.25" customHeight="1">
      <c r="A829" s="47" t="s">
        <v>1948</v>
      </c>
      <c r="B829" s="48" t="s">
        <v>1363</v>
      </c>
      <c r="C829" s="50" t="s">
        <v>1949</v>
      </c>
      <c r="D829" s="48" t="s">
        <v>19</v>
      </c>
      <c r="E829" s="52" t="s">
        <v>22</v>
      </c>
      <c r="F829" s="48" t="s">
        <v>23</v>
      </c>
      <c r="G829" s="53">
        <v>89930.0</v>
      </c>
      <c r="H829" s="53">
        <v>92000.0</v>
      </c>
      <c r="I829" s="53">
        <v>2070.0</v>
      </c>
      <c r="J829" s="54">
        <v>0.023017902813299233</v>
      </c>
    </row>
    <row r="830" ht="26.25" customHeight="1">
      <c r="A830" s="11" t="s">
        <v>1950</v>
      </c>
      <c r="B830" s="13" t="s">
        <v>1363</v>
      </c>
      <c r="C830" s="16" t="s">
        <v>1951</v>
      </c>
      <c r="D830" s="13" t="s">
        <v>19</v>
      </c>
      <c r="E830" s="19" t="s">
        <v>22</v>
      </c>
      <c r="F830" s="13" t="s">
        <v>23</v>
      </c>
      <c r="G830" s="22">
        <v>99431.0</v>
      </c>
      <c r="H830" s="22">
        <v>103000.0</v>
      </c>
      <c r="I830" s="22">
        <v>3569.0</v>
      </c>
      <c r="J830" s="46">
        <v>0.035894238215445885</v>
      </c>
    </row>
    <row r="831" ht="26.25" customHeight="1">
      <c r="A831" s="47" t="s">
        <v>1952</v>
      </c>
      <c r="B831" s="48" t="s">
        <v>1363</v>
      </c>
      <c r="C831" s="50" t="s">
        <v>1953</v>
      </c>
      <c r="D831" s="48" t="s">
        <v>19</v>
      </c>
      <c r="E831" s="52" t="s">
        <v>22</v>
      </c>
      <c r="F831" s="48" t="s">
        <v>23</v>
      </c>
      <c r="G831" s="53">
        <v>149945.0</v>
      </c>
      <c r="H831" s="53">
        <v>155000.0</v>
      </c>
      <c r="I831" s="53">
        <v>5055.0</v>
      </c>
      <c r="J831" s="54">
        <v>0.03371236119910634</v>
      </c>
    </row>
    <row r="832" ht="26.25" customHeight="1">
      <c r="A832" s="11" t="s">
        <v>1954</v>
      </c>
      <c r="B832" s="13" t="s">
        <v>1363</v>
      </c>
      <c r="C832" s="16" t="s">
        <v>1955</v>
      </c>
      <c r="D832" s="13" t="s">
        <v>254</v>
      </c>
      <c r="E832" s="19" t="s">
        <v>22</v>
      </c>
      <c r="F832" s="13" t="s">
        <v>23</v>
      </c>
      <c r="G832" s="22">
        <v>5885.0</v>
      </c>
      <c r="H832" s="22">
        <v>8000.0</v>
      </c>
      <c r="I832" s="22">
        <v>2115.0</v>
      </c>
      <c r="J832" s="46">
        <v>0.35938827527612577</v>
      </c>
    </row>
    <row r="833" ht="26.25" customHeight="1">
      <c r="A833" s="47" t="s">
        <v>1956</v>
      </c>
      <c r="B833" s="48" t="s">
        <v>1363</v>
      </c>
      <c r="C833" s="50" t="s">
        <v>1957</v>
      </c>
      <c r="D833" s="48" t="s">
        <v>254</v>
      </c>
      <c r="E833" s="52" t="s">
        <v>22</v>
      </c>
      <c r="F833" s="48" t="s">
        <v>23</v>
      </c>
      <c r="G833" s="53">
        <v>10901.0</v>
      </c>
      <c r="H833" s="53">
        <v>13000.0</v>
      </c>
      <c r="I833" s="53">
        <v>2099.0</v>
      </c>
      <c r="J833" s="54">
        <v>0.19255114209705532</v>
      </c>
    </row>
    <row r="834" ht="26.25" customHeight="1">
      <c r="A834" s="11" t="s">
        <v>1958</v>
      </c>
      <c r="B834" s="13" t="s">
        <v>1363</v>
      </c>
      <c r="C834" s="16" t="s">
        <v>1959</v>
      </c>
      <c r="D834" s="13" t="s">
        <v>254</v>
      </c>
      <c r="E834" s="19" t="s">
        <v>22</v>
      </c>
      <c r="F834" s="13" t="s">
        <v>23</v>
      </c>
      <c r="G834" s="22">
        <v>15042.0</v>
      </c>
      <c r="H834" s="22">
        <v>17000.0</v>
      </c>
      <c r="I834" s="22">
        <v>1958.0</v>
      </c>
      <c r="J834" s="46">
        <v>0.1301688605238665</v>
      </c>
    </row>
    <row r="835" ht="26.25" customHeight="1">
      <c r="A835" s="47" t="s">
        <v>1961</v>
      </c>
      <c r="B835" s="48" t="s">
        <v>1363</v>
      </c>
      <c r="C835" s="50" t="s">
        <v>1962</v>
      </c>
      <c r="D835" s="48" t="s">
        <v>254</v>
      </c>
      <c r="E835" s="52" t="s">
        <v>22</v>
      </c>
      <c r="F835" s="48" t="s">
        <v>23</v>
      </c>
      <c r="G835" s="53">
        <v>20035.0</v>
      </c>
      <c r="H835" s="53">
        <v>22000.0</v>
      </c>
      <c r="I835" s="53">
        <v>1965.0</v>
      </c>
      <c r="J835" s="54">
        <v>0.09807836286498628</v>
      </c>
    </row>
    <row r="836" ht="26.25" customHeight="1">
      <c r="A836" s="11" t="s">
        <v>1964</v>
      </c>
      <c r="B836" s="13" t="s">
        <v>1363</v>
      </c>
      <c r="C836" s="16" t="s">
        <v>1965</v>
      </c>
      <c r="D836" s="13" t="s">
        <v>254</v>
      </c>
      <c r="E836" s="19" t="s">
        <v>22</v>
      </c>
      <c r="F836" s="13" t="s">
        <v>23</v>
      </c>
      <c r="G836" s="22">
        <v>25069.0</v>
      </c>
      <c r="H836" s="22">
        <v>27000.0</v>
      </c>
      <c r="I836" s="22">
        <v>1931.0</v>
      </c>
      <c r="J836" s="46">
        <v>0.07702740436395548</v>
      </c>
    </row>
    <row r="837" ht="26.25" customHeight="1">
      <c r="A837" s="47" t="s">
        <v>1966</v>
      </c>
      <c r="B837" s="48" t="s">
        <v>1363</v>
      </c>
      <c r="C837" s="50" t="s">
        <v>1967</v>
      </c>
      <c r="D837" s="48" t="s">
        <v>254</v>
      </c>
      <c r="E837" s="52" t="s">
        <v>22</v>
      </c>
      <c r="F837" s="48" t="s">
        <v>23</v>
      </c>
      <c r="G837" s="53">
        <v>30034.0</v>
      </c>
      <c r="H837" s="53">
        <v>32500.0</v>
      </c>
      <c r="I837" s="53">
        <v>2466.0</v>
      </c>
      <c r="J837" s="54">
        <v>0.08210694546180995</v>
      </c>
    </row>
    <row r="838" ht="26.25" customHeight="1">
      <c r="A838" s="11" t="s">
        <v>1968</v>
      </c>
      <c r="B838" s="13" t="s">
        <v>1363</v>
      </c>
      <c r="C838" s="16" t="s">
        <v>1969</v>
      </c>
      <c r="D838" s="13" t="s">
        <v>254</v>
      </c>
      <c r="E838" s="19" t="s">
        <v>22</v>
      </c>
      <c r="F838" s="13" t="s">
        <v>23</v>
      </c>
      <c r="G838" s="22">
        <v>40110.0</v>
      </c>
      <c r="H838" s="22">
        <v>42500.0</v>
      </c>
      <c r="I838" s="22">
        <v>2390.0</v>
      </c>
      <c r="J838" s="46">
        <v>0.05958613812016953</v>
      </c>
    </row>
    <row r="839" ht="26.25" customHeight="1">
      <c r="A839" s="47" t="s">
        <v>1970</v>
      </c>
      <c r="B839" s="48" t="s">
        <v>1363</v>
      </c>
      <c r="C839" s="50" t="s">
        <v>1971</v>
      </c>
      <c r="D839" s="48" t="s">
        <v>254</v>
      </c>
      <c r="E839" s="52" t="s">
        <v>22</v>
      </c>
      <c r="F839" s="48" t="s">
        <v>23</v>
      </c>
      <c r="G839" s="53">
        <v>50044.0</v>
      </c>
      <c r="H839" s="53">
        <v>52500.0</v>
      </c>
      <c r="I839" s="53">
        <v>2456.0</v>
      </c>
      <c r="J839" s="54">
        <v>0.04907681240508353</v>
      </c>
    </row>
    <row r="840" ht="26.25" customHeight="1">
      <c r="A840" s="11" t="s">
        <v>1972</v>
      </c>
      <c r="B840" s="13" t="s">
        <v>1363</v>
      </c>
      <c r="C840" s="16" t="s">
        <v>1973</v>
      </c>
      <c r="D840" s="13" t="s">
        <v>254</v>
      </c>
      <c r="E840" s="19" t="s">
        <v>22</v>
      </c>
      <c r="F840" s="13" t="s">
        <v>23</v>
      </c>
      <c r="G840" s="22">
        <v>60115.0</v>
      </c>
      <c r="H840" s="22">
        <v>62500.0</v>
      </c>
      <c r="I840" s="22">
        <v>2385.0</v>
      </c>
      <c r="J840" s="46">
        <v>0.039673958246693834</v>
      </c>
    </row>
    <row r="841" ht="26.25" customHeight="1">
      <c r="A841" s="47" t="s">
        <v>1974</v>
      </c>
      <c r="B841" s="48" t="s">
        <v>1363</v>
      </c>
      <c r="C841" s="50" t="s">
        <v>1975</v>
      </c>
      <c r="D841" s="48" t="s">
        <v>254</v>
      </c>
      <c r="E841" s="52" t="s">
        <v>22</v>
      </c>
      <c r="F841" s="48" t="s">
        <v>23</v>
      </c>
      <c r="G841" s="53">
        <v>70095.0</v>
      </c>
      <c r="H841" s="53">
        <v>73000.0</v>
      </c>
      <c r="I841" s="53">
        <v>2905.0</v>
      </c>
      <c r="J841" s="54">
        <v>0.04144375490405878</v>
      </c>
    </row>
    <row r="842" ht="26.25" customHeight="1">
      <c r="A842" s="11" t="s">
        <v>1976</v>
      </c>
      <c r="B842" s="13" t="s">
        <v>1363</v>
      </c>
      <c r="C842" s="16" t="s">
        <v>1977</v>
      </c>
      <c r="D842" s="13" t="s">
        <v>254</v>
      </c>
      <c r="E842" s="19" t="s">
        <v>22</v>
      </c>
      <c r="F842" s="13" t="s">
        <v>23</v>
      </c>
      <c r="G842" s="22">
        <v>80109.0</v>
      </c>
      <c r="H842" s="22">
        <v>83000.0</v>
      </c>
      <c r="I842" s="22">
        <v>2891.0</v>
      </c>
      <c r="J842" s="46">
        <v>0.036088329650850716</v>
      </c>
    </row>
    <row r="843" ht="26.25" customHeight="1">
      <c r="A843" s="47" t="s">
        <v>1978</v>
      </c>
      <c r="B843" s="48" t="s">
        <v>1363</v>
      </c>
      <c r="C843" s="50" t="s">
        <v>1979</v>
      </c>
      <c r="D843" s="48" t="s">
        <v>254</v>
      </c>
      <c r="E843" s="52" t="s">
        <v>22</v>
      </c>
      <c r="F843" s="48" t="s">
        <v>23</v>
      </c>
      <c r="G843" s="53">
        <v>90125.0</v>
      </c>
      <c r="H843" s="53">
        <v>93000.0</v>
      </c>
      <c r="I843" s="53">
        <v>2875.0</v>
      </c>
      <c r="J843" s="54">
        <v>0.0319001386962552</v>
      </c>
    </row>
    <row r="844" ht="26.25" customHeight="1">
      <c r="A844" s="11" t="s">
        <v>1981</v>
      </c>
      <c r="B844" s="13" t="s">
        <v>1363</v>
      </c>
      <c r="C844" s="16" t="s">
        <v>1983</v>
      </c>
      <c r="D844" s="13" t="s">
        <v>254</v>
      </c>
      <c r="E844" s="19" t="s">
        <v>22</v>
      </c>
      <c r="F844" s="13" t="s">
        <v>23</v>
      </c>
      <c r="G844" s="22">
        <v>99830.0</v>
      </c>
      <c r="H844" s="22">
        <v>103000.0</v>
      </c>
      <c r="I844" s="22">
        <v>3170.0</v>
      </c>
      <c r="J844" s="46">
        <v>0.03175398176900731</v>
      </c>
    </row>
    <row r="845" ht="26.25" customHeight="1">
      <c r="A845" s="47" t="s">
        <v>1984</v>
      </c>
      <c r="B845" s="48" t="s">
        <v>1363</v>
      </c>
      <c r="C845" s="50" t="s">
        <v>1985</v>
      </c>
      <c r="D845" s="48" t="s">
        <v>254</v>
      </c>
      <c r="E845" s="52" t="s">
        <v>22</v>
      </c>
      <c r="F845" s="48" t="s">
        <v>23</v>
      </c>
      <c r="G845" s="53">
        <v>150045.0</v>
      </c>
      <c r="H845" s="53">
        <v>155000.0</v>
      </c>
      <c r="I845" s="53">
        <v>4955.0</v>
      </c>
      <c r="J845" s="54">
        <v>0.0330234263054417</v>
      </c>
    </row>
    <row r="846" ht="26.25" customHeight="1">
      <c r="A846" s="11" t="s">
        <v>1986</v>
      </c>
      <c r="B846" s="13" t="s">
        <v>1363</v>
      </c>
      <c r="C846" s="16" t="s">
        <v>1987</v>
      </c>
      <c r="D846" s="13" t="s">
        <v>1988</v>
      </c>
      <c r="E846" s="19" t="s">
        <v>22</v>
      </c>
      <c r="F846" s="13" t="s">
        <v>23</v>
      </c>
      <c r="G846" s="22">
        <v>22000.0</v>
      </c>
      <c r="H846" s="22">
        <v>24000.0</v>
      </c>
      <c r="I846" s="22">
        <v>2000.0</v>
      </c>
      <c r="J846" s="46">
        <v>0.09090909090909091</v>
      </c>
    </row>
    <row r="847" ht="26.25" customHeight="1">
      <c r="A847" s="47" t="s">
        <v>1989</v>
      </c>
      <c r="B847" s="48" t="s">
        <v>1363</v>
      </c>
      <c r="C847" s="50" t="s">
        <v>1990</v>
      </c>
      <c r="D847" s="48" t="s">
        <v>1988</v>
      </c>
      <c r="E847" s="52" t="s">
        <v>22</v>
      </c>
      <c r="F847" s="48" t="s">
        <v>23</v>
      </c>
      <c r="G847" s="53">
        <v>27000.0</v>
      </c>
      <c r="H847" s="53">
        <v>29000.0</v>
      </c>
      <c r="I847" s="53">
        <v>2000.0</v>
      </c>
      <c r="J847" s="54">
        <v>0.07407407407407407</v>
      </c>
    </row>
    <row r="848" ht="26.25" customHeight="1">
      <c r="A848" s="11" t="s">
        <v>1991</v>
      </c>
      <c r="B848" s="13" t="s">
        <v>1363</v>
      </c>
      <c r="C848" s="16" t="s">
        <v>1992</v>
      </c>
      <c r="D848" s="13" t="s">
        <v>1988</v>
      </c>
      <c r="E848" s="19" t="s">
        <v>22</v>
      </c>
      <c r="F848" s="13" t="s">
        <v>23</v>
      </c>
      <c r="G848" s="22">
        <v>52000.0</v>
      </c>
      <c r="H848" s="22">
        <v>54000.0</v>
      </c>
      <c r="I848" s="22">
        <v>2000.0</v>
      </c>
      <c r="J848" s="46">
        <v>0.038461538461538464</v>
      </c>
    </row>
    <row r="849" ht="26.25" customHeight="1">
      <c r="A849" s="47" t="s">
        <v>1993</v>
      </c>
      <c r="B849" s="48" t="s">
        <v>1363</v>
      </c>
      <c r="C849" s="50" t="s">
        <v>1994</v>
      </c>
      <c r="D849" s="48" t="s">
        <v>1988</v>
      </c>
      <c r="E849" s="52" t="s">
        <v>22</v>
      </c>
      <c r="F849" s="48" t="s">
        <v>23</v>
      </c>
      <c r="G849" s="53">
        <v>102000.0</v>
      </c>
      <c r="H849" s="53">
        <v>105000.0</v>
      </c>
      <c r="I849" s="53">
        <v>3000.0</v>
      </c>
      <c r="J849" s="54">
        <v>0.029411764705882353</v>
      </c>
    </row>
    <row r="850" ht="26.25" customHeight="1">
      <c r="A850" s="11" t="s">
        <v>1995</v>
      </c>
      <c r="B850" s="13" t="s">
        <v>1363</v>
      </c>
      <c r="C850" s="16" t="s">
        <v>1996</v>
      </c>
      <c r="D850" s="13" t="s">
        <v>1988</v>
      </c>
      <c r="E850" s="19" t="s">
        <v>22</v>
      </c>
      <c r="F850" s="13" t="s">
        <v>23</v>
      </c>
      <c r="G850" s="22">
        <v>202000.0</v>
      </c>
      <c r="H850" s="22">
        <v>207000.0</v>
      </c>
      <c r="I850" s="22">
        <v>5000.0</v>
      </c>
      <c r="J850" s="46">
        <v>0.024752475247524754</v>
      </c>
    </row>
    <row r="851" ht="26.25" customHeight="1">
      <c r="A851" s="47" t="s">
        <v>1997</v>
      </c>
      <c r="B851" s="48" t="s">
        <v>1363</v>
      </c>
      <c r="C851" s="50" t="s">
        <v>1998</v>
      </c>
      <c r="D851" s="48" t="s">
        <v>1988</v>
      </c>
      <c r="E851" s="52" t="s">
        <v>22</v>
      </c>
      <c r="F851" s="48" t="s">
        <v>23</v>
      </c>
      <c r="G851" s="53">
        <v>502000.0</v>
      </c>
      <c r="H851" s="53">
        <v>510000.0</v>
      </c>
      <c r="I851" s="53">
        <v>8000.0</v>
      </c>
      <c r="J851" s="54">
        <v>0.01593625498007968</v>
      </c>
    </row>
    <row r="852" ht="26.25" customHeight="1">
      <c r="A852" s="11" t="s">
        <v>1999</v>
      </c>
      <c r="B852" s="13" t="s">
        <v>1363</v>
      </c>
      <c r="C852" s="16" t="s">
        <v>2000</v>
      </c>
      <c r="D852" s="13" t="s">
        <v>2001</v>
      </c>
      <c r="E852" s="19" t="s">
        <v>22</v>
      </c>
      <c r="F852" s="13" t="s">
        <v>23</v>
      </c>
      <c r="G852" s="22">
        <v>1.0</v>
      </c>
      <c r="H852" s="22">
        <v>1.0</v>
      </c>
      <c r="I852" s="22">
        <v>0.0</v>
      </c>
      <c r="J852" s="46">
        <v>0.0</v>
      </c>
    </row>
    <row r="853" ht="26.25" customHeight="1">
      <c r="A853" s="47" t="s">
        <v>2003</v>
      </c>
      <c r="B853" s="48" t="s">
        <v>1363</v>
      </c>
      <c r="C853" s="50" t="s">
        <v>2005</v>
      </c>
      <c r="D853" s="48" t="s">
        <v>2001</v>
      </c>
      <c r="E853" s="52" t="s">
        <v>22</v>
      </c>
      <c r="F853" s="48" t="s">
        <v>23</v>
      </c>
      <c r="G853" s="53">
        <v>1.0</v>
      </c>
      <c r="H853" s="53">
        <v>1.0</v>
      </c>
      <c r="I853" s="53">
        <v>0.0</v>
      </c>
      <c r="J853" s="54">
        <v>0.0</v>
      </c>
    </row>
    <row r="854" ht="26.25" customHeight="1">
      <c r="A854" s="11" t="s">
        <v>2006</v>
      </c>
      <c r="B854" s="13" t="s">
        <v>1363</v>
      </c>
      <c r="C854" s="16" t="s">
        <v>2007</v>
      </c>
      <c r="D854" s="13" t="s">
        <v>2001</v>
      </c>
      <c r="E854" s="19" t="s">
        <v>22</v>
      </c>
      <c r="F854" s="13" t="s">
        <v>23</v>
      </c>
      <c r="G854" s="22">
        <v>1.0</v>
      </c>
      <c r="H854" s="22">
        <v>1.0</v>
      </c>
      <c r="I854" s="22">
        <v>0.0</v>
      </c>
      <c r="J854" s="46">
        <v>0.0</v>
      </c>
    </row>
    <row r="855" ht="26.25" customHeight="1">
      <c r="A855" s="47" t="s">
        <v>2008</v>
      </c>
      <c r="B855" s="48" t="s">
        <v>1363</v>
      </c>
      <c r="C855" s="50" t="s">
        <v>2009</v>
      </c>
      <c r="D855" s="48" t="s">
        <v>903</v>
      </c>
      <c r="E855" s="52" t="s">
        <v>22</v>
      </c>
      <c r="F855" s="48" t="s">
        <v>23</v>
      </c>
      <c r="G855" s="53">
        <v>1.0</v>
      </c>
      <c r="H855" s="53">
        <v>1.0</v>
      </c>
      <c r="I855" s="53">
        <v>0.0</v>
      </c>
      <c r="J855" s="54">
        <v>0.0</v>
      </c>
    </row>
    <row r="856" ht="26.25" customHeight="1">
      <c r="A856" s="11" t="s">
        <v>2010</v>
      </c>
      <c r="B856" s="13" t="s">
        <v>1363</v>
      </c>
      <c r="C856" s="16" t="s">
        <v>2011</v>
      </c>
      <c r="D856" s="13" t="s">
        <v>903</v>
      </c>
      <c r="E856" s="19" t="s">
        <v>22</v>
      </c>
      <c r="F856" s="13" t="s">
        <v>23</v>
      </c>
      <c r="G856" s="22">
        <v>1.0</v>
      </c>
      <c r="H856" s="22">
        <v>1.0</v>
      </c>
      <c r="I856" s="22">
        <v>0.0</v>
      </c>
      <c r="J856" s="46">
        <v>0.0</v>
      </c>
    </row>
    <row r="857" ht="26.25" customHeight="1">
      <c r="A857" s="47" t="s">
        <v>2012</v>
      </c>
      <c r="B857" s="48" t="s">
        <v>1363</v>
      </c>
      <c r="C857" s="50" t="s">
        <v>2013</v>
      </c>
      <c r="D857" s="48" t="s">
        <v>903</v>
      </c>
      <c r="E857" s="52" t="s">
        <v>22</v>
      </c>
      <c r="F857" s="48" t="s">
        <v>23</v>
      </c>
      <c r="G857" s="53">
        <v>1.0</v>
      </c>
      <c r="H857" s="53">
        <v>1.0</v>
      </c>
      <c r="I857" s="53">
        <v>0.0</v>
      </c>
      <c r="J857" s="54">
        <v>0.0</v>
      </c>
    </row>
    <row r="858" ht="26.25" customHeight="1">
      <c r="A858" s="11" t="s">
        <v>2014</v>
      </c>
      <c r="B858" s="13" t="s">
        <v>1363</v>
      </c>
      <c r="C858" s="16" t="s">
        <v>2015</v>
      </c>
      <c r="D858" s="13" t="s">
        <v>911</v>
      </c>
      <c r="E858" s="19" t="s">
        <v>22</v>
      </c>
      <c r="F858" s="13" t="s">
        <v>23</v>
      </c>
      <c r="G858" s="22">
        <v>1.0</v>
      </c>
      <c r="H858" s="22">
        <v>1.0</v>
      </c>
      <c r="I858" s="22">
        <v>0.0</v>
      </c>
      <c r="J858" s="46">
        <v>0.0</v>
      </c>
    </row>
    <row r="859" ht="26.25" customHeight="1">
      <c r="A859" s="47" t="s">
        <v>2016</v>
      </c>
      <c r="B859" s="48" t="s">
        <v>1363</v>
      </c>
      <c r="C859" s="50" t="s">
        <v>2017</v>
      </c>
      <c r="D859" s="48" t="s">
        <v>911</v>
      </c>
      <c r="E859" s="52" t="s">
        <v>22</v>
      </c>
      <c r="F859" s="48" t="s">
        <v>23</v>
      </c>
      <c r="G859" s="53">
        <v>1.0</v>
      </c>
      <c r="H859" s="53">
        <v>1.0</v>
      </c>
      <c r="I859" s="53">
        <v>0.0</v>
      </c>
      <c r="J859" s="54">
        <v>0.0</v>
      </c>
    </row>
    <row r="860" ht="26.25" customHeight="1">
      <c r="A860" s="11" t="s">
        <v>2018</v>
      </c>
      <c r="B860" s="13" t="s">
        <v>1363</v>
      </c>
      <c r="C860" s="16" t="s">
        <v>2020</v>
      </c>
      <c r="D860" s="13" t="s">
        <v>911</v>
      </c>
      <c r="E860" s="19" t="s">
        <v>22</v>
      </c>
      <c r="F860" s="13" t="s">
        <v>23</v>
      </c>
      <c r="G860" s="22">
        <v>1.0</v>
      </c>
      <c r="H860" s="22">
        <v>1.0</v>
      </c>
      <c r="I860" s="22">
        <v>0.0</v>
      </c>
      <c r="J860" s="46">
        <v>0.0</v>
      </c>
    </row>
    <row r="861" ht="26.25" customHeight="1">
      <c r="A861" s="47" t="s">
        <v>2022</v>
      </c>
      <c r="B861" s="48" t="s">
        <v>1363</v>
      </c>
      <c r="C861" s="50" t="s">
        <v>2023</v>
      </c>
      <c r="D861" s="48" t="s">
        <v>920</v>
      </c>
      <c r="E861" s="52" t="s">
        <v>22</v>
      </c>
      <c r="F861" s="48" t="s">
        <v>23</v>
      </c>
      <c r="G861" s="53">
        <v>1.0</v>
      </c>
      <c r="H861" s="53">
        <v>1.0</v>
      </c>
      <c r="I861" s="53">
        <v>0.0</v>
      </c>
      <c r="J861" s="54">
        <v>0.0</v>
      </c>
    </row>
    <row r="862" ht="26.25" customHeight="1">
      <c r="A862" s="11" t="s">
        <v>2024</v>
      </c>
      <c r="B862" s="13" t="s">
        <v>1363</v>
      </c>
      <c r="C862" s="16" t="s">
        <v>2025</v>
      </c>
      <c r="D862" s="13" t="s">
        <v>920</v>
      </c>
      <c r="E862" s="19" t="s">
        <v>22</v>
      </c>
      <c r="F862" s="13" t="s">
        <v>23</v>
      </c>
      <c r="G862" s="22">
        <v>1.0</v>
      </c>
      <c r="H862" s="22">
        <v>1.0</v>
      </c>
      <c r="I862" s="22">
        <v>0.0</v>
      </c>
      <c r="J862" s="46">
        <v>0.0</v>
      </c>
    </row>
    <row r="863" ht="26.25" customHeight="1">
      <c r="A863" s="47" t="s">
        <v>2026</v>
      </c>
      <c r="B863" s="48" t="s">
        <v>1363</v>
      </c>
      <c r="C863" s="50" t="s">
        <v>2027</v>
      </c>
      <c r="D863" s="48" t="s">
        <v>920</v>
      </c>
      <c r="E863" s="52" t="s">
        <v>22</v>
      </c>
      <c r="F863" s="48" t="s">
        <v>23</v>
      </c>
      <c r="G863" s="53">
        <v>1.0</v>
      </c>
      <c r="H863" s="53">
        <v>1.0</v>
      </c>
      <c r="I863" s="53">
        <v>0.0</v>
      </c>
      <c r="J863" s="54">
        <v>0.0</v>
      </c>
    </row>
    <row r="864" ht="26.25" customHeight="1">
      <c r="A864" s="11" t="s">
        <v>2028</v>
      </c>
      <c r="B864" s="13" t="s">
        <v>1363</v>
      </c>
      <c r="C864" s="16" t="s">
        <v>2029</v>
      </c>
      <c r="D864" s="13" t="s">
        <v>927</v>
      </c>
      <c r="E864" s="19" t="s">
        <v>22</v>
      </c>
      <c r="F864" s="13" t="s">
        <v>23</v>
      </c>
      <c r="G864" s="22">
        <v>1.0</v>
      </c>
      <c r="H864" s="22">
        <v>1.0</v>
      </c>
      <c r="I864" s="22">
        <v>0.0</v>
      </c>
      <c r="J864" s="46">
        <v>0.0</v>
      </c>
    </row>
    <row r="865" ht="26.25" customHeight="1">
      <c r="A865" s="47" t="s">
        <v>2030</v>
      </c>
      <c r="B865" s="48" t="s">
        <v>1363</v>
      </c>
      <c r="C865" s="50" t="s">
        <v>2031</v>
      </c>
      <c r="D865" s="48" t="s">
        <v>927</v>
      </c>
      <c r="E865" s="52" t="s">
        <v>22</v>
      </c>
      <c r="F865" s="48" t="s">
        <v>23</v>
      </c>
      <c r="G865" s="53">
        <v>1.0</v>
      </c>
      <c r="H865" s="53">
        <v>1.0</v>
      </c>
      <c r="I865" s="53">
        <v>0.0</v>
      </c>
      <c r="J865" s="54">
        <v>0.0</v>
      </c>
    </row>
    <row r="866" ht="26.25" customHeight="1">
      <c r="A866" s="11" t="s">
        <v>2032</v>
      </c>
      <c r="B866" s="13" t="s">
        <v>1363</v>
      </c>
      <c r="C866" s="16" t="s">
        <v>2033</v>
      </c>
      <c r="D866" s="13" t="s">
        <v>927</v>
      </c>
      <c r="E866" s="19" t="s">
        <v>22</v>
      </c>
      <c r="F866" s="13" t="s">
        <v>23</v>
      </c>
      <c r="G866" s="22">
        <v>1.0</v>
      </c>
      <c r="H866" s="22">
        <v>1.0</v>
      </c>
      <c r="I866" s="22">
        <v>0.0</v>
      </c>
      <c r="J866" s="46">
        <v>0.0</v>
      </c>
    </row>
    <row r="867" ht="26.25" customHeight="1">
      <c r="A867" s="47" t="s">
        <v>2034</v>
      </c>
      <c r="B867" s="48" t="s">
        <v>1363</v>
      </c>
      <c r="C867" s="50" t="s">
        <v>2035</v>
      </c>
      <c r="D867" s="48" t="s">
        <v>2036</v>
      </c>
      <c r="E867" s="52" t="s">
        <v>22</v>
      </c>
      <c r="F867" s="48" t="s">
        <v>23</v>
      </c>
      <c r="G867" s="53">
        <v>15000.0</v>
      </c>
      <c r="H867" s="53">
        <v>17000.0</v>
      </c>
      <c r="I867" s="53">
        <v>2000.0</v>
      </c>
      <c r="J867" s="54">
        <v>0.13333333333333333</v>
      </c>
    </row>
    <row r="868" ht="26.25" customHeight="1">
      <c r="A868" s="11" t="s">
        <v>2037</v>
      </c>
      <c r="B868" s="13" t="s">
        <v>1363</v>
      </c>
      <c r="C868" s="16" t="s">
        <v>2038</v>
      </c>
      <c r="D868" s="13" t="s">
        <v>2036</v>
      </c>
      <c r="E868" s="19" t="s">
        <v>22</v>
      </c>
      <c r="F868" s="13" t="s">
        <v>23</v>
      </c>
      <c r="G868" s="22">
        <v>17050.0</v>
      </c>
      <c r="H868" s="22">
        <v>19000.0</v>
      </c>
      <c r="I868" s="22">
        <v>1950.0</v>
      </c>
      <c r="J868" s="46">
        <v>0.11436950146627566</v>
      </c>
    </row>
    <row r="869" ht="26.25" customHeight="1">
      <c r="A869" s="47" t="s">
        <v>2039</v>
      </c>
      <c r="B869" s="48" t="s">
        <v>1363</v>
      </c>
      <c r="C869" s="50" t="s">
        <v>2040</v>
      </c>
      <c r="D869" s="48" t="s">
        <v>2036</v>
      </c>
      <c r="E869" s="52" t="s">
        <v>22</v>
      </c>
      <c r="F869" s="48" t="s">
        <v>23</v>
      </c>
      <c r="G869" s="53">
        <v>17400.0</v>
      </c>
      <c r="H869" s="53">
        <v>20000.0</v>
      </c>
      <c r="I869" s="53">
        <v>2600.0</v>
      </c>
      <c r="J869" s="54">
        <v>0.14942528735632185</v>
      </c>
    </row>
    <row r="870" ht="26.25" customHeight="1">
      <c r="A870" s="11" t="s">
        <v>2042</v>
      </c>
      <c r="B870" s="13" t="s">
        <v>1363</v>
      </c>
      <c r="C870" s="16" t="s">
        <v>2044</v>
      </c>
      <c r="D870" s="13" t="s">
        <v>2036</v>
      </c>
      <c r="E870" s="19" t="s">
        <v>22</v>
      </c>
      <c r="F870" s="13" t="s">
        <v>23</v>
      </c>
      <c r="G870" s="22">
        <v>20000.0</v>
      </c>
      <c r="H870" s="22">
        <v>22000.0</v>
      </c>
      <c r="I870" s="22">
        <v>2000.0</v>
      </c>
      <c r="J870" s="46">
        <v>0.1</v>
      </c>
    </row>
    <row r="871" ht="26.25" customHeight="1">
      <c r="A871" s="47" t="s">
        <v>2045</v>
      </c>
      <c r="B871" s="48" t="s">
        <v>1363</v>
      </c>
      <c r="C871" s="50" t="s">
        <v>2046</v>
      </c>
      <c r="D871" s="48" t="s">
        <v>2036</v>
      </c>
      <c r="E871" s="52" t="s">
        <v>22</v>
      </c>
      <c r="F871" s="48" t="s">
        <v>23</v>
      </c>
      <c r="G871" s="53">
        <v>14000.0</v>
      </c>
      <c r="H871" s="53">
        <v>16000.0</v>
      </c>
      <c r="I871" s="53">
        <v>2000.0</v>
      </c>
      <c r="J871" s="54">
        <v>0.14285714285714285</v>
      </c>
    </row>
    <row r="872" ht="26.25" customHeight="1">
      <c r="A872" s="11" t="s">
        <v>2047</v>
      </c>
      <c r="B872" s="13" t="s">
        <v>1363</v>
      </c>
      <c r="C872" s="16" t="s">
        <v>2048</v>
      </c>
      <c r="D872" s="13" t="s">
        <v>2036</v>
      </c>
      <c r="E872" s="19" t="s">
        <v>22</v>
      </c>
      <c r="F872" s="13" t="s">
        <v>23</v>
      </c>
      <c r="G872" s="22">
        <v>23250.0</v>
      </c>
      <c r="H872" s="22">
        <v>26000.0</v>
      </c>
      <c r="I872" s="22">
        <v>2750.0</v>
      </c>
      <c r="J872" s="46">
        <v>0.11827956989247312</v>
      </c>
    </row>
    <row r="873" ht="26.25" customHeight="1">
      <c r="A873" s="47" t="s">
        <v>2049</v>
      </c>
      <c r="B873" s="48" t="s">
        <v>1363</v>
      </c>
      <c r="C873" s="50" t="s">
        <v>2050</v>
      </c>
      <c r="D873" s="48" t="s">
        <v>2036</v>
      </c>
      <c r="E873" s="52" t="s">
        <v>22</v>
      </c>
      <c r="F873" s="48" t="s">
        <v>23</v>
      </c>
      <c r="G873" s="53">
        <v>24300.0</v>
      </c>
      <c r="H873" s="53">
        <v>27000.0</v>
      </c>
      <c r="I873" s="53">
        <v>2700.0</v>
      </c>
      <c r="J873" s="54">
        <v>0.1111111111111111</v>
      </c>
    </row>
    <row r="874" ht="26.25" customHeight="1">
      <c r="A874" s="11" t="s">
        <v>2051</v>
      </c>
      <c r="B874" s="13" t="s">
        <v>1363</v>
      </c>
      <c r="C874" s="16" t="s">
        <v>2052</v>
      </c>
      <c r="D874" s="13" t="s">
        <v>2036</v>
      </c>
      <c r="E874" s="19" t="s">
        <v>22</v>
      </c>
      <c r="F874" s="13" t="s">
        <v>23</v>
      </c>
      <c r="G874" s="22">
        <v>27000.0</v>
      </c>
      <c r="H874" s="22">
        <v>30000.0</v>
      </c>
      <c r="I874" s="22">
        <v>3000.0</v>
      </c>
      <c r="J874" s="46">
        <v>0.1111111111111111</v>
      </c>
    </row>
    <row r="875" ht="26.25" customHeight="1">
      <c r="A875" s="47" t="s">
        <v>2053</v>
      </c>
      <c r="B875" s="48" t="s">
        <v>1363</v>
      </c>
      <c r="C875" s="50" t="s">
        <v>2054</v>
      </c>
      <c r="D875" s="48" t="s">
        <v>2036</v>
      </c>
      <c r="E875" s="52" t="s">
        <v>22</v>
      </c>
      <c r="F875" s="48" t="s">
        <v>23</v>
      </c>
      <c r="G875" s="53">
        <v>33800.0</v>
      </c>
      <c r="H875" s="53">
        <v>37000.0</v>
      </c>
      <c r="I875" s="53">
        <v>3200.0</v>
      </c>
      <c r="J875" s="54">
        <v>0.09467455621301775</v>
      </c>
    </row>
    <row r="876" ht="26.25" customHeight="1">
      <c r="A876" s="11" t="s">
        <v>2055</v>
      </c>
      <c r="B876" s="13" t="s">
        <v>1363</v>
      </c>
      <c r="C876" s="16" t="s">
        <v>2056</v>
      </c>
      <c r="D876" s="13" t="s">
        <v>2036</v>
      </c>
      <c r="E876" s="19" t="s">
        <v>22</v>
      </c>
      <c r="F876" s="13" t="s">
        <v>23</v>
      </c>
      <c r="G876" s="22">
        <v>35000.0</v>
      </c>
      <c r="H876" s="22">
        <v>38000.0</v>
      </c>
      <c r="I876" s="22">
        <v>3000.0</v>
      </c>
      <c r="J876" s="46">
        <v>0.08571428571428572</v>
      </c>
    </row>
    <row r="877" ht="26.25" customHeight="1">
      <c r="A877" s="47" t="s">
        <v>2057</v>
      </c>
      <c r="B877" s="48" t="s">
        <v>1363</v>
      </c>
      <c r="C877" s="50" t="s">
        <v>2058</v>
      </c>
      <c r="D877" s="48" t="s">
        <v>2036</v>
      </c>
      <c r="E877" s="52" t="s">
        <v>22</v>
      </c>
      <c r="F877" s="48" t="s">
        <v>23</v>
      </c>
      <c r="G877" s="53">
        <v>40000.0</v>
      </c>
      <c r="H877" s="53">
        <v>43000.0</v>
      </c>
      <c r="I877" s="53">
        <v>3000.0</v>
      </c>
      <c r="J877" s="54">
        <v>0.075</v>
      </c>
    </row>
    <row r="878" ht="26.25" customHeight="1">
      <c r="A878" s="11" t="s">
        <v>2061</v>
      </c>
      <c r="B878" s="13" t="s">
        <v>1363</v>
      </c>
      <c r="C878" s="16" t="s">
        <v>2062</v>
      </c>
      <c r="D878" s="13" t="s">
        <v>2036</v>
      </c>
      <c r="E878" s="19" t="s">
        <v>22</v>
      </c>
      <c r="F878" s="13" t="s">
        <v>23</v>
      </c>
      <c r="G878" s="22">
        <v>42000.0</v>
      </c>
      <c r="H878" s="22">
        <v>45000.0</v>
      </c>
      <c r="I878" s="22">
        <v>3000.0</v>
      </c>
      <c r="J878" s="46">
        <v>0.07142857142857142</v>
      </c>
    </row>
    <row r="879" ht="26.25" customHeight="1">
      <c r="A879" s="47" t="s">
        <v>2063</v>
      </c>
      <c r="B879" s="48" t="s">
        <v>1363</v>
      </c>
      <c r="C879" s="50" t="s">
        <v>2064</v>
      </c>
      <c r="D879" s="48" t="s">
        <v>2036</v>
      </c>
      <c r="E879" s="52" t="s">
        <v>22</v>
      </c>
      <c r="F879" s="48" t="s">
        <v>23</v>
      </c>
      <c r="G879" s="53">
        <v>45200.0</v>
      </c>
      <c r="H879" s="53">
        <v>48000.0</v>
      </c>
      <c r="I879" s="53">
        <v>2800.0</v>
      </c>
      <c r="J879" s="54">
        <v>0.061946902654867256</v>
      </c>
    </row>
    <row r="880" ht="26.25" customHeight="1">
      <c r="A880" s="11" t="s">
        <v>2065</v>
      </c>
      <c r="B880" s="13" t="s">
        <v>1363</v>
      </c>
      <c r="C880" s="16" t="s">
        <v>2066</v>
      </c>
      <c r="D880" s="13" t="s">
        <v>2036</v>
      </c>
      <c r="E880" s="19" t="s">
        <v>22</v>
      </c>
      <c r="F880" s="13" t="s">
        <v>23</v>
      </c>
      <c r="G880" s="22">
        <v>51500.0</v>
      </c>
      <c r="H880" s="22">
        <v>55000.0</v>
      </c>
      <c r="I880" s="22">
        <v>3500.0</v>
      </c>
      <c r="J880" s="46">
        <v>0.06796116504854369</v>
      </c>
    </row>
    <row r="881" ht="26.25" customHeight="1">
      <c r="A881" s="47" t="s">
        <v>2067</v>
      </c>
      <c r="B881" s="48" t="s">
        <v>1363</v>
      </c>
      <c r="C881" s="50" t="s">
        <v>2068</v>
      </c>
      <c r="D881" s="48" t="s">
        <v>2036</v>
      </c>
      <c r="E881" s="52" t="s">
        <v>22</v>
      </c>
      <c r="F881" s="48" t="s">
        <v>23</v>
      </c>
      <c r="G881" s="53">
        <v>60100.0</v>
      </c>
      <c r="H881" s="53">
        <v>63000.0</v>
      </c>
      <c r="I881" s="53">
        <v>2900.0</v>
      </c>
      <c r="J881" s="54">
        <v>0.048252911813643926</v>
      </c>
    </row>
    <row r="882" ht="26.25" customHeight="1">
      <c r="A882" s="11" t="s">
        <v>2069</v>
      </c>
      <c r="B882" s="13" t="s">
        <v>1363</v>
      </c>
      <c r="C882" s="16" t="s">
        <v>2070</v>
      </c>
      <c r="D882" s="13" t="s">
        <v>2036</v>
      </c>
      <c r="E882" s="19" t="s">
        <v>22</v>
      </c>
      <c r="F882" s="13" t="s">
        <v>23</v>
      </c>
      <c r="G882" s="22">
        <v>63000.0</v>
      </c>
      <c r="H882" s="22">
        <v>66000.0</v>
      </c>
      <c r="I882" s="22">
        <v>3000.0</v>
      </c>
      <c r="J882" s="46">
        <v>0.047619047619047616</v>
      </c>
    </row>
    <row r="883" ht="26.25" customHeight="1">
      <c r="A883" s="47" t="s">
        <v>2071</v>
      </c>
      <c r="B883" s="48" t="s">
        <v>1363</v>
      </c>
      <c r="C883" s="50" t="s">
        <v>2072</v>
      </c>
      <c r="D883" s="48" t="s">
        <v>2036</v>
      </c>
      <c r="E883" s="52" t="s">
        <v>22</v>
      </c>
      <c r="F883" s="48" t="s">
        <v>23</v>
      </c>
      <c r="G883" s="53">
        <v>70500.0</v>
      </c>
      <c r="H883" s="53">
        <v>74000.0</v>
      </c>
      <c r="I883" s="53">
        <v>3500.0</v>
      </c>
      <c r="J883" s="54">
        <v>0.04964539007092199</v>
      </c>
    </row>
    <row r="884" ht="26.25" customHeight="1">
      <c r="A884" s="11" t="s">
        <v>2073</v>
      </c>
      <c r="B884" s="13" t="s">
        <v>1363</v>
      </c>
      <c r="C884" s="16" t="s">
        <v>2074</v>
      </c>
      <c r="D884" s="13" t="s">
        <v>2036</v>
      </c>
      <c r="E884" s="19" t="s">
        <v>22</v>
      </c>
      <c r="F884" s="13" t="s">
        <v>23</v>
      </c>
      <c r="G884" s="22">
        <v>77100.0</v>
      </c>
      <c r="H884" s="22">
        <v>80000.0</v>
      </c>
      <c r="I884" s="22">
        <v>2900.0</v>
      </c>
      <c r="J884" s="46">
        <v>0.03761348897535668</v>
      </c>
    </row>
    <row r="885" ht="26.25" customHeight="1">
      <c r="A885" s="47" t="s">
        <v>2075</v>
      </c>
      <c r="B885" s="48" t="s">
        <v>1363</v>
      </c>
      <c r="C885" s="50" t="s">
        <v>2076</v>
      </c>
      <c r="D885" s="48" t="s">
        <v>2036</v>
      </c>
      <c r="E885" s="52" t="s">
        <v>22</v>
      </c>
      <c r="F885" s="48" t="s">
        <v>23</v>
      </c>
      <c r="G885" s="53">
        <v>81000.0</v>
      </c>
      <c r="H885" s="53">
        <v>84000.0</v>
      </c>
      <c r="I885" s="53">
        <v>3000.0</v>
      </c>
      <c r="J885" s="54">
        <v>0.037037037037037035</v>
      </c>
    </row>
    <row r="886" ht="26.25" customHeight="1">
      <c r="A886" s="11" t="s">
        <v>2077</v>
      </c>
      <c r="B886" s="13" t="s">
        <v>1363</v>
      </c>
      <c r="C886" s="16" t="s">
        <v>2078</v>
      </c>
      <c r="D886" s="13" t="s">
        <v>2036</v>
      </c>
      <c r="E886" s="19" t="s">
        <v>22</v>
      </c>
      <c r="F886" s="13" t="s">
        <v>23</v>
      </c>
      <c r="G886" s="22">
        <v>100100.0</v>
      </c>
      <c r="H886" s="22">
        <v>105000.0</v>
      </c>
      <c r="I886" s="22">
        <v>4900.0</v>
      </c>
      <c r="J886" s="46">
        <v>0.04895104895104895</v>
      </c>
    </row>
    <row r="887" ht="26.25" customHeight="1">
      <c r="A887" s="47" t="s">
        <v>2080</v>
      </c>
      <c r="B887" s="48" t="s">
        <v>1363</v>
      </c>
      <c r="C887" s="50" t="s">
        <v>2081</v>
      </c>
      <c r="D887" s="48" t="s">
        <v>2082</v>
      </c>
      <c r="E887" s="52" t="s">
        <v>22</v>
      </c>
      <c r="F887" s="48" t="s">
        <v>23</v>
      </c>
      <c r="G887" s="53">
        <v>1.0</v>
      </c>
      <c r="H887" s="53">
        <v>1.0</v>
      </c>
      <c r="I887" s="53">
        <v>0.0</v>
      </c>
      <c r="J887" s="54">
        <v>0.0</v>
      </c>
    </row>
    <row r="888" ht="26.25" customHeight="1">
      <c r="A888" s="11" t="s">
        <v>2084</v>
      </c>
      <c r="B888" s="13" t="s">
        <v>1363</v>
      </c>
      <c r="C888" s="16" t="s">
        <v>2085</v>
      </c>
      <c r="D888" s="13" t="s">
        <v>2082</v>
      </c>
      <c r="E888" s="19" t="s">
        <v>22</v>
      </c>
      <c r="F888" s="13" t="s">
        <v>23</v>
      </c>
      <c r="G888" s="22">
        <v>1.0</v>
      </c>
      <c r="H888" s="22">
        <v>1.0</v>
      </c>
      <c r="I888" s="22">
        <v>0.0</v>
      </c>
      <c r="J888" s="46">
        <v>0.0</v>
      </c>
    </row>
    <row r="889" ht="26.25" customHeight="1">
      <c r="A889" s="47" t="s">
        <v>2086</v>
      </c>
      <c r="B889" s="48" t="s">
        <v>1363</v>
      </c>
      <c r="C889" s="50" t="s">
        <v>2087</v>
      </c>
      <c r="D889" s="48" t="s">
        <v>2082</v>
      </c>
      <c r="E889" s="52" t="s">
        <v>22</v>
      </c>
      <c r="F889" s="48" t="s">
        <v>23</v>
      </c>
      <c r="G889" s="53">
        <v>1.0</v>
      </c>
      <c r="H889" s="53">
        <v>1.0</v>
      </c>
      <c r="I889" s="53">
        <v>0.0</v>
      </c>
      <c r="J889" s="54">
        <v>0.0</v>
      </c>
    </row>
    <row r="890" ht="26.25" customHeight="1">
      <c r="A890" s="11" t="s">
        <v>2088</v>
      </c>
      <c r="B890" s="13" t="s">
        <v>1363</v>
      </c>
      <c r="C890" s="16" t="s">
        <v>2089</v>
      </c>
      <c r="D890" s="13" t="s">
        <v>2082</v>
      </c>
      <c r="E890" s="19" t="s">
        <v>22</v>
      </c>
      <c r="F890" s="13" t="s">
        <v>23</v>
      </c>
      <c r="G890" s="22">
        <v>1.0</v>
      </c>
      <c r="H890" s="22">
        <v>1.0</v>
      </c>
      <c r="I890" s="22">
        <v>0.0</v>
      </c>
      <c r="J890" s="46">
        <v>0.0</v>
      </c>
    </row>
    <row r="891" ht="26.25" customHeight="1">
      <c r="A891" s="47" t="s">
        <v>2090</v>
      </c>
      <c r="B891" s="48" t="s">
        <v>1363</v>
      </c>
      <c r="C891" s="50" t="s">
        <v>2091</v>
      </c>
      <c r="D891" s="48" t="s">
        <v>2082</v>
      </c>
      <c r="E891" s="52" t="s">
        <v>22</v>
      </c>
      <c r="F891" s="48" t="s">
        <v>23</v>
      </c>
      <c r="G891" s="53">
        <v>1.0</v>
      </c>
      <c r="H891" s="53">
        <v>1.0</v>
      </c>
      <c r="I891" s="53">
        <v>0.0</v>
      </c>
      <c r="J891" s="54">
        <v>0.0</v>
      </c>
    </row>
    <row r="892" ht="26.25" customHeight="1">
      <c r="A892" s="11" t="s">
        <v>2092</v>
      </c>
      <c r="B892" s="13" t="s">
        <v>1363</v>
      </c>
      <c r="C892" s="16" t="s">
        <v>2093</v>
      </c>
      <c r="D892" s="13" t="s">
        <v>2082</v>
      </c>
      <c r="E892" s="19" t="s">
        <v>22</v>
      </c>
      <c r="F892" s="13" t="s">
        <v>23</v>
      </c>
      <c r="G892" s="22">
        <v>1.0</v>
      </c>
      <c r="H892" s="22">
        <v>1.0</v>
      </c>
      <c r="I892" s="22">
        <v>0.0</v>
      </c>
      <c r="J892" s="46">
        <v>0.0</v>
      </c>
    </row>
    <row r="893" ht="26.25" customHeight="1">
      <c r="A893" s="47" t="s">
        <v>2094</v>
      </c>
      <c r="B893" s="48" t="s">
        <v>1363</v>
      </c>
      <c r="C893" s="50" t="s">
        <v>2095</v>
      </c>
      <c r="D893" s="48" t="s">
        <v>2082</v>
      </c>
      <c r="E893" s="52" t="s">
        <v>22</v>
      </c>
      <c r="F893" s="48" t="s">
        <v>23</v>
      </c>
      <c r="G893" s="53">
        <v>1.0</v>
      </c>
      <c r="H893" s="53">
        <v>1.0</v>
      </c>
      <c r="I893" s="53">
        <v>0.0</v>
      </c>
      <c r="J893" s="54">
        <v>0.0</v>
      </c>
    </row>
    <row r="894" ht="26.25" customHeight="1">
      <c r="A894" s="11" t="s">
        <v>2096</v>
      </c>
      <c r="B894" s="13" t="s">
        <v>1363</v>
      </c>
      <c r="C894" s="16" t="s">
        <v>2097</v>
      </c>
      <c r="D894" s="13" t="s">
        <v>2082</v>
      </c>
      <c r="E894" s="19" t="s">
        <v>22</v>
      </c>
      <c r="F894" s="13" t="s">
        <v>23</v>
      </c>
      <c r="G894" s="22">
        <v>1.0</v>
      </c>
      <c r="H894" s="22">
        <v>1.0</v>
      </c>
      <c r="I894" s="22">
        <v>0.0</v>
      </c>
      <c r="J894" s="46">
        <v>0.0</v>
      </c>
    </row>
    <row r="895" ht="26.25" customHeight="1">
      <c r="A895" s="47" t="s">
        <v>2098</v>
      </c>
      <c r="B895" s="48" t="s">
        <v>1363</v>
      </c>
      <c r="C895" s="50" t="s">
        <v>2099</v>
      </c>
      <c r="D895" s="48" t="s">
        <v>2082</v>
      </c>
      <c r="E895" s="52" t="s">
        <v>22</v>
      </c>
      <c r="F895" s="48" t="s">
        <v>23</v>
      </c>
      <c r="G895" s="53">
        <v>1.0</v>
      </c>
      <c r="H895" s="53">
        <v>1.0</v>
      </c>
      <c r="I895" s="53">
        <v>0.0</v>
      </c>
      <c r="J895" s="54">
        <v>0.0</v>
      </c>
    </row>
    <row r="896" ht="26.25" customHeight="1">
      <c r="A896" s="11" t="s">
        <v>2100</v>
      </c>
      <c r="B896" s="13" t="s">
        <v>1363</v>
      </c>
      <c r="C896" s="16" t="s">
        <v>2101</v>
      </c>
      <c r="D896" s="13" t="s">
        <v>2082</v>
      </c>
      <c r="E896" s="19" t="s">
        <v>22</v>
      </c>
      <c r="F896" s="13" t="s">
        <v>23</v>
      </c>
      <c r="G896" s="22">
        <v>1.0</v>
      </c>
      <c r="H896" s="22">
        <v>1.0</v>
      </c>
      <c r="I896" s="22">
        <v>0.0</v>
      </c>
      <c r="J896" s="46">
        <v>0.0</v>
      </c>
    </row>
    <row r="897" ht="26.25" customHeight="1">
      <c r="A897" s="47" t="s">
        <v>2102</v>
      </c>
      <c r="B897" s="48" t="s">
        <v>1363</v>
      </c>
      <c r="C897" s="50" t="s">
        <v>2103</v>
      </c>
      <c r="D897" s="48" t="s">
        <v>2082</v>
      </c>
      <c r="E897" s="52" t="s">
        <v>22</v>
      </c>
      <c r="F897" s="48" t="s">
        <v>23</v>
      </c>
      <c r="G897" s="53">
        <v>1.0</v>
      </c>
      <c r="H897" s="53">
        <v>1.0</v>
      </c>
      <c r="I897" s="53">
        <v>0.0</v>
      </c>
      <c r="J897" s="54">
        <v>0.0</v>
      </c>
    </row>
    <row r="898" ht="26.25" customHeight="1">
      <c r="A898" s="11" t="s">
        <v>2105</v>
      </c>
      <c r="B898" s="13" t="s">
        <v>1363</v>
      </c>
      <c r="C898" s="16" t="s">
        <v>2106</v>
      </c>
      <c r="D898" s="13" t="s">
        <v>2082</v>
      </c>
      <c r="E898" s="19" t="s">
        <v>22</v>
      </c>
      <c r="F898" s="13" t="s">
        <v>23</v>
      </c>
      <c r="G898" s="22">
        <v>1.0</v>
      </c>
      <c r="H898" s="22">
        <v>1.0</v>
      </c>
      <c r="I898" s="22">
        <v>0.0</v>
      </c>
      <c r="J898" s="46">
        <v>0.0</v>
      </c>
    </row>
    <row r="899" ht="26.25" customHeight="1">
      <c r="A899" s="47" t="s">
        <v>2108</v>
      </c>
      <c r="B899" s="48" t="s">
        <v>1363</v>
      </c>
      <c r="C899" s="50" t="s">
        <v>2109</v>
      </c>
      <c r="D899" s="48" t="s">
        <v>2082</v>
      </c>
      <c r="E899" s="52" t="s">
        <v>22</v>
      </c>
      <c r="F899" s="48" t="s">
        <v>23</v>
      </c>
      <c r="G899" s="53">
        <v>1.0</v>
      </c>
      <c r="H899" s="53">
        <v>1.0</v>
      </c>
      <c r="I899" s="53">
        <v>0.0</v>
      </c>
      <c r="J899" s="54">
        <v>0.0</v>
      </c>
    </row>
    <row r="900" ht="26.25" customHeight="1">
      <c r="A900" s="11" t="s">
        <v>2110</v>
      </c>
      <c r="B900" s="13" t="s">
        <v>1363</v>
      </c>
      <c r="C900" s="16" t="s">
        <v>2111</v>
      </c>
      <c r="D900" s="13" t="s">
        <v>1020</v>
      </c>
      <c r="E900" s="19" t="s">
        <v>22</v>
      </c>
      <c r="F900" s="13" t="s">
        <v>23</v>
      </c>
      <c r="G900" s="22">
        <v>33850.0</v>
      </c>
      <c r="H900" s="22">
        <v>37000.0</v>
      </c>
      <c r="I900" s="22">
        <v>3150.0</v>
      </c>
      <c r="J900" s="46">
        <v>0.0930576070901034</v>
      </c>
    </row>
    <row r="901" ht="26.25" customHeight="1">
      <c r="A901" s="47" t="s">
        <v>2112</v>
      </c>
      <c r="B901" s="48" t="s">
        <v>1363</v>
      </c>
      <c r="C901" s="50" t="s">
        <v>2113</v>
      </c>
      <c r="D901" s="48" t="s">
        <v>1020</v>
      </c>
      <c r="E901" s="52" t="s">
        <v>22</v>
      </c>
      <c r="F901" s="48" t="s">
        <v>23</v>
      </c>
      <c r="G901" s="53">
        <v>43750.0</v>
      </c>
      <c r="H901" s="53">
        <v>47000.0</v>
      </c>
      <c r="I901" s="53">
        <v>3250.0</v>
      </c>
      <c r="J901" s="54">
        <v>0.07428571428571429</v>
      </c>
    </row>
    <row r="902" ht="26.25" customHeight="1">
      <c r="A902" s="11" t="s">
        <v>2114</v>
      </c>
      <c r="B902" s="13" t="s">
        <v>1363</v>
      </c>
      <c r="C902" s="16" t="s">
        <v>2115</v>
      </c>
      <c r="D902" s="13" t="s">
        <v>1020</v>
      </c>
      <c r="E902" s="19" t="s">
        <v>22</v>
      </c>
      <c r="F902" s="13" t="s">
        <v>23</v>
      </c>
      <c r="G902" s="22">
        <v>45500.0</v>
      </c>
      <c r="H902" s="22">
        <v>48000.0</v>
      </c>
      <c r="I902" s="22">
        <v>2500.0</v>
      </c>
      <c r="J902" s="46">
        <v>0.054945054945054944</v>
      </c>
    </row>
    <row r="903" ht="26.25" customHeight="1">
      <c r="A903" s="47" t="s">
        <v>2116</v>
      </c>
      <c r="B903" s="48" t="s">
        <v>1363</v>
      </c>
      <c r="C903" s="50" t="s">
        <v>2117</v>
      </c>
      <c r="D903" s="48" t="s">
        <v>1020</v>
      </c>
      <c r="E903" s="52" t="s">
        <v>22</v>
      </c>
      <c r="F903" s="48" t="s">
        <v>23</v>
      </c>
      <c r="G903" s="53">
        <v>70500.0</v>
      </c>
      <c r="H903" s="53">
        <v>73000.0</v>
      </c>
      <c r="I903" s="53">
        <v>2500.0</v>
      </c>
      <c r="J903" s="54">
        <v>0.03546099290780142</v>
      </c>
    </row>
    <row r="904" ht="26.25" customHeight="1">
      <c r="A904" s="11" t="s">
        <v>2119</v>
      </c>
      <c r="B904" s="13" t="s">
        <v>1363</v>
      </c>
      <c r="C904" s="16" t="s">
        <v>2121</v>
      </c>
      <c r="D904" s="13" t="s">
        <v>1020</v>
      </c>
      <c r="E904" s="19" t="s">
        <v>22</v>
      </c>
      <c r="F904" s="13" t="s">
        <v>23</v>
      </c>
      <c r="G904" s="22">
        <v>70175.0</v>
      </c>
      <c r="H904" s="22">
        <v>74000.0</v>
      </c>
      <c r="I904" s="22">
        <v>3825.0</v>
      </c>
      <c r="J904" s="46">
        <v>0.054506590666191665</v>
      </c>
    </row>
    <row r="905" ht="26.25" customHeight="1">
      <c r="A905" s="47" t="s">
        <v>2122</v>
      </c>
      <c r="B905" s="48" t="s">
        <v>1363</v>
      </c>
      <c r="C905" s="50" t="s">
        <v>2123</v>
      </c>
      <c r="D905" s="48" t="s">
        <v>1020</v>
      </c>
      <c r="E905" s="52" t="s">
        <v>22</v>
      </c>
      <c r="F905" s="48" t="s">
        <v>23</v>
      </c>
      <c r="G905" s="53">
        <v>73600.0</v>
      </c>
      <c r="H905" s="53">
        <v>77000.0</v>
      </c>
      <c r="I905" s="53">
        <v>3400.0</v>
      </c>
      <c r="J905" s="54">
        <v>0.04619565217391304</v>
      </c>
    </row>
    <row r="906" ht="26.25" customHeight="1">
      <c r="A906" s="11" t="s">
        <v>2124</v>
      </c>
      <c r="B906" s="13" t="s">
        <v>1363</v>
      </c>
      <c r="C906" s="16" t="s">
        <v>2125</v>
      </c>
      <c r="D906" s="13" t="s">
        <v>1020</v>
      </c>
      <c r="E906" s="19" t="s">
        <v>22</v>
      </c>
      <c r="F906" s="13" t="s">
        <v>23</v>
      </c>
      <c r="G906" s="22">
        <v>74150.0</v>
      </c>
      <c r="H906" s="22">
        <v>78000.0</v>
      </c>
      <c r="I906" s="22">
        <v>3850.0</v>
      </c>
      <c r="J906" s="46">
        <v>0.051921780175320294</v>
      </c>
    </row>
    <row r="907" ht="26.25" customHeight="1">
      <c r="A907" s="47" t="s">
        <v>2126</v>
      </c>
      <c r="B907" s="48" t="s">
        <v>1363</v>
      </c>
      <c r="C907" s="50" t="s">
        <v>2127</v>
      </c>
      <c r="D907" s="48" t="s">
        <v>1020</v>
      </c>
      <c r="E907" s="52" t="s">
        <v>22</v>
      </c>
      <c r="F907" s="48" t="s">
        <v>23</v>
      </c>
      <c r="G907" s="53">
        <v>97100.0</v>
      </c>
      <c r="H907" s="53">
        <v>102000.0</v>
      </c>
      <c r="I907" s="53">
        <v>4900.0</v>
      </c>
      <c r="J907" s="54">
        <v>0.05046343975283213</v>
      </c>
    </row>
    <row r="908" ht="26.25" customHeight="1">
      <c r="A908" s="11" t="s">
        <v>2128</v>
      </c>
      <c r="B908" s="13" t="s">
        <v>1363</v>
      </c>
      <c r="C908" s="16" t="s">
        <v>2129</v>
      </c>
      <c r="D908" s="13" t="s">
        <v>1020</v>
      </c>
      <c r="E908" s="19" t="s">
        <v>22</v>
      </c>
      <c r="F908" s="13" t="s">
        <v>23</v>
      </c>
      <c r="G908" s="22">
        <v>7305.0</v>
      </c>
      <c r="H908" s="22">
        <v>10000.0</v>
      </c>
      <c r="I908" s="22">
        <v>2695.0</v>
      </c>
      <c r="J908" s="46">
        <v>0.36892539356605064</v>
      </c>
    </row>
    <row r="909" ht="26.25" customHeight="1">
      <c r="A909" s="47" t="s">
        <v>2130</v>
      </c>
      <c r="B909" s="48" t="s">
        <v>1363</v>
      </c>
      <c r="C909" s="50" t="s">
        <v>2131</v>
      </c>
      <c r="D909" s="48" t="s">
        <v>1020</v>
      </c>
      <c r="E909" s="52" t="s">
        <v>22</v>
      </c>
      <c r="F909" s="48" t="s">
        <v>23</v>
      </c>
      <c r="G909" s="53">
        <v>10080.0</v>
      </c>
      <c r="H909" s="53">
        <v>12500.0</v>
      </c>
      <c r="I909" s="53">
        <v>2420.0</v>
      </c>
      <c r="J909" s="54">
        <v>0.2400793650793651</v>
      </c>
    </row>
    <row r="910" ht="26.25" customHeight="1">
      <c r="A910" s="11" t="s">
        <v>2132</v>
      </c>
      <c r="B910" s="13" t="s">
        <v>1363</v>
      </c>
      <c r="C910" s="16" t="s">
        <v>2133</v>
      </c>
      <c r="D910" s="13" t="s">
        <v>1020</v>
      </c>
      <c r="E910" s="19" t="s">
        <v>22</v>
      </c>
      <c r="F910" s="13" t="s">
        <v>23</v>
      </c>
      <c r="G910" s="22">
        <v>8955.0</v>
      </c>
      <c r="H910" s="22">
        <v>12500.0</v>
      </c>
      <c r="I910" s="22">
        <v>3545.0</v>
      </c>
      <c r="J910" s="46">
        <v>0.39586823003908433</v>
      </c>
    </row>
    <row r="911" ht="26.25" customHeight="1">
      <c r="A911" s="47" t="s">
        <v>2134</v>
      </c>
      <c r="B911" s="48" t="s">
        <v>1363</v>
      </c>
      <c r="C911" s="50" t="s">
        <v>2135</v>
      </c>
      <c r="D911" s="48" t="s">
        <v>1020</v>
      </c>
      <c r="E911" s="52" t="s">
        <v>22</v>
      </c>
      <c r="F911" s="48" t="s">
        <v>23</v>
      </c>
      <c r="G911" s="53">
        <v>10210.0</v>
      </c>
      <c r="H911" s="53">
        <v>13500.0</v>
      </c>
      <c r="I911" s="53">
        <v>3290.0</v>
      </c>
      <c r="J911" s="54">
        <v>0.32223310479921646</v>
      </c>
    </row>
    <row r="912" ht="26.25" customHeight="1">
      <c r="A912" s="11" t="s">
        <v>2136</v>
      </c>
      <c r="B912" s="13" t="s">
        <v>1363</v>
      </c>
      <c r="C912" s="16" t="s">
        <v>2137</v>
      </c>
      <c r="D912" s="13" t="s">
        <v>1020</v>
      </c>
      <c r="E912" s="19" t="s">
        <v>22</v>
      </c>
      <c r="F912" s="13" t="s">
        <v>23</v>
      </c>
      <c r="G912" s="22">
        <v>12300.0</v>
      </c>
      <c r="H912" s="22">
        <v>15000.0</v>
      </c>
      <c r="I912" s="22">
        <v>2700.0</v>
      </c>
      <c r="J912" s="46">
        <v>0.21951219512195122</v>
      </c>
    </row>
    <row r="913" ht="26.25" customHeight="1">
      <c r="A913" s="47" t="s">
        <v>2140</v>
      </c>
      <c r="B913" s="48" t="s">
        <v>1363</v>
      </c>
      <c r="C913" s="50" t="s">
        <v>2141</v>
      </c>
      <c r="D913" s="48" t="s">
        <v>1020</v>
      </c>
      <c r="E913" s="52" t="s">
        <v>22</v>
      </c>
      <c r="F913" s="48" t="s">
        <v>23</v>
      </c>
      <c r="G913" s="53">
        <v>14100.0</v>
      </c>
      <c r="H913" s="53">
        <v>17000.0</v>
      </c>
      <c r="I913" s="53">
        <v>2900.0</v>
      </c>
      <c r="J913" s="54">
        <v>0.20567375886524822</v>
      </c>
    </row>
    <row r="914" ht="26.25" customHeight="1">
      <c r="A914" s="11" t="s">
        <v>2142</v>
      </c>
      <c r="B914" s="13" t="s">
        <v>1363</v>
      </c>
      <c r="C914" s="16" t="s">
        <v>2143</v>
      </c>
      <c r="D914" s="13" t="s">
        <v>1020</v>
      </c>
      <c r="E914" s="19" t="s">
        <v>22</v>
      </c>
      <c r="F914" s="13" t="s">
        <v>23</v>
      </c>
      <c r="G914" s="22">
        <v>15404.0</v>
      </c>
      <c r="H914" s="22">
        <v>18000.0</v>
      </c>
      <c r="I914" s="22">
        <v>2596.0</v>
      </c>
      <c r="J914" s="46">
        <v>0.16852765515450532</v>
      </c>
    </row>
    <row r="915" ht="26.25" customHeight="1">
      <c r="A915" s="47" t="s">
        <v>2144</v>
      </c>
      <c r="B915" s="48" t="s">
        <v>1363</v>
      </c>
      <c r="C915" s="50" t="s">
        <v>2145</v>
      </c>
      <c r="D915" s="48" t="s">
        <v>1020</v>
      </c>
      <c r="E915" s="52" t="s">
        <v>22</v>
      </c>
      <c r="F915" s="48" t="s">
        <v>23</v>
      </c>
      <c r="G915" s="53">
        <v>16750.0</v>
      </c>
      <c r="H915" s="53">
        <v>19000.0</v>
      </c>
      <c r="I915" s="53">
        <v>2250.0</v>
      </c>
      <c r="J915" s="54">
        <v>0.13432835820895522</v>
      </c>
    </row>
    <row r="916" ht="26.25" customHeight="1">
      <c r="A916" s="11" t="s">
        <v>2146</v>
      </c>
      <c r="B916" s="13" t="s">
        <v>1363</v>
      </c>
      <c r="C916" s="16" t="s">
        <v>2147</v>
      </c>
      <c r="D916" s="13" t="s">
        <v>1020</v>
      </c>
      <c r="E916" s="19" t="s">
        <v>22</v>
      </c>
      <c r="F916" s="13" t="s">
        <v>23</v>
      </c>
      <c r="G916" s="22">
        <v>18036.0</v>
      </c>
      <c r="H916" s="22">
        <v>21000.0</v>
      </c>
      <c r="I916" s="22">
        <v>2964.0</v>
      </c>
      <c r="J916" s="46">
        <v>0.1643379906852961</v>
      </c>
    </row>
    <row r="917" ht="26.25" customHeight="1">
      <c r="A917" s="47" t="s">
        <v>2148</v>
      </c>
      <c r="B917" s="48" t="s">
        <v>1363</v>
      </c>
      <c r="C917" s="50" t="s">
        <v>2149</v>
      </c>
      <c r="D917" s="48" t="s">
        <v>1020</v>
      </c>
      <c r="E917" s="52" t="s">
        <v>22</v>
      </c>
      <c r="F917" s="48" t="s">
        <v>23</v>
      </c>
      <c r="G917" s="53">
        <v>19050.0</v>
      </c>
      <c r="H917" s="53">
        <v>22000.0</v>
      </c>
      <c r="I917" s="53">
        <v>2950.0</v>
      </c>
      <c r="J917" s="54">
        <v>0.15485564304461943</v>
      </c>
    </row>
    <row r="918" ht="26.25" customHeight="1">
      <c r="A918" s="11" t="s">
        <v>2150</v>
      </c>
      <c r="B918" s="13" t="s">
        <v>1363</v>
      </c>
      <c r="C918" s="16" t="s">
        <v>2151</v>
      </c>
      <c r="D918" s="13" t="s">
        <v>1020</v>
      </c>
      <c r="E918" s="19" t="s">
        <v>22</v>
      </c>
      <c r="F918" s="13" t="s">
        <v>23</v>
      </c>
      <c r="G918" s="22">
        <v>34710.0</v>
      </c>
      <c r="H918" s="22">
        <v>37000.0</v>
      </c>
      <c r="I918" s="22">
        <v>2290.0</v>
      </c>
      <c r="J918" s="46">
        <v>0.06597522327859406</v>
      </c>
    </row>
    <row r="919" ht="26.25" customHeight="1">
      <c r="A919" s="47" t="s">
        <v>2152</v>
      </c>
      <c r="B919" s="48" t="s">
        <v>1363</v>
      </c>
      <c r="C919" s="50" t="s">
        <v>2153</v>
      </c>
      <c r="D919" s="48" t="s">
        <v>1020</v>
      </c>
      <c r="E919" s="52" t="s">
        <v>22</v>
      </c>
      <c r="F919" s="48" t="s">
        <v>23</v>
      </c>
      <c r="G919" s="53">
        <v>17275.0</v>
      </c>
      <c r="H919" s="53">
        <v>20000.0</v>
      </c>
      <c r="I919" s="53">
        <v>2725.0</v>
      </c>
      <c r="J919" s="54">
        <v>0.1577424023154848</v>
      </c>
    </row>
    <row r="920" ht="26.25" customHeight="1">
      <c r="A920" s="11" t="s">
        <v>2154</v>
      </c>
      <c r="B920" s="13" t="s">
        <v>1363</v>
      </c>
      <c r="C920" s="16" t="s">
        <v>2155</v>
      </c>
      <c r="D920" s="13" t="s">
        <v>1020</v>
      </c>
      <c r="E920" s="19" t="s">
        <v>22</v>
      </c>
      <c r="F920" s="13" t="s">
        <v>23</v>
      </c>
      <c r="G920" s="22">
        <v>17125.0</v>
      </c>
      <c r="H920" s="22">
        <v>21000.0</v>
      </c>
      <c r="I920" s="22">
        <v>3875.0</v>
      </c>
      <c r="J920" s="46">
        <v>0.22627737226277372</v>
      </c>
    </row>
    <row r="921" ht="26.25" customHeight="1">
      <c r="A921" s="47" t="s">
        <v>2156</v>
      </c>
      <c r="B921" s="48" t="s">
        <v>1363</v>
      </c>
      <c r="C921" s="50" t="s">
        <v>2158</v>
      </c>
      <c r="D921" s="48" t="s">
        <v>1020</v>
      </c>
      <c r="E921" s="52" t="s">
        <v>22</v>
      </c>
      <c r="F921" s="48" t="s">
        <v>23</v>
      </c>
      <c r="G921" s="53">
        <v>16334.0</v>
      </c>
      <c r="H921" s="53">
        <v>22000.0</v>
      </c>
      <c r="I921" s="53">
        <v>5666.0</v>
      </c>
      <c r="J921" s="54">
        <v>0.3468838006611975</v>
      </c>
    </row>
    <row r="922" ht="26.25" customHeight="1">
      <c r="A922" s="11" t="s">
        <v>2160</v>
      </c>
      <c r="B922" s="13" t="s">
        <v>1363</v>
      </c>
      <c r="C922" s="16" t="s">
        <v>2161</v>
      </c>
      <c r="D922" s="13" t="s">
        <v>1020</v>
      </c>
      <c r="E922" s="19" t="s">
        <v>22</v>
      </c>
      <c r="F922" s="13" t="s">
        <v>23</v>
      </c>
      <c r="G922" s="22">
        <v>23325.0</v>
      </c>
      <c r="H922" s="22">
        <v>25000.0</v>
      </c>
      <c r="I922" s="22">
        <v>1675.0</v>
      </c>
      <c r="J922" s="46">
        <v>0.07181136120042872</v>
      </c>
    </row>
    <row r="923" ht="26.25" customHeight="1">
      <c r="A923" s="47" t="s">
        <v>2162</v>
      </c>
      <c r="B923" s="48" t="s">
        <v>1363</v>
      </c>
      <c r="C923" s="50" t="s">
        <v>2163</v>
      </c>
      <c r="D923" s="48" t="s">
        <v>1020</v>
      </c>
      <c r="E923" s="52" t="s">
        <v>22</v>
      </c>
      <c r="F923" s="48" t="s">
        <v>23</v>
      </c>
      <c r="G923" s="53">
        <v>23600.0</v>
      </c>
      <c r="H923" s="53">
        <v>26000.0</v>
      </c>
      <c r="I923" s="53">
        <v>2400.0</v>
      </c>
      <c r="J923" s="54">
        <v>0.1016949152542373</v>
      </c>
    </row>
    <row r="924" ht="26.25" customHeight="1">
      <c r="A924" s="11" t="s">
        <v>2164</v>
      </c>
      <c r="B924" s="13" t="s">
        <v>1363</v>
      </c>
      <c r="C924" s="16" t="s">
        <v>2165</v>
      </c>
      <c r="D924" s="13" t="s">
        <v>1020</v>
      </c>
      <c r="E924" s="19" t="s">
        <v>22</v>
      </c>
      <c r="F924" s="13" t="s">
        <v>23</v>
      </c>
      <c r="G924" s="22">
        <v>23700.0</v>
      </c>
      <c r="H924" s="22">
        <v>27000.0</v>
      </c>
      <c r="I924" s="22">
        <v>3300.0</v>
      </c>
      <c r="J924" s="46">
        <v>0.13924050632911392</v>
      </c>
    </row>
    <row r="925" ht="26.25" customHeight="1">
      <c r="A925" s="47" t="s">
        <v>2166</v>
      </c>
      <c r="B925" s="48" t="s">
        <v>1363</v>
      </c>
      <c r="C925" s="50" t="s">
        <v>2167</v>
      </c>
      <c r="D925" s="48" t="s">
        <v>1020</v>
      </c>
      <c r="E925" s="52" t="s">
        <v>22</v>
      </c>
      <c r="F925" s="48" t="s">
        <v>23</v>
      </c>
      <c r="G925" s="53">
        <v>23494.0</v>
      </c>
      <c r="H925" s="53">
        <v>27000.0</v>
      </c>
      <c r="I925" s="53">
        <v>3506.0</v>
      </c>
      <c r="J925" s="54">
        <v>0.1492295905337533</v>
      </c>
    </row>
    <row r="926" ht="26.25" customHeight="1">
      <c r="A926" s="11" t="s">
        <v>2168</v>
      </c>
      <c r="B926" s="13" t="s">
        <v>1363</v>
      </c>
      <c r="C926" s="16" t="s">
        <v>2169</v>
      </c>
      <c r="D926" s="13" t="s">
        <v>1020</v>
      </c>
      <c r="E926" s="19" t="s">
        <v>22</v>
      </c>
      <c r="F926" s="13" t="s">
        <v>23</v>
      </c>
      <c r="G926" s="22">
        <v>24150.0</v>
      </c>
      <c r="H926" s="22">
        <v>29000.0</v>
      </c>
      <c r="I926" s="22">
        <v>4850.0</v>
      </c>
      <c r="J926" s="46">
        <v>0.20082815734989648</v>
      </c>
    </row>
    <row r="927" ht="26.25" customHeight="1">
      <c r="A927" s="47" t="s">
        <v>2170</v>
      </c>
      <c r="B927" s="48" t="s">
        <v>1363</v>
      </c>
      <c r="C927" s="50" t="s">
        <v>2171</v>
      </c>
      <c r="D927" s="48" t="s">
        <v>1020</v>
      </c>
      <c r="E927" s="52" t="s">
        <v>22</v>
      </c>
      <c r="F927" s="48" t="s">
        <v>23</v>
      </c>
      <c r="G927" s="53">
        <v>5230.0</v>
      </c>
      <c r="H927" s="53">
        <v>7500.0</v>
      </c>
      <c r="I927" s="53">
        <v>2270.0</v>
      </c>
      <c r="J927" s="54">
        <v>0.4340344168260038</v>
      </c>
    </row>
    <row r="928" ht="26.25" customHeight="1">
      <c r="A928" s="11" t="s">
        <v>2172</v>
      </c>
      <c r="B928" s="13" t="s">
        <v>1363</v>
      </c>
      <c r="C928" s="16" t="s">
        <v>2173</v>
      </c>
      <c r="D928" s="13" t="s">
        <v>1020</v>
      </c>
      <c r="E928" s="19" t="s">
        <v>22</v>
      </c>
      <c r="F928" s="13" t="s">
        <v>23</v>
      </c>
      <c r="G928" s="22">
        <v>10140.0</v>
      </c>
      <c r="H928" s="22">
        <v>12500.0</v>
      </c>
      <c r="I928" s="22">
        <v>2360.0</v>
      </c>
      <c r="J928" s="46">
        <v>0.23274161735700197</v>
      </c>
    </row>
    <row r="929" ht="26.25" customHeight="1">
      <c r="A929" s="47" t="s">
        <v>2175</v>
      </c>
      <c r="B929" s="48" t="s">
        <v>1363</v>
      </c>
      <c r="C929" s="50" t="s">
        <v>2176</v>
      </c>
      <c r="D929" s="48" t="s">
        <v>1020</v>
      </c>
      <c r="E929" s="52" t="s">
        <v>22</v>
      </c>
      <c r="F929" s="48" t="s">
        <v>23</v>
      </c>
      <c r="G929" s="53">
        <v>14970.0</v>
      </c>
      <c r="H929" s="53">
        <v>17000.0</v>
      </c>
      <c r="I929" s="53">
        <v>2030.0</v>
      </c>
      <c r="J929" s="54">
        <v>0.13560454241816966</v>
      </c>
    </row>
    <row r="930" ht="26.25" customHeight="1">
      <c r="A930" s="11" t="s">
        <v>2178</v>
      </c>
      <c r="B930" s="13" t="s">
        <v>1363</v>
      </c>
      <c r="C930" s="16" t="s">
        <v>2179</v>
      </c>
      <c r="D930" s="13" t="s">
        <v>1020</v>
      </c>
      <c r="E930" s="19" t="s">
        <v>22</v>
      </c>
      <c r="F930" s="13" t="s">
        <v>23</v>
      </c>
      <c r="G930" s="22">
        <v>24800.0</v>
      </c>
      <c r="H930" s="22">
        <v>27000.0</v>
      </c>
      <c r="I930" s="22">
        <v>2200.0</v>
      </c>
      <c r="J930" s="46">
        <v>0.08870967741935484</v>
      </c>
    </row>
    <row r="931" ht="26.25" customHeight="1">
      <c r="A931" s="47" t="s">
        <v>2180</v>
      </c>
      <c r="B931" s="48" t="s">
        <v>1363</v>
      </c>
      <c r="C931" s="50" t="s">
        <v>2181</v>
      </c>
      <c r="D931" s="48" t="s">
        <v>1020</v>
      </c>
      <c r="E931" s="52" t="s">
        <v>22</v>
      </c>
      <c r="F931" s="48" t="s">
        <v>23</v>
      </c>
      <c r="G931" s="53">
        <v>29920.0</v>
      </c>
      <c r="H931" s="53">
        <v>32000.0</v>
      </c>
      <c r="I931" s="53">
        <v>2080.0</v>
      </c>
      <c r="J931" s="54">
        <v>0.06951871657754011</v>
      </c>
    </row>
    <row r="932" ht="26.25" customHeight="1">
      <c r="A932" s="11" t="s">
        <v>2182</v>
      </c>
      <c r="B932" s="13" t="s">
        <v>1363</v>
      </c>
      <c r="C932" s="16" t="s">
        <v>2183</v>
      </c>
      <c r="D932" s="13" t="s">
        <v>1020</v>
      </c>
      <c r="E932" s="19" t="s">
        <v>22</v>
      </c>
      <c r="F932" s="13" t="s">
        <v>23</v>
      </c>
      <c r="G932" s="22">
        <v>34799.0</v>
      </c>
      <c r="H932" s="22">
        <v>37000.0</v>
      </c>
      <c r="I932" s="22">
        <v>2201.0</v>
      </c>
      <c r="J932" s="46">
        <v>0.06324894393517055</v>
      </c>
    </row>
    <row r="933" ht="26.25" customHeight="1">
      <c r="A933" s="47" t="s">
        <v>2184</v>
      </c>
      <c r="B933" s="48" t="s">
        <v>1363</v>
      </c>
      <c r="C933" s="50" t="s">
        <v>2185</v>
      </c>
      <c r="D933" s="48" t="s">
        <v>1020</v>
      </c>
      <c r="E933" s="52" t="s">
        <v>22</v>
      </c>
      <c r="F933" s="48" t="s">
        <v>23</v>
      </c>
      <c r="G933" s="53">
        <v>39465.0</v>
      </c>
      <c r="H933" s="53">
        <v>42000.0</v>
      </c>
      <c r="I933" s="53">
        <v>2535.0</v>
      </c>
      <c r="J933" s="54">
        <v>0.06423413150893197</v>
      </c>
    </row>
    <row r="934" ht="26.25" customHeight="1">
      <c r="A934" s="11" t="s">
        <v>2186</v>
      </c>
      <c r="B934" s="13" t="s">
        <v>1363</v>
      </c>
      <c r="C934" s="16" t="s">
        <v>2187</v>
      </c>
      <c r="D934" s="13" t="s">
        <v>1020</v>
      </c>
      <c r="E934" s="19" t="s">
        <v>22</v>
      </c>
      <c r="F934" s="13" t="s">
        <v>23</v>
      </c>
      <c r="G934" s="22">
        <v>44775.0</v>
      </c>
      <c r="H934" s="22">
        <v>47000.0</v>
      </c>
      <c r="I934" s="22">
        <v>2225.0</v>
      </c>
      <c r="J934" s="46">
        <v>0.0496929089893914</v>
      </c>
    </row>
    <row r="935" ht="26.25" customHeight="1">
      <c r="A935" s="47" t="s">
        <v>2188</v>
      </c>
      <c r="B935" s="48" t="s">
        <v>1363</v>
      </c>
      <c r="C935" s="50" t="s">
        <v>2189</v>
      </c>
      <c r="D935" s="48" t="s">
        <v>1020</v>
      </c>
      <c r="E935" s="52" t="s">
        <v>22</v>
      </c>
      <c r="F935" s="48" t="s">
        <v>23</v>
      </c>
      <c r="G935" s="53">
        <v>49495.0</v>
      </c>
      <c r="H935" s="53">
        <v>52000.0</v>
      </c>
      <c r="I935" s="53">
        <v>2505.0</v>
      </c>
      <c r="J935" s="54">
        <v>0.05061117284574199</v>
      </c>
    </row>
    <row r="936" ht="26.25" customHeight="1">
      <c r="A936" s="11" t="s">
        <v>2191</v>
      </c>
      <c r="B936" s="13" t="s">
        <v>1363</v>
      </c>
      <c r="C936" s="16" t="s">
        <v>2193</v>
      </c>
      <c r="D936" s="13" t="s">
        <v>1020</v>
      </c>
      <c r="E936" s="19" t="s">
        <v>22</v>
      </c>
      <c r="F936" s="13" t="s">
        <v>23</v>
      </c>
      <c r="G936" s="22">
        <v>54561.0</v>
      </c>
      <c r="H936" s="22">
        <v>57000.0</v>
      </c>
      <c r="I936" s="22">
        <v>2439.0</v>
      </c>
      <c r="J936" s="46">
        <v>0.044702259855941055</v>
      </c>
    </row>
    <row r="937" ht="26.25" customHeight="1">
      <c r="A937" s="47" t="s">
        <v>2194</v>
      </c>
      <c r="B937" s="48" t="s">
        <v>1363</v>
      </c>
      <c r="C937" s="50" t="s">
        <v>2195</v>
      </c>
      <c r="D937" s="48" t="s">
        <v>1020</v>
      </c>
      <c r="E937" s="52" t="s">
        <v>22</v>
      </c>
      <c r="F937" s="48" t="s">
        <v>23</v>
      </c>
      <c r="G937" s="53">
        <v>59503.0</v>
      </c>
      <c r="H937" s="53">
        <v>63000.0</v>
      </c>
      <c r="I937" s="53">
        <v>3497.0</v>
      </c>
      <c r="J937" s="54">
        <v>0.05877014604305665</v>
      </c>
    </row>
    <row r="938" ht="26.25" customHeight="1">
      <c r="A938" s="11" t="s">
        <v>2196</v>
      </c>
      <c r="B938" s="13" t="s">
        <v>1363</v>
      </c>
      <c r="C938" s="16" t="s">
        <v>2197</v>
      </c>
      <c r="D938" s="13" t="s">
        <v>1020</v>
      </c>
      <c r="E938" s="19" t="s">
        <v>22</v>
      </c>
      <c r="F938" s="13" t="s">
        <v>23</v>
      </c>
      <c r="G938" s="22">
        <v>64534.0</v>
      </c>
      <c r="H938" s="22">
        <v>68000.0</v>
      </c>
      <c r="I938" s="22">
        <v>3466.0</v>
      </c>
      <c r="J938" s="46">
        <v>0.053708122849970556</v>
      </c>
    </row>
    <row r="939" ht="26.25" customHeight="1">
      <c r="A939" s="47" t="s">
        <v>2198</v>
      </c>
      <c r="B939" s="48" t="s">
        <v>1363</v>
      </c>
      <c r="C939" s="50" t="s">
        <v>2199</v>
      </c>
      <c r="D939" s="48" t="s">
        <v>1020</v>
      </c>
      <c r="E939" s="52" t="s">
        <v>22</v>
      </c>
      <c r="F939" s="48" t="s">
        <v>23</v>
      </c>
      <c r="G939" s="53">
        <v>69431.0</v>
      </c>
      <c r="H939" s="53">
        <v>73000.0</v>
      </c>
      <c r="I939" s="53">
        <v>3569.0</v>
      </c>
      <c r="J939" s="54">
        <v>0.05140355172761447</v>
      </c>
    </row>
    <row r="940" ht="26.25" customHeight="1">
      <c r="A940" s="11" t="s">
        <v>2200</v>
      </c>
      <c r="B940" s="13" t="s">
        <v>1363</v>
      </c>
      <c r="C940" s="16" t="s">
        <v>2201</v>
      </c>
      <c r="D940" s="13" t="s">
        <v>1020</v>
      </c>
      <c r="E940" s="19" t="s">
        <v>22</v>
      </c>
      <c r="F940" s="13" t="s">
        <v>23</v>
      </c>
      <c r="G940" s="22">
        <v>73143.0</v>
      </c>
      <c r="H940" s="22">
        <v>78000.0</v>
      </c>
      <c r="I940" s="22">
        <v>4857.0</v>
      </c>
      <c r="J940" s="46">
        <v>0.06640416717936098</v>
      </c>
    </row>
    <row r="941" ht="26.25" customHeight="1">
      <c r="A941" s="47" t="s">
        <v>2202</v>
      </c>
      <c r="B941" s="48" t="s">
        <v>1363</v>
      </c>
      <c r="C941" s="50" t="s">
        <v>2203</v>
      </c>
      <c r="D941" s="48" t="s">
        <v>1020</v>
      </c>
      <c r="E941" s="52" t="s">
        <v>22</v>
      </c>
      <c r="F941" s="48" t="s">
        <v>23</v>
      </c>
      <c r="G941" s="53">
        <v>79335.0</v>
      </c>
      <c r="H941" s="53">
        <v>83000.0</v>
      </c>
      <c r="I941" s="53">
        <v>3665.0</v>
      </c>
      <c r="J941" s="54">
        <v>0.046196508476712674</v>
      </c>
    </row>
    <row r="942" ht="26.25" customHeight="1">
      <c r="A942" s="11" t="s">
        <v>2204</v>
      </c>
      <c r="B942" s="13" t="s">
        <v>1363</v>
      </c>
      <c r="C942" s="16" t="s">
        <v>2205</v>
      </c>
      <c r="D942" s="13" t="s">
        <v>1020</v>
      </c>
      <c r="E942" s="19" t="s">
        <v>22</v>
      </c>
      <c r="F942" s="13" t="s">
        <v>23</v>
      </c>
      <c r="G942" s="22">
        <v>84110.0</v>
      </c>
      <c r="H942" s="22">
        <v>88000.0</v>
      </c>
      <c r="I942" s="22">
        <v>3890.0</v>
      </c>
      <c r="J942" s="46">
        <v>0.046248959695636666</v>
      </c>
    </row>
    <row r="943" ht="26.25" customHeight="1">
      <c r="A943" s="47" t="s">
        <v>2207</v>
      </c>
      <c r="B943" s="48" t="s">
        <v>1363</v>
      </c>
      <c r="C943" s="50" t="s">
        <v>2209</v>
      </c>
      <c r="D943" s="48" t="s">
        <v>1020</v>
      </c>
      <c r="E943" s="52" t="s">
        <v>22</v>
      </c>
      <c r="F943" s="48" t="s">
        <v>23</v>
      </c>
      <c r="G943" s="53">
        <v>89119.0</v>
      </c>
      <c r="H943" s="53">
        <v>93000.0</v>
      </c>
      <c r="I943" s="53">
        <v>3881.0</v>
      </c>
      <c r="J943" s="54">
        <v>0.043548513784939236</v>
      </c>
    </row>
    <row r="944" ht="26.25" customHeight="1">
      <c r="A944" s="11" t="s">
        <v>2210</v>
      </c>
      <c r="B944" s="13" t="s">
        <v>1363</v>
      </c>
      <c r="C944" s="16" t="s">
        <v>2211</v>
      </c>
      <c r="D944" s="13" t="s">
        <v>1020</v>
      </c>
      <c r="E944" s="19" t="s">
        <v>22</v>
      </c>
      <c r="F944" s="13" t="s">
        <v>23</v>
      </c>
      <c r="G944" s="22">
        <v>94210.0</v>
      </c>
      <c r="H944" s="22">
        <v>98000.0</v>
      </c>
      <c r="I944" s="22">
        <v>3790.0</v>
      </c>
      <c r="J944" s="46">
        <v>0.040229275023882814</v>
      </c>
    </row>
    <row r="945" ht="26.25" customHeight="1">
      <c r="A945" s="47" t="s">
        <v>2212</v>
      </c>
      <c r="B945" s="48" t="s">
        <v>1363</v>
      </c>
      <c r="C945" s="50" t="s">
        <v>2213</v>
      </c>
      <c r="D945" s="48" t="s">
        <v>1020</v>
      </c>
      <c r="E945" s="52" t="s">
        <v>22</v>
      </c>
      <c r="F945" s="48" t="s">
        <v>23</v>
      </c>
      <c r="G945" s="53">
        <v>97557.0</v>
      </c>
      <c r="H945" s="53">
        <v>102000.0</v>
      </c>
      <c r="I945" s="53">
        <v>4443.0</v>
      </c>
      <c r="J945" s="54">
        <v>0.04554260586118884</v>
      </c>
    </row>
    <row r="946" ht="26.25" customHeight="1">
      <c r="A946" s="11" t="s">
        <v>2214</v>
      </c>
      <c r="B946" s="13" t="s">
        <v>1363</v>
      </c>
      <c r="C946" s="16" t="s">
        <v>2215</v>
      </c>
      <c r="D946" s="13" t="s">
        <v>1020</v>
      </c>
      <c r="E946" s="19" t="s">
        <v>22</v>
      </c>
      <c r="F946" s="13" t="s">
        <v>23</v>
      </c>
      <c r="G946" s="22">
        <v>146170.0</v>
      </c>
      <c r="H946" s="22">
        <v>152000.0</v>
      </c>
      <c r="I946" s="22">
        <v>5830.0</v>
      </c>
      <c r="J946" s="46">
        <v>0.03988506533488404</v>
      </c>
    </row>
    <row r="947" ht="26.25" customHeight="1">
      <c r="A947" s="47" t="s">
        <v>2216</v>
      </c>
      <c r="B947" s="48" t="s">
        <v>1363</v>
      </c>
      <c r="C947" s="50" t="s">
        <v>2217</v>
      </c>
      <c r="D947" s="48" t="s">
        <v>1020</v>
      </c>
      <c r="E947" s="52" t="s">
        <v>22</v>
      </c>
      <c r="F947" s="48" t="s">
        <v>23</v>
      </c>
      <c r="G947" s="53">
        <v>194840.0</v>
      </c>
      <c r="H947" s="53">
        <v>203000.0</v>
      </c>
      <c r="I947" s="53">
        <v>8160.0</v>
      </c>
      <c r="J947" s="54">
        <v>0.04188051734756724</v>
      </c>
    </row>
    <row r="948" ht="26.25" customHeight="1">
      <c r="A948" s="11" t="s">
        <v>2218</v>
      </c>
      <c r="B948" s="13" t="s">
        <v>1363</v>
      </c>
      <c r="C948" s="16" t="s">
        <v>2219</v>
      </c>
      <c r="D948" s="13" t="s">
        <v>140</v>
      </c>
      <c r="E948" s="19" t="s">
        <v>22</v>
      </c>
      <c r="F948" s="13" t="s">
        <v>23</v>
      </c>
      <c r="G948" s="22">
        <v>5161.0</v>
      </c>
      <c r="H948" s="22">
        <v>7000.0</v>
      </c>
      <c r="I948" s="22">
        <v>1839.0</v>
      </c>
      <c r="J948" s="46">
        <v>0.3563262933540012</v>
      </c>
    </row>
    <row r="949" ht="26.25" customHeight="1">
      <c r="A949" s="47" t="s">
        <v>2220</v>
      </c>
      <c r="B949" s="48" t="s">
        <v>1363</v>
      </c>
      <c r="C949" s="50" t="s">
        <v>2221</v>
      </c>
      <c r="D949" s="48" t="s">
        <v>140</v>
      </c>
      <c r="E949" s="52" t="s">
        <v>22</v>
      </c>
      <c r="F949" s="48" t="s">
        <v>23</v>
      </c>
      <c r="G949" s="53">
        <v>10101.0</v>
      </c>
      <c r="H949" s="53">
        <v>12000.0</v>
      </c>
      <c r="I949" s="53">
        <v>1899.0</v>
      </c>
      <c r="J949" s="54">
        <v>0.188001188001188</v>
      </c>
    </row>
    <row r="950" ht="26.25" customHeight="1">
      <c r="A950" s="11" t="s">
        <v>2222</v>
      </c>
      <c r="B950" s="13" t="s">
        <v>1363</v>
      </c>
      <c r="C950" s="16" t="s">
        <v>2223</v>
      </c>
      <c r="D950" s="13" t="s">
        <v>140</v>
      </c>
      <c r="E950" s="19" t="s">
        <v>22</v>
      </c>
      <c r="F950" s="13" t="s">
        <v>23</v>
      </c>
      <c r="G950" s="22">
        <v>15000.0</v>
      </c>
      <c r="H950" s="22">
        <v>17000.0</v>
      </c>
      <c r="I950" s="22">
        <v>2000.0</v>
      </c>
      <c r="J950" s="46">
        <v>0.13333333333333333</v>
      </c>
    </row>
    <row r="951" ht="26.25" customHeight="1">
      <c r="A951" s="47" t="s">
        <v>2224</v>
      </c>
      <c r="B951" s="48" t="s">
        <v>1363</v>
      </c>
      <c r="C951" s="50" t="s">
        <v>2225</v>
      </c>
      <c r="D951" s="48" t="s">
        <v>140</v>
      </c>
      <c r="E951" s="52" t="s">
        <v>22</v>
      </c>
      <c r="F951" s="48" t="s">
        <v>23</v>
      </c>
      <c r="G951" s="53">
        <v>20000.0</v>
      </c>
      <c r="H951" s="53">
        <v>22000.0</v>
      </c>
      <c r="I951" s="53">
        <v>2000.0</v>
      </c>
      <c r="J951" s="54">
        <v>0.1</v>
      </c>
    </row>
    <row r="952" ht="26.25" customHeight="1">
      <c r="A952" s="11" t="s">
        <v>2226</v>
      </c>
      <c r="B952" s="13" t="s">
        <v>1363</v>
      </c>
      <c r="C952" s="16" t="s">
        <v>2227</v>
      </c>
      <c r="D952" s="13" t="s">
        <v>140</v>
      </c>
      <c r="E952" s="19" t="s">
        <v>22</v>
      </c>
      <c r="F952" s="13" t="s">
        <v>23</v>
      </c>
      <c r="G952" s="22">
        <v>25000.0</v>
      </c>
      <c r="H952" s="22">
        <v>27000.0</v>
      </c>
      <c r="I952" s="22">
        <v>2000.0</v>
      </c>
      <c r="J952" s="46">
        <v>0.08</v>
      </c>
    </row>
    <row r="953" ht="26.25" customHeight="1">
      <c r="A953" s="47" t="s">
        <v>2228</v>
      </c>
      <c r="B953" s="48" t="s">
        <v>1363</v>
      </c>
      <c r="C953" s="50" t="s">
        <v>2229</v>
      </c>
      <c r="D953" s="48" t="s">
        <v>140</v>
      </c>
      <c r="E953" s="52" t="s">
        <v>22</v>
      </c>
      <c r="F953" s="48" t="s">
        <v>23</v>
      </c>
      <c r="G953" s="53">
        <v>30000.0</v>
      </c>
      <c r="H953" s="53">
        <v>32000.0</v>
      </c>
      <c r="I953" s="53">
        <v>2000.0</v>
      </c>
      <c r="J953" s="54">
        <v>0.06666666666666667</v>
      </c>
    </row>
    <row r="954" ht="26.25" customHeight="1">
      <c r="A954" s="11" t="s">
        <v>2231</v>
      </c>
      <c r="B954" s="13" t="s">
        <v>1363</v>
      </c>
      <c r="C954" s="16" t="s">
        <v>2232</v>
      </c>
      <c r="D954" s="13" t="s">
        <v>140</v>
      </c>
      <c r="E954" s="19" t="s">
        <v>22</v>
      </c>
      <c r="F954" s="13" t="s">
        <v>23</v>
      </c>
      <c r="G954" s="22">
        <v>40000.0</v>
      </c>
      <c r="H954" s="22">
        <v>42000.0</v>
      </c>
      <c r="I954" s="22">
        <v>2000.0</v>
      </c>
      <c r="J954" s="46">
        <v>0.05</v>
      </c>
    </row>
    <row r="955" ht="26.25" customHeight="1">
      <c r="A955" s="47" t="s">
        <v>2234</v>
      </c>
      <c r="B955" s="48" t="s">
        <v>1363</v>
      </c>
      <c r="C955" s="50" t="s">
        <v>2235</v>
      </c>
      <c r="D955" s="48" t="s">
        <v>140</v>
      </c>
      <c r="E955" s="52" t="s">
        <v>22</v>
      </c>
      <c r="F955" s="48" t="s">
        <v>23</v>
      </c>
      <c r="G955" s="53">
        <v>50000.0</v>
      </c>
      <c r="H955" s="53">
        <v>52000.0</v>
      </c>
      <c r="I955" s="53">
        <v>2000.0</v>
      </c>
      <c r="J955" s="54">
        <v>0.04</v>
      </c>
    </row>
    <row r="956" ht="26.25" customHeight="1">
      <c r="A956" s="11" t="s">
        <v>2236</v>
      </c>
      <c r="B956" s="13" t="s">
        <v>1363</v>
      </c>
      <c r="C956" s="16" t="s">
        <v>2237</v>
      </c>
      <c r="D956" s="13" t="s">
        <v>140</v>
      </c>
      <c r="E956" s="19" t="s">
        <v>22</v>
      </c>
      <c r="F956" s="13" t="s">
        <v>23</v>
      </c>
      <c r="G956" s="22">
        <v>60000.0</v>
      </c>
      <c r="H956" s="22">
        <v>62000.0</v>
      </c>
      <c r="I956" s="22">
        <v>2000.0</v>
      </c>
      <c r="J956" s="46">
        <v>0.03333333333333333</v>
      </c>
    </row>
    <row r="957" ht="26.25" customHeight="1">
      <c r="A957" s="47" t="s">
        <v>2238</v>
      </c>
      <c r="B957" s="48" t="s">
        <v>1363</v>
      </c>
      <c r="C957" s="50" t="s">
        <v>2239</v>
      </c>
      <c r="D957" s="48" t="s">
        <v>140</v>
      </c>
      <c r="E957" s="52" t="s">
        <v>22</v>
      </c>
      <c r="F957" s="48" t="s">
        <v>23</v>
      </c>
      <c r="G957" s="53">
        <v>70000.0</v>
      </c>
      <c r="H957" s="53">
        <v>73000.0</v>
      </c>
      <c r="I957" s="53">
        <v>3000.0</v>
      </c>
      <c r="J957" s="54">
        <v>0.04285714285714286</v>
      </c>
    </row>
    <row r="958" ht="26.25" customHeight="1">
      <c r="A958" s="11" t="s">
        <v>2240</v>
      </c>
      <c r="B958" s="13" t="s">
        <v>1363</v>
      </c>
      <c r="C958" s="16" t="s">
        <v>2241</v>
      </c>
      <c r="D958" s="13" t="s">
        <v>140</v>
      </c>
      <c r="E958" s="19" t="s">
        <v>22</v>
      </c>
      <c r="F958" s="13" t="s">
        <v>23</v>
      </c>
      <c r="G958" s="22">
        <v>75000.0</v>
      </c>
      <c r="H958" s="22">
        <v>78000.0</v>
      </c>
      <c r="I958" s="22">
        <v>3000.0</v>
      </c>
      <c r="J958" s="46">
        <v>0.04</v>
      </c>
    </row>
    <row r="959" ht="26.25" customHeight="1">
      <c r="A959" s="47" t="s">
        <v>2242</v>
      </c>
      <c r="B959" s="48" t="s">
        <v>1363</v>
      </c>
      <c r="C959" s="50" t="s">
        <v>2243</v>
      </c>
      <c r="D959" s="48" t="s">
        <v>140</v>
      </c>
      <c r="E959" s="52" t="s">
        <v>22</v>
      </c>
      <c r="F959" s="48" t="s">
        <v>23</v>
      </c>
      <c r="G959" s="53">
        <v>80000.0</v>
      </c>
      <c r="H959" s="53">
        <v>83000.0</v>
      </c>
      <c r="I959" s="53">
        <v>3000.0</v>
      </c>
      <c r="J959" s="54">
        <v>0.0375</v>
      </c>
    </row>
    <row r="960" ht="26.25" customHeight="1">
      <c r="A960" s="11" t="s">
        <v>2244</v>
      </c>
      <c r="B960" s="13" t="s">
        <v>1363</v>
      </c>
      <c r="C960" s="16" t="s">
        <v>2245</v>
      </c>
      <c r="D960" s="13" t="s">
        <v>140</v>
      </c>
      <c r="E960" s="19" t="s">
        <v>22</v>
      </c>
      <c r="F960" s="13" t="s">
        <v>23</v>
      </c>
      <c r="G960" s="22">
        <v>90000.0</v>
      </c>
      <c r="H960" s="22">
        <v>93000.0</v>
      </c>
      <c r="I960" s="22">
        <v>3000.0</v>
      </c>
      <c r="J960" s="46">
        <v>0.03333333333333333</v>
      </c>
    </row>
    <row r="961" ht="26.25" customHeight="1">
      <c r="A961" s="47" t="s">
        <v>2246</v>
      </c>
      <c r="B961" s="48" t="s">
        <v>1363</v>
      </c>
      <c r="C961" s="50" t="s">
        <v>2247</v>
      </c>
      <c r="D961" s="48" t="s">
        <v>140</v>
      </c>
      <c r="E961" s="52" t="s">
        <v>22</v>
      </c>
      <c r="F961" s="48" t="s">
        <v>23</v>
      </c>
      <c r="G961" s="53">
        <v>93000.0</v>
      </c>
      <c r="H961" s="53">
        <v>96000.0</v>
      </c>
      <c r="I961" s="53">
        <v>3000.0</v>
      </c>
      <c r="J961" s="54">
        <v>0.03225806451612903</v>
      </c>
    </row>
    <row r="962" ht="26.25" customHeight="1">
      <c r="A962" s="11" t="s">
        <v>2248</v>
      </c>
      <c r="B962" s="13" t="s">
        <v>1363</v>
      </c>
      <c r="C962" s="16" t="s">
        <v>2249</v>
      </c>
      <c r="D962" s="13" t="s">
        <v>140</v>
      </c>
      <c r="E962" s="19" t="s">
        <v>22</v>
      </c>
      <c r="F962" s="13" t="s">
        <v>23</v>
      </c>
      <c r="G962" s="22">
        <v>120000.0</v>
      </c>
      <c r="H962" s="22">
        <v>125000.0</v>
      </c>
      <c r="I962" s="22">
        <v>5000.0</v>
      </c>
      <c r="J962" s="46">
        <v>0.041666666666666664</v>
      </c>
    </row>
    <row r="963" ht="26.25" customHeight="1">
      <c r="A963" s="47" t="s">
        <v>2251</v>
      </c>
      <c r="B963" s="48" t="s">
        <v>1363</v>
      </c>
      <c r="C963" s="50" t="s">
        <v>2253</v>
      </c>
      <c r="D963" s="48" t="s">
        <v>140</v>
      </c>
      <c r="E963" s="52" t="s">
        <v>22</v>
      </c>
      <c r="F963" s="48" t="s">
        <v>23</v>
      </c>
      <c r="G963" s="53">
        <v>144000.0</v>
      </c>
      <c r="H963" s="53">
        <v>150000.0</v>
      </c>
      <c r="I963" s="53">
        <v>6000.0</v>
      </c>
      <c r="J963" s="54">
        <v>0.041666666666666664</v>
      </c>
    </row>
    <row r="964" ht="26.25" customHeight="1">
      <c r="A964" s="11" t="s">
        <v>2254</v>
      </c>
      <c r="B964" s="13" t="s">
        <v>1363</v>
      </c>
      <c r="C964" s="16" t="s">
        <v>2255</v>
      </c>
      <c r="D964" s="13" t="s">
        <v>140</v>
      </c>
      <c r="E964" s="19" t="s">
        <v>22</v>
      </c>
      <c r="F964" s="13" t="s">
        <v>23</v>
      </c>
      <c r="G964" s="22">
        <v>190000.0</v>
      </c>
      <c r="H964" s="22">
        <v>200000.0</v>
      </c>
      <c r="I964" s="22">
        <v>10000.0</v>
      </c>
      <c r="J964" s="46">
        <v>0.05263157894736842</v>
      </c>
    </row>
    <row r="965" ht="26.25" customHeight="1">
      <c r="A965" s="47" t="s">
        <v>2256</v>
      </c>
      <c r="B965" s="48" t="s">
        <v>1363</v>
      </c>
      <c r="C965" s="50" t="s">
        <v>2257</v>
      </c>
      <c r="D965" s="48" t="s">
        <v>471</v>
      </c>
      <c r="E965" s="52" t="s">
        <v>22</v>
      </c>
      <c r="F965" s="48" t="s">
        <v>23</v>
      </c>
      <c r="G965" s="53">
        <v>5051.0</v>
      </c>
      <c r="H965" s="53">
        <v>7000.0</v>
      </c>
      <c r="I965" s="53">
        <v>1949.0</v>
      </c>
      <c r="J965" s="54">
        <v>0.3858641853098396</v>
      </c>
    </row>
    <row r="966" ht="26.25" customHeight="1">
      <c r="A966" s="11" t="s">
        <v>2258</v>
      </c>
      <c r="B966" s="13" t="s">
        <v>1363</v>
      </c>
      <c r="C966" s="16" t="s">
        <v>2259</v>
      </c>
      <c r="D966" s="13" t="s">
        <v>471</v>
      </c>
      <c r="E966" s="19" t="s">
        <v>22</v>
      </c>
      <c r="F966" s="13" t="s">
        <v>23</v>
      </c>
      <c r="G966" s="22">
        <v>10060.0</v>
      </c>
      <c r="H966" s="22">
        <v>12000.0</v>
      </c>
      <c r="I966" s="22">
        <v>1940.0</v>
      </c>
      <c r="J966" s="46">
        <v>0.19284294234592445</v>
      </c>
    </row>
    <row r="967" ht="26.25" customHeight="1">
      <c r="A967" s="47" t="s">
        <v>2260</v>
      </c>
      <c r="B967" s="48" t="s">
        <v>1363</v>
      </c>
      <c r="C967" s="50" t="s">
        <v>2261</v>
      </c>
      <c r="D967" s="48" t="s">
        <v>471</v>
      </c>
      <c r="E967" s="52" t="s">
        <v>22</v>
      </c>
      <c r="F967" s="48" t="s">
        <v>23</v>
      </c>
      <c r="G967" s="53">
        <v>12112.0</v>
      </c>
      <c r="H967" s="53">
        <v>14000.0</v>
      </c>
      <c r="I967" s="53">
        <v>1888.0</v>
      </c>
      <c r="J967" s="54">
        <v>0.15587846763540292</v>
      </c>
    </row>
    <row r="968" ht="26.25" customHeight="1">
      <c r="A968" s="11" t="s">
        <v>2262</v>
      </c>
      <c r="B968" s="13" t="s">
        <v>1363</v>
      </c>
      <c r="C968" s="16" t="s">
        <v>2263</v>
      </c>
      <c r="D968" s="13" t="s">
        <v>471</v>
      </c>
      <c r="E968" s="19" t="s">
        <v>22</v>
      </c>
      <c r="F968" s="13" t="s">
        <v>23</v>
      </c>
      <c r="G968" s="22">
        <v>15048.0</v>
      </c>
      <c r="H968" s="22">
        <v>17000.0</v>
      </c>
      <c r="I968" s="22">
        <v>1952.0</v>
      </c>
      <c r="J968" s="46">
        <v>0.12971823498139287</v>
      </c>
    </row>
    <row r="969" ht="26.25" customHeight="1">
      <c r="A969" s="47" t="s">
        <v>2264</v>
      </c>
      <c r="B969" s="48" t="s">
        <v>1363</v>
      </c>
      <c r="C969" s="50" t="s">
        <v>2265</v>
      </c>
      <c r="D969" s="48" t="s">
        <v>471</v>
      </c>
      <c r="E969" s="52" t="s">
        <v>22</v>
      </c>
      <c r="F969" s="48" t="s">
        <v>23</v>
      </c>
      <c r="G969" s="53">
        <v>20194.0</v>
      </c>
      <c r="H969" s="53">
        <v>22000.0</v>
      </c>
      <c r="I969" s="53">
        <v>1806.0</v>
      </c>
      <c r="J969" s="54">
        <v>0.08943250470436763</v>
      </c>
    </row>
    <row r="970" ht="26.25" customHeight="1">
      <c r="A970" s="11" t="s">
        <v>2266</v>
      </c>
      <c r="B970" s="13" t="s">
        <v>1363</v>
      </c>
      <c r="C970" s="16" t="s">
        <v>2267</v>
      </c>
      <c r="D970" s="13" t="s">
        <v>471</v>
      </c>
      <c r="E970" s="19" t="s">
        <v>22</v>
      </c>
      <c r="F970" s="13" t="s">
        <v>23</v>
      </c>
      <c r="G970" s="22">
        <v>25105.0</v>
      </c>
      <c r="H970" s="22">
        <v>27000.0</v>
      </c>
      <c r="I970" s="22">
        <v>1895.0</v>
      </c>
      <c r="J970" s="46">
        <v>0.07548297151961761</v>
      </c>
    </row>
    <row r="971" ht="26.25" customHeight="1">
      <c r="A971" s="47" t="s">
        <v>2268</v>
      </c>
      <c r="B971" s="48" t="s">
        <v>1363</v>
      </c>
      <c r="C971" s="50" t="s">
        <v>2269</v>
      </c>
      <c r="D971" s="48" t="s">
        <v>471</v>
      </c>
      <c r="E971" s="52" t="s">
        <v>22</v>
      </c>
      <c r="F971" s="48" t="s">
        <v>23</v>
      </c>
      <c r="G971" s="53">
        <v>30000.0</v>
      </c>
      <c r="H971" s="53">
        <v>32000.0</v>
      </c>
      <c r="I971" s="53">
        <v>2000.0</v>
      </c>
      <c r="J971" s="54">
        <v>0.06666666666666667</v>
      </c>
    </row>
    <row r="972" ht="26.25" customHeight="1">
      <c r="A972" s="11" t="s">
        <v>2270</v>
      </c>
      <c r="B972" s="13" t="s">
        <v>1363</v>
      </c>
      <c r="C972" s="16" t="s">
        <v>2272</v>
      </c>
      <c r="D972" s="13" t="s">
        <v>471</v>
      </c>
      <c r="E972" s="19" t="s">
        <v>22</v>
      </c>
      <c r="F972" s="13" t="s">
        <v>23</v>
      </c>
      <c r="G972" s="22">
        <v>35320.0</v>
      </c>
      <c r="H972" s="22">
        <v>37500.0</v>
      </c>
      <c r="I972" s="22">
        <v>2180.0</v>
      </c>
      <c r="J972" s="46">
        <v>0.06172140430351076</v>
      </c>
    </row>
    <row r="973" ht="26.25" customHeight="1">
      <c r="A973" s="47" t="s">
        <v>2273</v>
      </c>
      <c r="B973" s="48" t="s">
        <v>1363</v>
      </c>
      <c r="C973" s="50" t="s">
        <v>2275</v>
      </c>
      <c r="D973" s="48" t="s">
        <v>471</v>
      </c>
      <c r="E973" s="52" t="s">
        <v>22</v>
      </c>
      <c r="F973" s="48" t="s">
        <v>23</v>
      </c>
      <c r="G973" s="53">
        <v>40290.0</v>
      </c>
      <c r="H973" s="53">
        <v>42500.0</v>
      </c>
      <c r="I973" s="53">
        <v>2210.0</v>
      </c>
      <c r="J973" s="54">
        <v>0.05485232067510549</v>
      </c>
    </row>
    <row r="974" ht="26.25" customHeight="1">
      <c r="A974" s="11" t="s">
        <v>2276</v>
      </c>
      <c r="B974" s="13" t="s">
        <v>1363</v>
      </c>
      <c r="C974" s="16" t="s">
        <v>2277</v>
      </c>
      <c r="D974" s="13" t="s">
        <v>471</v>
      </c>
      <c r="E974" s="19" t="s">
        <v>22</v>
      </c>
      <c r="F974" s="13" t="s">
        <v>23</v>
      </c>
      <c r="G974" s="22">
        <v>45468.0</v>
      </c>
      <c r="H974" s="22">
        <v>47500.0</v>
      </c>
      <c r="I974" s="22">
        <v>2032.0</v>
      </c>
      <c r="J974" s="46">
        <v>0.044690771531626636</v>
      </c>
    </row>
    <row r="975" ht="26.25" customHeight="1">
      <c r="A975" s="47" t="s">
        <v>2278</v>
      </c>
      <c r="B975" s="48" t="s">
        <v>1363</v>
      </c>
      <c r="C975" s="50" t="s">
        <v>2279</v>
      </c>
      <c r="D975" s="48" t="s">
        <v>471</v>
      </c>
      <c r="E975" s="52" t="s">
        <v>22</v>
      </c>
      <c r="F975" s="48" t="s">
        <v>23</v>
      </c>
      <c r="G975" s="53">
        <v>50528.0</v>
      </c>
      <c r="H975" s="53">
        <v>52500.0</v>
      </c>
      <c r="I975" s="53">
        <v>1972.0</v>
      </c>
      <c r="J975" s="54">
        <v>0.03902786573780874</v>
      </c>
    </row>
    <row r="976" ht="26.25" customHeight="1">
      <c r="A976" s="11" t="s">
        <v>2280</v>
      </c>
      <c r="B976" s="13" t="s">
        <v>1363</v>
      </c>
      <c r="C976" s="16" t="s">
        <v>2281</v>
      </c>
      <c r="D976" s="13" t="s">
        <v>471</v>
      </c>
      <c r="E976" s="19" t="s">
        <v>22</v>
      </c>
      <c r="F976" s="13" t="s">
        <v>23</v>
      </c>
      <c r="G976" s="22">
        <v>55153.0</v>
      </c>
      <c r="H976" s="22">
        <v>57500.0</v>
      </c>
      <c r="I976" s="22">
        <v>2347.0</v>
      </c>
      <c r="J976" s="46">
        <v>0.04255434881148804</v>
      </c>
    </row>
    <row r="977" ht="26.25" customHeight="1">
      <c r="A977" s="47" t="s">
        <v>2282</v>
      </c>
      <c r="B977" s="48" t="s">
        <v>1363</v>
      </c>
      <c r="C977" s="50" t="s">
        <v>2283</v>
      </c>
      <c r="D977" s="48" t="s">
        <v>471</v>
      </c>
      <c r="E977" s="52" t="s">
        <v>22</v>
      </c>
      <c r="F977" s="48" t="s">
        <v>23</v>
      </c>
      <c r="G977" s="53">
        <v>59830.0</v>
      </c>
      <c r="H977" s="53">
        <v>63000.0</v>
      </c>
      <c r="I977" s="53">
        <v>3170.0</v>
      </c>
      <c r="J977" s="54">
        <v>0.052983453117165305</v>
      </c>
    </row>
    <row r="978" ht="26.25" customHeight="1">
      <c r="A978" s="11" t="s">
        <v>2284</v>
      </c>
      <c r="B978" s="13" t="s">
        <v>1363</v>
      </c>
      <c r="C978" s="16" t="s">
        <v>2285</v>
      </c>
      <c r="D978" s="13" t="s">
        <v>471</v>
      </c>
      <c r="E978" s="19" t="s">
        <v>22</v>
      </c>
      <c r="F978" s="13" t="s">
        <v>23</v>
      </c>
      <c r="G978" s="22">
        <v>65083.0</v>
      </c>
      <c r="H978" s="22">
        <v>68000.0</v>
      </c>
      <c r="I978" s="22">
        <v>2917.0</v>
      </c>
      <c r="J978" s="46">
        <v>0.04481969177819092</v>
      </c>
    </row>
    <row r="979" ht="26.25" customHeight="1">
      <c r="A979" s="47" t="s">
        <v>2286</v>
      </c>
      <c r="B979" s="48" t="s">
        <v>1363</v>
      </c>
      <c r="C979" s="50" t="s">
        <v>2287</v>
      </c>
      <c r="D979" s="48" t="s">
        <v>471</v>
      </c>
      <c r="E979" s="52" t="s">
        <v>22</v>
      </c>
      <c r="F979" s="48" t="s">
        <v>23</v>
      </c>
      <c r="G979" s="53">
        <v>70388.0</v>
      </c>
      <c r="H979" s="53">
        <v>73000.0</v>
      </c>
      <c r="I979" s="53">
        <v>2612.0</v>
      </c>
      <c r="J979" s="54">
        <v>0.0371085980564869</v>
      </c>
    </row>
    <row r="980" ht="26.25" customHeight="1">
      <c r="A980" s="11" t="s">
        <v>2288</v>
      </c>
      <c r="B980" s="13" t="s">
        <v>1363</v>
      </c>
      <c r="C980" s="16" t="s">
        <v>2289</v>
      </c>
      <c r="D980" s="13" t="s">
        <v>471</v>
      </c>
      <c r="E980" s="19" t="s">
        <v>22</v>
      </c>
      <c r="F980" s="13" t="s">
        <v>23</v>
      </c>
      <c r="G980" s="22">
        <v>74656.0</v>
      </c>
      <c r="H980" s="22">
        <v>77500.0</v>
      </c>
      <c r="I980" s="22">
        <v>2844.0</v>
      </c>
      <c r="J980" s="46">
        <v>0.03809472781825975</v>
      </c>
    </row>
    <row r="981" ht="26.25" customHeight="1">
      <c r="A981" s="47" t="s">
        <v>2290</v>
      </c>
      <c r="B981" s="48" t="s">
        <v>1363</v>
      </c>
      <c r="C981" s="50" t="s">
        <v>2291</v>
      </c>
      <c r="D981" s="48" t="s">
        <v>471</v>
      </c>
      <c r="E981" s="52" t="s">
        <v>22</v>
      </c>
      <c r="F981" s="48" t="s">
        <v>23</v>
      </c>
      <c r="G981" s="53">
        <v>79760.0</v>
      </c>
      <c r="H981" s="53">
        <v>82500.0</v>
      </c>
      <c r="I981" s="53">
        <v>2740.0</v>
      </c>
      <c r="J981" s="54">
        <v>0.0343530591775326</v>
      </c>
    </row>
    <row r="982" ht="26.25" customHeight="1">
      <c r="A982" s="11" t="s">
        <v>2292</v>
      </c>
      <c r="B982" s="13" t="s">
        <v>1363</v>
      </c>
      <c r="C982" s="16" t="s">
        <v>2293</v>
      </c>
      <c r="D982" s="13" t="s">
        <v>471</v>
      </c>
      <c r="E982" s="19" t="s">
        <v>22</v>
      </c>
      <c r="F982" s="13" t="s">
        <v>23</v>
      </c>
      <c r="G982" s="22">
        <v>85380.0</v>
      </c>
      <c r="H982" s="22">
        <v>88000.0</v>
      </c>
      <c r="I982" s="22">
        <v>2620.0</v>
      </c>
      <c r="J982" s="46">
        <v>0.030686343405949872</v>
      </c>
    </row>
    <row r="983" ht="26.25" customHeight="1">
      <c r="A983" s="47" t="s">
        <v>2294</v>
      </c>
      <c r="B983" s="48" t="s">
        <v>1363</v>
      </c>
      <c r="C983" s="50" t="s">
        <v>2295</v>
      </c>
      <c r="D983" s="48" t="s">
        <v>471</v>
      </c>
      <c r="E983" s="52" t="s">
        <v>22</v>
      </c>
      <c r="F983" s="48" t="s">
        <v>23</v>
      </c>
      <c r="G983" s="53">
        <v>90158.0</v>
      </c>
      <c r="H983" s="53">
        <v>93000.0</v>
      </c>
      <c r="I983" s="53">
        <v>2842.0</v>
      </c>
      <c r="J983" s="54">
        <v>0.03152243838594467</v>
      </c>
    </row>
    <row r="984" ht="26.25" customHeight="1">
      <c r="A984" s="11" t="s">
        <v>2296</v>
      </c>
      <c r="B984" s="13" t="s">
        <v>1363</v>
      </c>
      <c r="C984" s="16" t="s">
        <v>2297</v>
      </c>
      <c r="D984" s="13" t="s">
        <v>471</v>
      </c>
      <c r="E984" s="19" t="s">
        <v>22</v>
      </c>
      <c r="F984" s="13" t="s">
        <v>23</v>
      </c>
      <c r="G984" s="22">
        <v>95475.0</v>
      </c>
      <c r="H984" s="22">
        <v>98500.0</v>
      </c>
      <c r="I984" s="22">
        <v>3025.0</v>
      </c>
      <c r="J984" s="46">
        <v>0.03168368682901283</v>
      </c>
    </row>
    <row r="985" ht="26.25" customHeight="1">
      <c r="A985" s="47" t="s">
        <v>2300</v>
      </c>
      <c r="B985" s="48" t="s">
        <v>1363</v>
      </c>
      <c r="C985" s="50" t="s">
        <v>2301</v>
      </c>
      <c r="D985" s="48" t="s">
        <v>471</v>
      </c>
      <c r="E985" s="52" t="s">
        <v>22</v>
      </c>
      <c r="F985" s="48" t="s">
        <v>23</v>
      </c>
      <c r="G985" s="53">
        <v>99955.0</v>
      </c>
      <c r="H985" s="53">
        <v>103000.0</v>
      </c>
      <c r="I985" s="53">
        <v>3045.0</v>
      </c>
      <c r="J985" s="54">
        <v>0.030463708668901007</v>
      </c>
    </row>
    <row r="986" ht="26.25" customHeight="1">
      <c r="A986" s="11" t="s">
        <v>2302</v>
      </c>
      <c r="B986" s="13" t="s">
        <v>1363</v>
      </c>
      <c r="C986" s="16" t="s">
        <v>2303</v>
      </c>
      <c r="D986" s="13" t="s">
        <v>1219</v>
      </c>
      <c r="E986" s="19" t="s">
        <v>22</v>
      </c>
      <c r="F986" s="13" t="s">
        <v>23</v>
      </c>
      <c r="G986" s="22">
        <v>21500.0</v>
      </c>
      <c r="H986" s="22">
        <v>24000.0</v>
      </c>
      <c r="I986" s="22">
        <v>2500.0</v>
      </c>
      <c r="J986" s="46">
        <v>0.11627906976744186</v>
      </c>
    </row>
    <row r="987" ht="26.25" customHeight="1">
      <c r="A987" s="47" t="s">
        <v>2304</v>
      </c>
      <c r="B987" s="48" t="s">
        <v>1363</v>
      </c>
      <c r="C987" s="50" t="s">
        <v>2305</v>
      </c>
      <c r="D987" s="48" t="s">
        <v>1219</v>
      </c>
      <c r="E987" s="52" t="s">
        <v>22</v>
      </c>
      <c r="F987" s="48" t="s">
        <v>23</v>
      </c>
      <c r="G987" s="53">
        <v>51500.0</v>
      </c>
      <c r="H987" s="53">
        <v>54000.0</v>
      </c>
      <c r="I987" s="53">
        <v>2500.0</v>
      </c>
      <c r="J987" s="54">
        <v>0.04854368932038835</v>
      </c>
    </row>
    <row r="988" ht="26.25" customHeight="1">
      <c r="A988" s="11" t="s">
        <v>2306</v>
      </c>
      <c r="B988" s="13" t="s">
        <v>1363</v>
      </c>
      <c r="C988" s="16" t="s">
        <v>2307</v>
      </c>
      <c r="D988" s="13" t="s">
        <v>1219</v>
      </c>
      <c r="E988" s="19" t="s">
        <v>22</v>
      </c>
      <c r="F988" s="13" t="s">
        <v>23</v>
      </c>
      <c r="G988" s="22">
        <v>101500.0</v>
      </c>
      <c r="H988" s="22">
        <v>105000.0</v>
      </c>
      <c r="I988" s="22">
        <v>3500.0</v>
      </c>
      <c r="J988" s="46">
        <v>0.034482758620689655</v>
      </c>
    </row>
    <row r="989" ht="26.25" customHeight="1">
      <c r="A989" s="47" t="s">
        <v>2308</v>
      </c>
      <c r="B989" s="48" t="s">
        <v>1363</v>
      </c>
      <c r="C989" s="50" t="s">
        <v>2309</v>
      </c>
      <c r="D989" s="48" t="s">
        <v>1219</v>
      </c>
      <c r="E989" s="52" t="s">
        <v>22</v>
      </c>
      <c r="F989" s="48" t="s">
        <v>23</v>
      </c>
      <c r="G989" s="53">
        <v>21500.0</v>
      </c>
      <c r="H989" s="53">
        <v>24000.0</v>
      </c>
      <c r="I989" s="53">
        <v>2500.0</v>
      </c>
      <c r="J989" s="54">
        <v>0.11627906976744186</v>
      </c>
    </row>
    <row r="990" ht="26.25" customHeight="1">
      <c r="A990" s="11" t="s">
        <v>2310</v>
      </c>
      <c r="B990" s="13" t="s">
        <v>1363</v>
      </c>
      <c r="C990" s="16" t="s">
        <v>2311</v>
      </c>
      <c r="D990" s="13" t="s">
        <v>1219</v>
      </c>
      <c r="E990" s="19" t="s">
        <v>22</v>
      </c>
      <c r="F990" s="13" t="s">
        <v>23</v>
      </c>
      <c r="G990" s="22">
        <v>51500.0</v>
      </c>
      <c r="H990" s="22">
        <v>54000.0</v>
      </c>
      <c r="I990" s="22">
        <v>2500.0</v>
      </c>
      <c r="J990" s="46">
        <v>0.04854368932038835</v>
      </c>
    </row>
    <row r="991" ht="26.25" customHeight="1">
      <c r="A991" s="47" t="s">
        <v>2312</v>
      </c>
      <c r="B991" s="48" t="s">
        <v>1363</v>
      </c>
      <c r="C991" s="50" t="s">
        <v>2313</v>
      </c>
      <c r="D991" s="48" t="s">
        <v>1219</v>
      </c>
      <c r="E991" s="52" t="s">
        <v>22</v>
      </c>
      <c r="F991" s="48" t="s">
        <v>23</v>
      </c>
      <c r="G991" s="53">
        <v>101500.0</v>
      </c>
      <c r="H991" s="53">
        <v>105000.0</v>
      </c>
      <c r="I991" s="53">
        <v>3500.0</v>
      </c>
      <c r="J991" s="54">
        <v>0.034482758620689655</v>
      </c>
    </row>
    <row r="992" ht="26.25" customHeight="1">
      <c r="A992" s="11" t="s">
        <v>2314</v>
      </c>
      <c r="B992" s="13" t="s">
        <v>1363</v>
      </c>
      <c r="C992" s="16" t="s">
        <v>2315</v>
      </c>
      <c r="D992" s="13" t="s">
        <v>1219</v>
      </c>
      <c r="E992" s="19" t="s">
        <v>22</v>
      </c>
      <c r="F992" s="13" t="s">
        <v>23</v>
      </c>
      <c r="G992" s="22">
        <v>21500.0</v>
      </c>
      <c r="H992" s="22">
        <v>24000.0</v>
      </c>
      <c r="I992" s="22">
        <v>2500.0</v>
      </c>
      <c r="J992" s="46">
        <v>0.11627906976744186</v>
      </c>
    </row>
    <row r="993" ht="26.25" customHeight="1">
      <c r="A993" s="47" t="s">
        <v>2316</v>
      </c>
      <c r="B993" s="48" t="s">
        <v>1363</v>
      </c>
      <c r="C993" s="50" t="s">
        <v>2318</v>
      </c>
      <c r="D993" s="48" t="s">
        <v>1219</v>
      </c>
      <c r="E993" s="52" t="s">
        <v>22</v>
      </c>
      <c r="F993" s="48" t="s">
        <v>23</v>
      </c>
      <c r="G993" s="53">
        <v>51500.0</v>
      </c>
      <c r="H993" s="53">
        <v>54000.0</v>
      </c>
      <c r="I993" s="53">
        <v>2500.0</v>
      </c>
      <c r="J993" s="54">
        <v>0.04854368932038835</v>
      </c>
    </row>
    <row r="994" ht="26.25" customHeight="1">
      <c r="A994" s="11" t="s">
        <v>2320</v>
      </c>
      <c r="B994" s="13" t="s">
        <v>1363</v>
      </c>
      <c r="C994" s="16" t="s">
        <v>2321</v>
      </c>
      <c r="D994" s="13" t="s">
        <v>1219</v>
      </c>
      <c r="E994" s="19" t="s">
        <v>22</v>
      </c>
      <c r="F994" s="13" t="s">
        <v>23</v>
      </c>
      <c r="G994" s="22">
        <v>101500.0</v>
      </c>
      <c r="H994" s="22">
        <v>105000.0</v>
      </c>
      <c r="I994" s="22">
        <v>3500.0</v>
      </c>
      <c r="J994" s="46">
        <v>0.034482758620689655</v>
      </c>
    </row>
    <row r="995" ht="26.25" customHeight="1">
      <c r="A995" s="47" t="s">
        <v>2322</v>
      </c>
      <c r="B995" s="48" t="s">
        <v>1363</v>
      </c>
      <c r="C995" s="50" t="s">
        <v>2323</v>
      </c>
      <c r="D995" s="48" t="s">
        <v>2324</v>
      </c>
      <c r="E995" s="52" t="s">
        <v>22</v>
      </c>
      <c r="F995" s="48" t="s">
        <v>23</v>
      </c>
      <c r="G995" s="53">
        <v>1.0</v>
      </c>
      <c r="H995" s="53">
        <v>7500.0</v>
      </c>
      <c r="I995" s="53">
        <v>7499.0</v>
      </c>
      <c r="J995" s="54">
        <v>7499.0</v>
      </c>
    </row>
    <row r="996" ht="26.25" customHeight="1">
      <c r="A996" s="11" t="s">
        <v>2325</v>
      </c>
      <c r="B996" s="13" t="s">
        <v>1363</v>
      </c>
      <c r="C996" s="16" t="s">
        <v>2326</v>
      </c>
      <c r="D996" s="13" t="s">
        <v>2324</v>
      </c>
      <c r="E996" s="19" t="s">
        <v>22</v>
      </c>
      <c r="F996" s="13" t="s">
        <v>23</v>
      </c>
      <c r="G996" s="22">
        <v>1.0</v>
      </c>
      <c r="H996" s="22">
        <v>20000.0</v>
      </c>
      <c r="I996" s="22">
        <v>19999.0</v>
      </c>
      <c r="J996" s="46">
        <v>19999.0</v>
      </c>
    </row>
    <row r="997" ht="26.25" customHeight="1">
      <c r="A997" s="47" t="s">
        <v>2327</v>
      </c>
      <c r="B997" s="48" t="s">
        <v>1363</v>
      </c>
      <c r="C997" s="50" t="s">
        <v>2328</v>
      </c>
      <c r="D997" s="48" t="s">
        <v>1257</v>
      </c>
      <c r="E997" s="52" t="s">
        <v>22</v>
      </c>
      <c r="F997" s="48" t="s">
        <v>23</v>
      </c>
      <c r="G997" s="53">
        <v>1.0</v>
      </c>
      <c r="H997" s="53">
        <v>7500.0</v>
      </c>
      <c r="I997" s="53">
        <v>7499.0</v>
      </c>
      <c r="J997" s="54">
        <v>7499.0</v>
      </c>
    </row>
    <row r="998" ht="26.25" customHeight="1">
      <c r="A998" s="11" t="s">
        <v>2329</v>
      </c>
      <c r="B998" s="13" t="s">
        <v>1363</v>
      </c>
      <c r="C998" s="16" t="s">
        <v>2330</v>
      </c>
      <c r="D998" s="13" t="s">
        <v>1257</v>
      </c>
      <c r="E998" s="19" t="s">
        <v>22</v>
      </c>
      <c r="F998" s="13" t="s">
        <v>23</v>
      </c>
      <c r="G998" s="22">
        <v>1.0</v>
      </c>
      <c r="H998" s="22">
        <v>20000.0</v>
      </c>
      <c r="I998" s="22">
        <v>19999.0</v>
      </c>
      <c r="J998" s="46">
        <v>19999.0</v>
      </c>
    </row>
    <row r="999" ht="26.25" customHeight="1">
      <c r="A999" s="47" t="s">
        <v>2331</v>
      </c>
      <c r="B999" s="48" t="s">
        <v>1363</v>
      </c>
      <c r="C999" s="50" t="s">
        <v>2332</v>
      </c>
      <c r="D999" s="48" t="s">
        <v>1275</v>
      </c>
      <c r="E999" s="52" t="s">
        <v>22</v>
      </c>
      <c r="F999" s="48" t="s">
        <v>23</v>
      </c>
      <c r="G999" s="53">
        <v>1.0</v>
      </c>
      <c r="H999" s="53">
        <v>7500.0</v>
      </c>
      <c r="I999" s="53">
        <v>7499.0</v>
      </c>
      <c r="J999" s="54">
        <v>7499.0</v>
      </c>
    </row>
    <row r="1000" ht="26.25" customHeight="1">
      <c r="A1000" s="11" t="s">
        <v>2333</v>
      </c>
      <c r="B1000" s="13" t="s">
        <v>1363</v>
      </c>
      <c r="C1000" s="16" t="s">
        <v>2334</v>
      </c>
      <c r="D1000" s="13" t="s">
        <v>1275</v>
      </c>
      <c r="E1000" s="19" t="s">
        <v>22</v>
      </c>
      <c r="F1000" s="13" t="s">
        <v>23</v>
      </c>
      <c r="G1000" s="22">
        <v>1.0</v>
      </c>
      <c r="H1000" s="22">
        <v>10000.0</v>
      </c>
      <c r="I1000" s="22">
        <v>9999.0</v>
      </c>
      <c r="J1000" s="46">
        <v>9999.0</v>
      </c>
    </row>
    <row r="1001" ht="26.25" customHeight="1">
      <c r="A1001" s="47" t="s">
        <v>2335</v>
      </c>
      <c r="B1001" s="48" t="s">
        <v>1363</v>
      </c>
      <c r="C1001" s="50" t="s">
        <v>2337</v>
      </c>
      <c r="D1001" s="48" t="s">
        <v>1275</v>
      </c>
      <c r="E1001" s="52" t="s">
        <v>22</v>
      </c>
      <c r="F1001" s="48" t="s">
        <v>23</v>
      </c>
      <c r="G1001" s="53">
        <v>1.0</v>
      </c>
      <c r="H1001" s="53">
        <v>20000.0</v>
      </c>
      <c r="I1001" s="53">
        <v>19999.0</v>
      </c>
      <c r="J1001" s="54">
        <v>19999.0</v>
      </c>
    </row>
    <row r="1002" ht="26.25" customHeight="1">
      <c r="A1002" s="11" t="s">
        <v>2339</v>
      </c>
      <c r="B1002" s="13" t="s">
        <v>1363</v>
      </c>
      <c r="C1002" s="16" t="s">
        <v>2340</v>
      </c>
      <c r="D1002" s="13" t="s">
        <v>1290</v>
      </c>
      <c r="E1002" s="19" t="s">
        <v>22</v>
      </c>
      <c r="F1002" s="13" t="s">
        <v>23</v>
      </c>
      <c r="G1002" s="22">
        <v>1.0</v>
      </c>
      <c r="H1002" s="22">
        <v>7500.0</v>
      </c>
      <c r="I1002" s="22">
        <v>7499.0</v>
      </c>
      <c r="J1002" s="46">
        <v>7499.0</v>
      </c>
    </row>
    <row r="1003" ht="26.25" customHeight="1">
      <c r="A1003" s="47" t="s">
        <v>2341</v>
      </c>
      <c r="B1003" s="48" t="s">
        <v>1363</v>
      </c>
      <c r="C1003" s="50" t="s">
        <v>2342</v>
      </c>
      <c r="D1003" s="48" t="s">
        <v>1290</v>
      </c>
      <c r="E1003" s="52" t="s">
        <v>22</v>
      </c>
      <c r="F1003" s="48" t="s">
        <v>23</v>
      </c>
      <c r="G1003" s="53">
        <v>1.0</v>
      </c>
      <c r="H1003" s="53">
        <v>20000.0</v>
      </c>
      <c r="I1003" s="53">
        <v>19999.0</v>
      </c>
      <c r="J1003" s="54">
        <v>19999.0</v>
      </c>
    </row>
    <row r="1004" ht="26.25" customHeight="1">
      <c r="A1004" s="11" t="s">
        <v>2343</v>
      </c>
      <c r="B1004" s="13" t="s">
        <v>1363</v>
      </c>
      <c r="C1004" s="16" t="s">
        <v>2344</v>
      </c>
      <c r="D1004" s="13" t="s">
        <v>1307</v>
      </c>
      <c r="E1004" s="19" t="s">
        <v>22</v>
      </c>
      <c r="F1004" s="13" t="s">
        <v>23</v>
      </c>
      <c r="G1004" s="22">
        <v>1.0</v>
      </c>
      <c r="H1004" s="22">
        <v>7500.0</v>
      </c>
      <c r="I1004" s="22">
        <v>7499.0</v>
      </c>
      <c r="J1004" s="46">
        <v>7499.0</v>
      </c>
    </row>
    <row r="1005" ht="26.25" customHeight="1">
      <c r="A1005" s="47" t="s">
        <v>2345</v>
      </c>
      <c r="B1005" s="48" t="s">
        <v>1363</v>
      </c>
      <c r="C1005" s="50" t="s">
        <v>2346</v>
      </c>
      <c r="D1005" s="48" t="s">
        <v>1307</v>
      </c>
      <c r="E1005" s="52" t="s">
        <v>22</v>
      </c>
      <c r="F1005" s="48" t="s">
        <v>23</v>
      </c>
      <c r="G1005" s="53">
        <v>1.0</v>
      </c>
      <c r="H1005" s="53">
        <v>20000.0</v>
      </c>
      <c r="I1005" s="53">
        <v>19999.0</v>
      </c>
      <c r="J1005" s="54">
        <v>19999.0</v>
      </c>
    </row>
    <row r="1006" ht="26.25" customHeight="1">
      <c r="A1006" s="11" t="s">
        <v>2347</v>
      </c>
      <c r="B1006" s="13" t="s">
        <v>2348</v>
      </c>
      <c r="C1006" s="16" t="s">
        <v>2349</v>
      </c>
      <c r="D1006" s="13" t="s">
        <v>2350</v>
      </c>
      <c r="E1006" s="19" t="s">
        <v>803</v>
      </c>
      <c r="F1006" s="13" t="s">
        <v>23</v>
      </c>
      <c r="G1006" s="22">
        <v>0.0</v>
      </c>
      <c r="H1006" s="22">
        <v>5000.0</v>
      </c>
      <c r="I1006" s="22">
        <v>5000.0</v>
      </c>
      <c r="J1006" s="46">
        <v>0.0</v>
      </c>
    </row>
    <row r="1007" ht="26.25" customHeight="1">
      <c r="A1007" s="47" t="s">
        <v>2351</v>
      </c>
      <c r="B1007" s="48" t="s">
        <v>2348</v>
      </c>
      <c r="C1007" s="50" t="s">
        <v>2352</v>
      </c>
      <c r="D1007" s="48" t="s">
        <v>2350</v>
      </c>
      <c r="E1007" s="52" t="s">
        <v>803</v>
      </c>
      <c r="F1007" s="48" t="s">
        <v>23</v>
      </c>
      <c r="G1007" s="53">
        <v>0.0</v>
      </c>
      <c r="H1007" s="53">
        <v>7500.0</v>
      </c>
      <c r="I1007" s="53">
        <v>7500.0</v>
      </c>
      <c r="J1007" s="54">
        <v>0.0</v>
      </c>
    </row>
    <row r="1008" ht="26.25" customHeight="1">
      <c r="A1008" s="11" t="s">
        <v>2353</v>
      </c>
      <c r="B1008" s="13" t="s">
        <v>2348</v>
      </c>
      <c r="C1008" s="16" t="s">
        <v>2354</v>
      </c>
      <c r="D1008" s="13" t="s">
        <v>2350</v>
      </c>
      <c r="E1008" s="19" t="s">
        <v>803</v>
      </c>
      <c r="F1008" s="13" t="s">
        <v>23</v>
      </c>
      <c r="G1008" s="22">
        <v>0.0</v>
      </c>
      <c r="H1008" s="22">
        <v>10000.0</v>
      </c>
      <c r="I1008" s="22">
        <v>10000.0</v>
      </c>
      <c r="J1008" s="46">
        <v>0.0</v>
      </c>
    </row>
    <row r="1009" ht="26.25" customHeight="1">
      <c r="A1009" s="47" t="s">
        <v>2355</v>
      </c>
      <c r="B1009" s="48" t="s">
        <v>2348</v>
      </c>
      <c r="C1009" s="50" t="s">
        <v>2356</v>
      </c>
      <c r="D1009" s="48" t="s">
        <v>2350</v>
      </c>
      <c r="E1009" s="52" t="s">
        <v>803</v>
      </c>
      <c r="F1009" s="48" t="s">
        <v>23</v>
      </c>
      <c r="G1009" s="53">
        <v>0.0</v>
      </c>
      <c r="H1009" s="53">
        <v>15000.0</v>
      </c>
      <c r="I1009" s="53">
        <v>15000.0</v>
      </c>
      <c r="J1009" s="54">
        <v>0.0</v>
      </c>
    </row>
    <row r="1010" ht="26.25" customHeight="1">
      <c r="A1010" s="11" t="s">
        <v>2359</v>
      </c>
      <c r="B1010" s="13" t="s">
        <v>2348</v>
      </c>
      <c r="C1010" s="16" t="s">
        <v>2360</v>
      </c>
      <c r="D1010" s="13" t="s">
        <v>2350</v>
      </c>
      <c r="E1010" s="19" t="s">
        <v>803</v>
      </c>
      <c r="F1010" s="13" t="s">
        <v>23</v>
      </c>
      <c r="G1010" s="22">
        <v>0.0</v>
      </c>
      <c r="H1010" s="22">
        <v>20000.0</v>
      </c>
      <c r="I1010" s="22">
        <v>20000.0</v>
      </c>
      <c r="J1010" s="46">
        <v>0.0</v>
      </c>
    </row>
    <row r="1011" ht="26.25" customHeight="1">
      <c r="A1011" s="47" t="s">
        <v>2361</v>
      </c>
      <c r="B1011" s="48" t="s">
        <v>2348</v>
      </c>
      <c r="C1011" s="50" t="s">
        <v>2362</v>
      </c>
      <c r="D1011" s="48" t="s">
        <v>2350</v>
      </c>
      <c r="E1011" s="52" t="s">
        <v>803</v>
      </c>
      <c r="F1011" s="48" t="s">
        <v>23</v>
      </c>
      <c r="G1011" s="53">
        <v>0.0</v>
      </c>
      <c r="H1011" s="53">
        <v>30000.0</v>
      </c>
      <c r="I1011" s="53">
        <v>30000.0</v>
      </c>
      <c r="J1011" s="54">
        <v>0.0</v>
      </c>
    </row>
    <row r="1012" ht="26.25" customHeight="1">
      <c r="A1012" s="11" t="s">
        <v>2363</v>
      </c>
      <c r="B1012" s="13" t="s">
        <v>2348</v>
      </c>
      <c r="C1012" s="16" t="s">
        <v>2364</v>
      </c>
      <c r="D1012" s="13" t="s">
        <v>2350</v>
      </c>
      <c r="E1012" s="19" t="s">
        <v>803</v>
      </c>
      <c r="F1012" s="13" t="s">
        <v>23</v>
      </c>
      <c r="G1012" s="22">
        <v>0.0</v>
      </c>
      <c r="H1012" s="22">
        <v>40000.0</v>
      </c>
      <c r="I1012" s="22">
        <v>40000.0</v>
      </c>
      <c r="J1012" s="46">
        <v>0.0</v>
      </c>
    </row>
    <row r="1013" ht="26.25" customHeight="1">
      <c r="A1013" s="47" t="s">
        <v>2365</v>
      </c>
      <c r="B1013" s="48" t="s">
        <v>2348</v>
      </c>
      <c r="C1013" s="50" t="s">
        <v>2366</v>
      </c>
      <c r="D1013" s="48" t="s">
        <v>2350</v>
      </c>
      <c r="E1013" s="52" t="s">
        <v>803</v>
      </c>
      <c r="F1013" s="48" t="s">
        <v>23</v>
      </c>
      <c r="G1013" s="53">
        <v>0.0</v>
      </c>
      <c r="H1013" s="53">
        <v>50000.0</v>
      </c>
      <c r="I1013" s="53">
        <v>50000.0</v>
      </c>
      <c r="J1013" s="54">
        <v>0.0</v>
      </c>
    </row>
    <row r="1014" ht="26.25" customHeight="1">
      <c r="A1014" s="11" t="s">
        <v>2367</v>
      </c>
      <c r="B1014" s="13" t="s">
        <v>2348</v>
      </c>
      <c r="C1014" s="16" t="s">
        <v>2368</v>
      </c>
      <c r="D1014" s="13" t="s">
        <v>2369</v>
      </c>
      <c r="E1014" s="19" t="s">
        <v>864</v>
      </c>
      <c r="F1014" s="13" t="s">
        <v>23</v>
      </c>
      <c r="G1014" s="22">
        <v>0.0</v>
      </c>
      <c r="H1014" s="22">
        <v>3000.0</v>
      </c>
      <c r="I1014" s="22">
        <v>3000.0</v>
      </c>
      <c r="J1014" s="46">
        <v>0.0</v>
      </c>
    </row>
    <row r="1015" ht="26.25" customHeight="1">
      <c r="A1015" s="47" t="s">
        <v>2370</v>
      </c>
      <c r="B1015" s="48" t="s">
        <v>2348</v>
      </c>
      <c r="C1015" s="50" t="s">
        <v>2371</v>
      </c>
      <c r="D1015" s="48" t="s">
        <v>2369</v>
      </c>
      <c r="E1015" s="52" t="s">
        <v>864</v>
      </c>
      <c r="F1015" s="48" t="s">
        <v>23</v>
      </c>
      <c r="G1015" s="53">
        <v>0.0</v>
      </c>
      <c r="H1015" s="53">
        <v>4000.0</v>
      </c>
      <c r="I1015" s="53">
        <v>4000.0</v>
      </c>
      <c r="J1015" s="54">
        <v>0.0</v>
      </c>
    </row>
    <row r="1016" ht="26.25" customHeight="1">
      <c r="A1016" s="11" t="s">
        <v>2372</v>
      </c>
      <c r="B1016" s="13" t="s">
        <v>2348</v>
      </c>
      <c r="C1016" s="16" t="s">
        <v>2373</v>
      </c>
      <c r="D1016" s="13" t="s">
        <v>2369</v>
      </c>
      <c r="E1016" s="19" t="s">
        <v>864</v>
      </c>
      <c r="F1016" s="13" t="s">
        <v>23</v>
      </c>
      <c r="G1016" s="22">
        <v>0.0</v>
      </c>
      <c r="H1016" s="22">
        <v>5000.0</v>
      </c>
      <c r="I1016" s="22">
        <v>5000.0</v>
      </c>
      <c r="J1016" s="46">
        <v>0.0</v>
      </c>
    </row>
    <row r="1017" ht="26.25" customHeight="1">
      <c r="A1017" s="47" t="s">
        <v>2374</v>
      </c>
      <c r="B1017" s="48" t="s">
        <v>2348</v>
      </c>
      <c r="C1017" s="50" t="s">
        <v>2375</v>
      </c>
      <c r="D1017" s="48" t="s">
        <v>2369</v>
      </c>
      <c r="E1017" s="52" t="s">
        <v>864</v>
      </c>
      <c r="F1017" s="48" t="s">
        <v>23</v>
      </c>
      <c r="G1017" s="53">
        <v>0.0</v>
      </c>
      <c r="H1017" s="53">
        <v>7500.0</v>
      </c>
      <c r="I1017" s="53">
        <v>7500.0</v>
      </c>
      <c r="J1017" s="54">
        <v>0.0</v>
      </c>
    </row>
    <row r="1018" ht="26.25" customHeight="1">
      <c r="A1018" s="11" t="s">
        <v>2377</v>
      </c>
      <c r="B1018" s="13" t="s">
        <v>2348</v>
      </c>
      <c r="C1018" s="16" t="s">
        <v>2378</v>
      </c>
      <c r="D1018" s="13" t="s">
        <v>2369</v>
      </c>
      <c r="E1018" s="19" t="s">
        <v>864</v>
      </c>
      <c r="F1018" s="13" t="s">
        <v>23</v>
      </c>
      <c r="G1018" s="22">
        <v>0.0</v>
      </c>
      <c r="H1018" s="22">
        <v>10000.0</v>
      </c>
      <c r="I1018" s="22">
        <v>10000.0</v>
      </c>
      <c r="J1018" s="46">
        <v>0.0</v>
      </c>
    </row>
    <row r="1019" ht="26.25" customHeight="1">
      <c r="A1019" s="47" t="s">
        <v>2380</v>
      </c>
      <c r="B1019" s="48" t="s">
        <v>2348</v>
      </c>
      <c r="C1019" s="50" t="s">
        <v>2381</v>
      </c>
      <c r="D1019" s="48" t="s">
        <v>2369</v>
      </c>
      <c r="E1019" s="52" t="s">
        <v>864</v>
      </c>
      <c r="F1019" s="48" t="s">
        <v>23</v>
      </c>
      <c r="G1019" s="53">
        <v>0.0</v>
      </c>
      <c r="H1019" s="53">
        <v>15000.0</v>
      </c>
      <c r="I1019" s="53">
        <v>15000.0</v>
      </c>
      <c r="J1019" s="54">
        <v>0.0</v>
      </c>
    </row>
    <row r="1020" ht="26.25" customHeight="1">
      <c r="A1020" s="11" t="s">
        <v>2382</v>
      </c>
      <c r="B1020" s="13" t="s">
        <v>2348</v>
      </c>
      <c r="C1020" s="16" t="s">
        <v>2383</v>
      </c>
      <c r="D1020" s="13" t="s">
        <v>2369</v>
      </c>
      <c r="E1020" s="19" t="s">
        <v>864</v>
      </c>
      <c r="F1020" s="13" t="s">
        <v>23</v>
      </c>
      <c r="G1020" s="22">
        <v>0.0</v>
      </c>
      <c r="H1020" s="22">
        <v>20000.0</v>
      </c>
      <c r="I1020" s="22">
        <v>20000.0</v>
      </c>
      <c r="J1020" s="46">
        <v>0.0</v>
      </c>
    </row>
    <row r="1021" ht="26.25" customHeight="1">
      <c r="A1021" s="47" t="s">
        <v>2384</v>
      </c>
      <c r="B1021" s="48" t="s">
        <v>2385</v>
      </c>
      <c r="C1021" s="50" t="s">
        <v>2386</v>
      </c>
      <c r="D1021" s="48" t="s">
        <v>2387</v>
      </c>
      <c r="E1021" s="52" t="s">
        <v>834</v>
      </c>
      <c r="F1021" s="48" t="s">
        <v>23</v>
      </c>
      <c r="G1021" s="53">
        <v>3750.0</v>
      </c>
      <c r="H1021" s="53">
        <v>5000.0</v>
      </c>
      <c r="I1021" s="53">
        <v>1250.0</v>
      </c>
      <c r="J1021" s="54">
        <v>0.3333333333333333</v>
      </c>
    </row>
    <row r="1022" ht="26.25" customHeight="1">
      <c r="A1022" s="11" t="s">
        <v>2388</v>
      </c>
      <c r="B1022" s="13" t="s">
        <v>2348</v>
      </c>
      <c r="C1022" s="16" t="s">
        <v>2389</v>
      </c>
      <c r="D1022" s="13" t="s">
        <v>2324</v>
      </c>
      <c r="E1022" s="19" t="s">
        <v>776</v>
      </c>
      <c r="F1022" s="13" t="s">
        <v>23</v>
      </c>
      <c r="G1022" s="22">
        <v>0.0</v>
      </c>
      <c r="H1022" s="22">
        <v>3000.0</v>
      </c>
      <c r="I1022" s="22">
        <v>3000.0</v>
      </c>
      <c r="J1022" s="46">
        <v>0.0</v>
      </c>
    </row>
    <row r="1023" ht="26.25" customHeight="1">
      <c r="A1023" s="47" t="s">
        <v>2390</v>
      </c>
      <c r="B1023" s="48" t="s">
        <v>2348</v>
      </c>
      <c r="C1023" s="50" t="s">
        <v>2391</v>
      </c>
      <c r="D1023" s="48" t="s">
        <v>2324</v>
      </c>
      <c r="E1023" s="52" t="s">
        <v>776</v>
      </c>
      <c r="F1023" s="48" t="s">
        <v>23</v>
      </c>
      <c r="G1023" s="53">
        <v>0.0</v>
      </c>
      <c r="H1023" s="53">
        <v>5000.0</v>
      </c>
      <c r="I1023" s="53">
        <v>5000.0</v>
      </c>
      <c r="J1023" s="54">
        <v>0.0</v>
      </c>
    </row>
    <row r="1024" ht="26.25" customHeight="1">
      <c r="A1024" s="11" t="s">
        <v>2392</v>
      </c>
      <c r="B1024" s="13" t="s">
        <v>2348</v>
      </c>
      <c r="C1024" s="16" t="s">
        <v>2393</v>
      </c>
      <c r="D1024" s="13" t="s">
        <v>2324</v>
      </c>
      <c r="E1024" s="19" t="s">
        <v>776</v>
      </c>
      <c r="F1024" s="13" t="s">
        <v>23</v>
      </c>
      <c r="G1024" s="22">
        <v>0.0</v>
      </c>
      <c r="H1024" s="22">
        <v>7500.0</v>
      </c>
      <c r="I1024" s="22">
        <v>7500.0</v>
      </c>
      <c r="J1024" s="46">
        <v>0.0</v>
      </c>
    </row>
    <row r="1025" ht="26.25" customHeight="1">
      <c r="A1025" s="47" t="s">
        <v>2394</v>
      </c>
      <c r="B1025" s="48" t="s">
        <v>2348</v>
      </c>
      <c r="C1025" s="50" t="s">
        <v>2395</v>
      </c>
      <c r="D1025" s="48" t="s">
        <v>2324</v>
      </c>
      <c r="E1025" s="52" t="s">
        <v>776</v>
      </c>
      <c r="F1025" s="48" t="s">
        <v>23</v>
      </c>
      <c r="G1025" s="53">
        <v>0.0</v>
      </c>
      <c r="H1025" s="53">
        <v>10000.0</v>
      </c>
      <c r="I1025" s="53">
        <v>10000.0</v>
      </c>
      <c r="J1025" s="54">
        <v>0.0</v>
      </c>
    </row>
    <row r="1026" ht="26.25" customHeight="1">
      <c r="A1026" s="11" t="s">
        <v>2396</v>
      </c>
      <c r="B1026" s="13" t="s">
        <v>2348</v>
      </c>
      <c r="C1026" s="16" t="s">
        <v>2397</v>
      </c>
      <c r="D1026" s="13" t="s">
        <v>2324</v>
      </c>
      <c r="E1026" s="19" t="s">
        <v>776</v>
      </c>
      <c r="F1026" s="13" t="s">
        <v>23</v>
      </c>
      <c r="G1026" s="22">
        <v>0.0</v>
      </c>
      <c r="H1026" s="22">
        <v>15000.0</v>
      </c>
      <c r="I1026" s="22">
        <v>15000.0</v>
      </c>
      <c r="J1026" s="46">
        <v>0.0</v>
      </c>
    </row>
    <row r="1027" ht="26.25" customHeight="1">
      <c r="A1027" s="47" t="s">
        <v>2400</v>
      </c>
      <c r="B1027" s="48" t="s">
        <v>2348</v>
      </c>
      <c r="C1027" s="50" t="s">
        <v>2401</v>
      </c>
      <c r="D1027" s="48" t="s">
        <v>2324</v>
      </c>
      <c r="E1027" s="52" t="s">
        <v>776</v>
      </c>
      <c r="F1027" s="48" t="s">
        <v>23</v>
      </c>
      <c r="G1027" s="53">
        <v>0.0</v>
      </c>
      <c r="H1027" s="53">
        <v>20000.0</v>
      </c>
      <c r="I1027" s="53">
        <v>20000.0</v>
      </c>
      <c r="J1027" s="54">
        <v>0.0</v>
      </c>
    </row>
    <row r="1028" ht="26.25" customHeight="1">
      <c r="A1028" s="11"/>
      <c r="B1028" s="13"/>
      <c r="C1028" s="16" t="s">
        <v>772</v>
      </c>
      <c r="D1028" s="13"/>
      <c r="E1028" s="13"/>
      <c r="F1028" s="13"/>
      <c r="G1028" s="22">
        <v>0.0</v>
      </c>
      <c r="H1028" s="22">
        <v>0.0</v>
      </c>
      <c r="I1028" s="22" t="s">
        <v>772</v>
      </c>
      <c r="J1028" s="46" t="s">
        <v>772</v>
      </c>
    </row>
    <row r="1029" ht="26.25" customHeight="1">
      <c r="A1029" s="47"/>
      <c r="B1029" s="48"/>
      <c r="C1029" s="50" t="s">
        <v>772</v>
      </c>
      <c r="D1029" s="48"/>
      <c r="E1029" s="48"/>
      <c r="F1029" s="48"/>
      <c r="G1029" s="53">
        <v>0.0</v>
      </c>
      <c r="H1029" s="53">
        <v>0.0</v>
      </c>
      <c r="I1029" s="53" t="s">
        <v>772</v>
      </c>
      <c r="J1029" s="54" t="s">
        <v>772</v>
      </c>
    </row>
    <row r="1030" ht="26.25" customHeight="1">
      <c r="A1030" s="11"/>
      <c r="B1030" s="13"/>
      <c r="C1030" s="16" t="s">
        <v>772</v>
      </c>
      <c r="D1030" s="13"/>
      <c r="E1030" s="13"/>
      <c r="F1030" s="13"/>
      <c r="G1030" s="22">
        <v>0.0</v>
      </c>
      <c r="H1030" s="22">
        <v>0.0</v>
      </c>
      <c r="I1030" s="22" t="s">
        <v>772</v>
      </c>
      <c r="J1030" s="46" t="s">
        <v>772</v>
      </c>
    </row>
    <row r="1031" ht="26.25" customHeight="1">
      <c r="A1031" s="47"/>
      <c r="B1031" s="48"/>
      <c r="C1031" s="50" t="s">
        <v>772</v>
      </c>
      <c r="D1031" s="48"/>
      <c r="E1031" s="48"/>
      <c r="F1031" s="48"/>
      <c r="G1031" s="53">
        <v>0.0</v>
      </c>
      <c r="H1031" s="53">
        <v>0.0</v>
      </c>
      <c r="I1031" s="53" t="s">
        <v>772</v>
      </c>
      <c r="J1031" s="54" t="s">
        <v>772</v>
      </c>
    </row>
    <row r="1032" ht="26.25" customHeight="1">
      <c r="A1032" s="11"/>
      <c r="B1032" s="13"/>
      <c r="C1032" s="16" t="s">
        <v>772</v>
      </c>
      <c r="D1032" s="13"/>
      <c r="E1032" s="13"/>
      <c r="F1032" s="13"/>
      <c r="G1032" s="22">
        <v>0.0</v>
      </c>
      <c r="H1032" s="22">
        <v>0.0</v>
      </c>
      <c r="I1032" s="22" t="s">
        <v>772</v>
      </c>
      <c r="J1032" s="46" t="s">
        <v>772</v>
      </c>
    </row>
    <row r="1033" ht="26.25" customHeight="1">
      <c r="A1033" s="47"/>
      <c r="B1033" s="48"/>
      <c r="C1033" s="50" t="s">
        <v>772</v>
      </c>
      <c r="D1033" s="48"/>
      <c r="E1033" s="48"/>
      <c r="F1033" s="48"/>
      <c r="G1033" s="53">
        <v>0.0</v>
      </c>
      <c r="H1033" s="53">
        <v>0.0</v>
      </c>
      <c r="I1033" s="53" t="s">
        <v>772</v>
      </c>
      <c r="J1033" s="54" t="s">
        <v>772</v>
      </c>
    </row>
    <row r="1034" ht="26.25" customHeight="1">
      <c r="A1034" s="11"/>
      <c r="B1034" s="13"/>
      <c r="C1034" s="16" t="s">
        <v>772</v>
      </c>
      <c r="D1034" s="13"/>
      <c r="E1034" s="13"/>
      <c r="F1034" s="13"/>
      <c r="G1034" s="22">
        <v>0.0</v>
      </c>
      <c r="H1034" s="22">
        <v>0.0</v>
      </c>
      <c r="I1034" s="22" t="s">
        <v>772</v>
      </c>
      <c r="J1034" s="46" t="s">
        <v>772</v>
      </c>
    </row>
    <row r="1035" ht="26.25" customHeight="1">
      <c r="A1035" s="47"/>
      <c r="B1035" s="48"/>
      <c r="C1035" s="50" t="s">
        <v>772</v>
      </c>
      <c r="D1035" s="48"/>
      <c r="E1035" s="48"/>
      <c r="F1035" s="48"/>
      <c r="G1035" s="184">
        <v>0.0</v>
      </c>
      <c r="H1035" s="184">
        <v>0.0</v>
      </c>
      <c r="I1035" s="184" t="s">
        <v>772</v>
      </c>
      <c r="J1035" s="186" t="s">
        <v>772</v>
      </c>
    </row>
    <row r="1036" ht="26.25" customHeight="1">
      <c r="A1036" s="11"/>
      <c r="B1036" s="13"/>
      <c r="C1036" s="16" t="s">
        <v>772</v>
      </c>
      <c r="D1036" s="13"/>
      <c r="E1036" s="13"/>
      <c r="F1036" s="13"/>
      <c r="G1036" s="190">
        <v>0.0</v>
      </c>
      <c r="H1036" s="190">
        <v>0.0</v>
      </c>
      <c r="I1036" s="190" t="s">
        <v>772</v>
      </c>
      <c r="J1036" s="192" t="s">
        <v>772</v>
      </c>
    </row>
    <row r="1037" ht="26.25" customHeight="1">
      <c r="A1037" s="47"/>
      <c r="B1037" s="48"/>
      <c r="C1037" s="50" t="s">
        <v>772</v>
      </c>
      <c r="D1037" s="48"/>
      <c r="E1037" s="48"/>
      <c r="F1037" s="48"/>
      <c r="G1037" s="184">
        <v>0.0</v>
      </c>
      <c r="H1037" s="184">
        <v>0.0</v>
      </c>
      <c r="I1037" s="184" t="s">
        <v>772</v>
      </c>
      <c r="J1037" s="186" t="s">
        <v>772</v>
      </c>
    </row>
    <row r="1038" ht="26.25" customHeight="1">
      <c r="A1038" s="11"/>
      <c r="B1038" s="13"/>
      <c r="C1038" s="16" t="s">
        <v>772</v>
      </c>
      <c r="D1038" s="13"/>
      <c r="E1038" s="13"/>
      <c r="F1038" s="13"/>
      <c r="G1038" s="190">
        <v>0.0</v>
      </c>
      <c r="H1038" s="190">
        <v>0.0</v>
      </c>
      <c r="I1038" s="190" t="s">
        <v>772</v>
      </c>
      <c r="J1038" s="192" t="s">
        <v>772</v>
      </c>
    </row>
    <row r="1039" ht="26.25" customHeight="1">
      <c r="A1039" s="47"/>
      <c r="B1039" s="48"/>
      <c r="C1039" s="50" t="s">
        <v>772</v>
      </c>
      <c r="D1039" s="48"/>
      <c r="E1039" s="48"/>
      <c r="F1039" s="48"/>
      <c r="G1039" s="184">
        <v>0.0</v>
      </c>
      <c r="H1039" s="184">
        <v>0.0</v>
      </c>
      <c r="I1039" s="184" t="s">
        <v>772</v>
      </c>
      <c r="J1039" s="186" t="s">
        <v>772</v>
      </c>
    </row>
    <row r="1040" ht="26.25" customHeight="1">
      <c r="A1040" s="11"/>
      <c r="B1040" s="13"/>
      <c r="C1040" s="16" t="s">
        <v>772</v>
      </c>
      <c r="D1040" s="13"/>
      <c r="E1040" s="13"/>
      <c r="F1040" s="13"/>
      <c r="G1040" s="190">
        <v>0.0</v>
      </c>
      <c r="H1040" s="190">
        <v>0.0</v>
      </c>
      <c r="I1040" s="190" t="s">
        <v>772</v>
      </c>
      <c r="J1040" s="192" t="s">
        <v>772</v>
      </c>
    </row>
    <row r="1041" ht="26.25" customHeight="1">
      <c r="A1041" s="47"/>
      <c r="B1041" s="48"/>
      <c r="C1041" s="50" t="s">
        <v>772</v>
      </c>
      <c r="D1041" s="48"/>
      <c r="E1041" s="48"/>
      <c r="F1041" s="48"/>
      <c r="G1041" s="184">
        <v>0.0</v>
      </c>
      <c r="H1041" s="184">
        <v>0.0</v>
      </c>
      <c r="I1041" s="184" t="s">
        <v>772</v>
      </c>
      <c r="J1041" s="186" t="s">
        <v>772</v>
      </c>
    </row>
    <row r="1042" ht="26.25" customHeight="1">
      <c r="A1042" s="11"/>
      <c r="B1042" s="13"/>
      <c r="C1042" s="16" t="s">
        <v>772</v>
      </c>
      <c r="D1042" s="13"/>
      <c r="E1042" s="13"/>
      <c r="F1042" s="13"/>
      <c r="G1042" s="190">
        <v>0.0</v>
      </c>
      <c r="H1042" s="190">
        <v>0.0</v>
      </c>
      <c r="I1042" s="190" t="s">
        <v>772</v>
      </c>
      <c r="J1042" s="192" t="s">
        <v>772</v>
      </c>
    </row>
    <row r="1043" ht="26.25" customHeight="1">
      <c r="A1043" s="47"/>
      <c r="B1043" s="48"/>
      <c r="C1043" s="50" t="s">
        <v>772</v>
      </c>
      <c r="D1043" s="48"/>
      <c r="E1043" s="48"/>
      <c r="F1043" s="48"/>
      <c r="G1043" s="184">
        <v>0.0</v>
      </c>
      <c r="H1043" s="184">
        <v>0.0</v>
      </c>
      <c r="I1043" s="184" t="s">
        <v>772</v>
      </c>
      <c r="J1043" s="186" t="s">
        <v>772</v>
      </c>
    </row>
    <row r="1044" ht="26.25" customHeight="1">
      <c r="A1044" s="11"/>
      <c r="B1044" s="13"/>
      <c r="C1044" s="16" t="s">
        <v>772</v>
      </c>
      <c r="D1044" s="13"/>
      <c r="E1044" s="13"/>
      <c r="F1044" s="13"/>
      <c r="G1044" s="190">
        <v>0.0</v>
      </c>
      <c r="H1044" s="190">
        <v>0.0</v>
      </c>
      <c r="I1044" s="190" t="s">
        <v>772</v>
      </c>
      <c r="J1044" s="192" t="s">
        <v>772</v>
      </c>
    </row>
    <row r="1045" ht="26.25" customHeight="1">
      <c r="A1045" s="47"/>
      <c r="B1045" s="48"/>
      <c r="C1045" s="50" t="s">
        <v>772</v>
      </c>
      <c r="D1045" s="48"/>
      <c r="E1045" s="48"/>
      <c r="F1045" s="48"/>
      <c r="G1045" s="184">
        <v>0.0</v>
      </c>
      <c r="H1045" s="184">
        <v>0.0</v>
      </c>
      <c r="I1045" s="184" t="s">
        <v>772</v>
      </c>
      <c r="J1045" s="186" t="s">
        <v>772</v>
      </c>
    </row>
    <row r="1046" ht="26.25" customHeight="1">
      <c r="A1046" s="11"/>
      <c r="B1046" s="13"/>
      <c r="C1046" s="16" t="s">
        <v>772</v>
      </c>
      <c r="D1046" s="13"/>
      <c r="E1046" s="13"/>
      <c r="F1046" s="13"/>
      <c r="G1046" s="190">
        <v>0.0</v>
      </c>
      <c r="H1046" s="190">
        <v>0.0</v>
      </c>
      <c r="I1046" s="190" t="s">
        <v>772</v>
      </c>
      <c r="J1046" s="192" t="s">
        <v>772</v>
      </c>
    </row>
    <row r="1047" ht="26.25" customHeight="1">
      <c r="A1047" s="47"/>
      <c r="B1047" s="48"/>
      <c r="C1047" s="50" t="s">
        <v>772</v>
      </c>
      <c r="D1047" s="48"/>
      <c r="E1047" s="48"/>
      <c r="F1047" s="48"/>
      <c r="G1047" s="184">
        <v>0.0</v>
      </c>
      <c r="H1047" s="184">
        <v>0.0</v>
      </c>
      <c r="I1047" s="184" t="s">
        <v>772</v>
      </c>
      <c r="J1047" s="186" t="s">
        <v>772</v>
      </c>
    </row>
    <row r="1048" ht="26.25" customHeight="1">
      <c r="A1048" s="11"/>
      <c r="B1048" s="13"/>
      <c r="C1048" s="16" t="s">
        <v>772</v>
      </c>
      <c r="D1048" s="13"/>
      <c r="E1048" s="13"/>
      <c r="F1048" s="13"/>
      <c r="G1048" s="190">
        <v>0.0</v>
      </c>
      <c r="H1048" s="190">
        <v>0.0</v>
      </c>
      <c r="I1048" s="190" t="s">
        <v>772</v>
      </c>
      <c r="J1048" s="192" t="s">
        <v>772</v>
      </c>
    </row>
    <row r="1049" ht="26.25" customHeight="1">
      <c r="A1049" s="47"/>
      <c r="B1049" s="48"/>
      <c r="C1049" s="50" t="s">
        <v>772</v>
      </c>
      <c r="D1049" s="48"/>
      <c r="E1049" s="48"/>
      <c r="F1049" s="48"/>
      <c r="G1049" s="184">
        <v>0.0</v>
      </c>
      <c r="H1049" s="184">
        <v>0.0</v>
      </c>
      <c r="I1049" s="184" t="s">
        <v>772</v>
      </c>
      <c r="J1049" s="186" t="s">
        <v>772</v>
      </c>
    </row>
    <row r="1050" ht="26.25" customHeight="1">
      <c r="A1050" s="11"/>
      <c r="B1050" s="13"/>
      <c r="C1050" s="16" t="s">
        <v>772</v>
      </c>
      <c r="D1050" s="13"/>
      <c r="E1050" s="13"/>
      <c r="F1050" s="13"/>
      <c r="G1050" s="190">
        <v>0.0</v>
      </c>
      <c r="H1050" s="190">
        <v>0.0</v>
      </c>
      <c r="I1050" s="190" t="s">
        <v>772</v>
      </c>
      <c r="J1050" s="192" t="s">
        <v>772</v>
      </c>
    </row>
    <row r="1051" ht="26.25" customHeight="1">
      <c r="A1051" s="47"/>
      <c r="B1051" s="48"/>
      <c r="C1051" s="50" t="s">
        <v>772</v>
      </c>
      <c r="D1051" s="48"/>
      <c r="E1051" s="48"/>
      <c r="F1051" s="48"/>
      <c r="G1051" s="184">
        <v>0.0</v>
      </c>
      <c r="H1051" s="184">
        <v>0.0</v>
      </c>
      <c r="I1051" s="184" t="s">
        <v>772</v>
      </c>
      <c r="J1051" s="186" t="s">
        <v>772</v>
      </c>
    </row>
    <row r="1052" ht="26.25" customHeight="1">
      <c r="A1052" s="11"/>
      <c r="B1052" s="13"/>
      <c r="C1052" s="16" t="s">
        <v>772</v>
      </c>
      <c r="D1052" s="13"/>
      <c r="E1052" s="13"/>
      <c r="F1052" s="13"/>
      <c r="G1052" s="190">
        <v>0.0</v>
      </c>
      <c r="H1052" s="190">
        <v>0.0</v>
      </c>
      <c r="I1052" s="190" t="s">
        <v>772</v>
      </c>
      <c r="J1052" s="192" t="s">
        <v>772</v>
      </c>
    </row>
    <row r="1053" ht="26.25" customHeight="1">
      <c r="A1053" s="47"/>
      <c r="B1053" s="48"/>
      <c r="C1053" s="50" t="s">
        <v>772</v>
      </c>
      <c r="D1053" s="48"/>
      <c r="E1053" s="48"/>
      <c r="F1053" s="48"/>
      <c r="G1053" s="184">
        <v>0.0</v>
      </c>
      <c r="H1053" s="184">
        <v>0.0</v>
      </c>
      <c r="I1053" s="184" t="s">
        <v>772</v>
      </c>
      <c r="J1053" s="186" t="s">
        <v>772</v>
      </c>
    </row>
    <row r="1054" ht="26.25" customHeight="1">
      <c r="A1054" s="11"/>
      <c r="B1054" s="13"/>
      <c r="C1054" s="16" t="s">
        <v>772</v>
      </c>
      <c r="D1054" s="13"/>
      <c r="E1054" s="13"/>
      <c r="F1054" s="13"/>
      <c r="G1054" s="190">
        <v>0.0</v>
      </c>
      <c r="H1054" s="190">
        <v>0.0</v>
      </c>
      <c r="I1054" s="190" t="s">
        <v>772</v>
      </c>
      <c r="J1054" s="192" t="s">
        <v>772</v>
      </c>
    </row>
    <row r="1055" ht="26.25" customHeight="1">
      <c r="A1055" s="47"/>
      <c r="B1055" s="48"/>
      <c r="C1055" s="50" t="s">
        <v>772</v>
      </c>
      <c r="D1055" s="48"/>
      <c r="E1055" s="48"/>
      <c r="F1055" s="48"/>
      <c r="G1055" s="184">
        <v>0.0</v>
      </c>
      <c r="H1055" s="184">
        <v>0.0</v>
      </c>
      <c r="I1055" s="184" t="s">
        <v>772</v>
      </c>
      <c r="J1055" s="186" t="s">
        <v>772</v>
      </c>
    </row>
    <row r="1056" ht="26.25" customHeight="1">
      <c r="A1056" s="11"/>
      <c r="B1056" s="13"/>
      <c r="C1056" s="16" t="s">
        <v>772</v>
      </c>
      <c r="D1056" s="13"/>
      <c r="E1056" s="13"/>
      <c r="F1056" s="13"/>
      <c r="G1056" s="190">
        <v>0.0</v>
      </c>
      <c r="H1056" s="190">
        <v>0.0</v>
      </c>
      <c r="I1056" s="190" t="s">
        <v>772</v>
      </c>
      <c r="J1056" s="192" t="s">
        <v>772</v>
      </c>
    </row>
    <row r="1057" ht="26.25" customHeight="1">
      <c r="A1057" s="47"/>
      <c r="B1057" s="48"/>
      <c r="C1057" s="50" t="s">
        <v>772</v>
      </c>
      <c r="D1057" s="48"/>
      <c r="E1057" s="48"/>
      <c r="F1057" s="48"/>
      <c r="G1057" s="184">
        <v>0.0</v>
      </c>
      <c r="H1057" s="184">
        <v>0.0</v>
      </c>
      <c r="I1057" s="184" t="s">
        <v>772</v>
      </c>
      <c r="J1057" s="186" t="s">
        <v>772</v>
      </c>
    </row>
    <row r="1058" ht="26.25" customHeight="1">
      <c r="A1058" s="11"/>
      <c r="B1058" s="13"/>
      <c r="C1058" s="16" t="s">
        <v>772</v>
      </c>
      <c r="D1058" s="13"/>
      <c r="E1058" s="13"/>
      <c r="F1058" s="13"/>
      <c r="G1058" s="190">
        <v>0.0</v>
      </c>
      <c r="H1058" s="190">
        <v>0.0</v>
      </c>
      <c r="I1058" s="190" t="s">
        <v>772</v>
      </c>
      <c r="J1058" s="192" t="s">
        <v>772</v>
      </c>
    </row>
    <row r="1059" ht="26.25" customHeight="1">
      <c r="A1059" s="47"/>
      <c r="B1059" s="48"/>
      <c r="C1059" s="50" t="s">
        <v>772</v>
      </c>
      <c r="D1059" s="48"/>
      <c r="E1059" s="48"/>
      <c r="F1059" s="48"/>
      <c r="G1059" s="184">
        <v>0.0</v>
      </c>
      <c r="H1059" s="184">
        <v>0.0</v>
      </c>
      <c r="I1059" s="184" t="s">
        <v>772</v>
      </c>
      <c r="J1059" s="186" t="s">
        <v>772</v>
      </c>
    </row>
    <row r="1060" ht="26.25" customHeight="1">
      <c r="A1060" s="11"/>
      <c r="B1060" s="13"/>
      <c r="C1060" s="16" t="s">
        <v>772</v>
      </c>
      <c r="D1060" s="13"/>
      <c r="E1060" s="13"/>
      <c r="F1060" s="13"/>
      <c r="G1060" s="190">
        <v>0.0</v>
      </c>
      <c r="H1060" s="190">
        <v>0.0</v>
      </c>
      <c r="I1060" s="190" t="s">
        <v>772</v>
      </c>
      <c r="J1060" s="192" t="s">
        <v>772</v>
      </c>
    </row>
    <row r="1061" ht="26.25" customHeight="1">
      <c r="A1061" s="47"/>
      <c r="B1061" s="48"/>
      <c r="C1061" s="50" t="s">
        <v>772</v>
      </c>
      <c r="D1061" s="48"/>
      <c r="E1061" s="48"/>
      <c r="F1061" s="48"/>
      <c r="G1061" s="184">
        <v>0.0</v>
      </c>
      <c r="H1061" s="184">
        <v>0.0</v>
      </c>
      <c r="I1061" s="184" t="s">
        <v>772</v>
      </c>
      <c r="J1061" s="186" t="s">
        <v>772</v>
      </c>
    </row>
    <row r="1062" ht="26.25" customHeight="1">
      <c r="A1062" s="11"/>
      <c r="B1062" s="13"/>
      <c r="C1062" s="16" t="s">
        <v>772</v>
      </c>
      <c r="D1062" s="13"/>
      <c r="E1062" s="13"/>
      <c r="F1062" s="13"/>
      <c r="G1062" s="190">
        <v>0.0</v>
      </c>
      <c r="H1062" s="190">
        <v>0.0</v>
      </c>
      <c r="I1062" s="190" t="s">
        <v>772</v>
      </c>
      <c r="J1062" s="192" t="s">
        <v>772</v>
      </c>
    </row>
    <row r="1063" ht="26.25" customHeight="1">
      <c r="A1063" s="47"/>
      <c r="B1063" s="48"/>
      <c r="C1063" s="50" t="s">
        <v>772</v>
      </c>
      <c r="D1063" s="48"/>
      <c r="E1063" s="48"/>
      <c r="F1063" s="48"/>
      <c r="G1063" s="184">
        <v>0.0</v>
      </c>
      <c r="H1063" s="184">
        <v>0.0</v>
      </c>
      <c r="I1063" s="184" t="s">
        <v>772</v>
      </c>
      <c r="J1063" s="186" t="s">
        <v>772</v>
      </c>
    </row>
    <row r="1064" ht="26.25" customHeight="1">
      <c r="A1064" s="11"/>
      <c r="B1064" s="13"/>
      <c r="C1064" s="16" t="s">
        <v>772</v>
      </c>
      <c r="D1064" s="13"/>
      <c r="E1064" s="13"/>
      <c r="F1064" s="13"/>
      <c r="G1064" s="190">
        <v>0.0</v>
      </c>
      <c r="H1064" s="190">
        <v>0.0</v>
      </c>
      <c r="I1064" s="190" t="s">
        <v>772</v>
      </c>
      <c r="J1064" s="192" t="s">
        <v>772</v>
      </c>
    </row>
    <row r="1065" ht="26.25" customHeight="1">
      <c r="A1065" s="47"/>
      <c r="B1065" s="48"/>
      <c r="C1065" s="50" t="s">
        <v>772</v>
      </c>
      <c r="D1065" s="48"/>
      <c r="E1065" s="48"/>
      <c r="F1065" s="48"/>
      <c r="G1065" s="184">
        <v>0.0</v>
      </c>
      <c r="H1065" s="184">
        <v>0.0</v>
      </c>
      <c r="I1065" s="184" t="s">
        <v>772</v>
      </c>
      <c r="J1065" s="186" t="s">
        <v>772</v>
      </c>
    </row>
    <row r="1066" ht="26.25" customHeight="1">
      <c r="A1066" s="11"/>
      <c r="B1066" s="13"/>
      <c r="C1066" s="16" t="s">
        <v>772</v>
      </c>
      <c r="D1066" s="13"/>
      <c r="E1066" s="13"/>
      <c r="F1066" s="13"/>
      <c r="G1066" s="22">
        <v>0.0</v>
      </c>
      <c r="H1066" s="22">
        <v>0.0</v>
      </c>
      <c r="I1066" s="22" t="s">
        <v>772</v>
      </c>
      <c r="J1066" s="46" t="s">
        <v>772</v>
      </c>
    </row>
    <row r="1067" ht="26.25" customHeight="1">
      <c r="A1067" s="47"/>
      <c r="B1067" s="48"/>
      <c r="C1067" s="50" t="s">
        <v>772</v>
      </c>
      <c r="D1067" s="48"/>
      <c r="E1067" s="48"/>
      <c r="F1067" s="48"/>
      <c r="G1067" s="53">
        <v>0.0</v>
      </c>
      <c r="H1067" s="53">
        <v>0.0</v>
      </c>
      <c r="I1067" s="53" t="s">
        <v>772</v>
      </c>
      <c r="J1067" s="54" t="s">
        <v>772</v>
      </c>
    </row>
    <row r="1068" ht="26.25" customHeight="1">
      <c r="A1068" s="11"/>
      <c r="B1068" s="13"/>
      <c r="C1068" s="16" t="s">
        <v>772</v>
      </c>
      <c r="D1068" s="13"/>
      <c r="E1068" s="13"/>
      <c r="F1068" s="13"/>
      <c r="G1068" s="22">
        <v>0.0</v>
      </c>
      <c r="H1068" s="22">
        <v>0.0</v>
      </c>
      <c r="I1068" s="22" t="s">
        <v>772</v>
      </c>
      <c r="J1068" s="46" t="s">
        <v>772</v>
      </c>
    </row>
    <row r="1069" ht="26.25" customHeight="1">
      <c r="A1069" s="47"/>
      <c r="B1069" s="48"/>
      <c r="C1069" s="50" t="s">
        <v>772</v>
      </c>
      <c r="D1069" s="48"/>
      <c r="E1069" s="48"/>
      <c r="F1069" s="48"/>
      <c r="G1069" s="53">
        <v>0.0</v>
      </c>
      <c r="H1069" s="53">
        <v>0.0</v>
      </c>
      <c r="I1069" s="53" t="s">
        <v>772</v>
      </c>
      <c r="J1069" s="54" t="s">
        <v>772</v>
      </c>
    </row>
    <row r="1070" ht="26.25" customHeight="1">
      <c r="A1070" s="11"/>
      <c r="B1070" s="13"/>
      <c r="C1070" s="16" t="s">
        <v>772</v>
      </c>
      <c r="D1070" s="13"/>
      <c r="E1070" s="13"/>
      <c r="F1070" s="13"/>
      <c r="G1070" s="22">
        <v>0.0</v>
      </c>
      <c r="H1070" s="22">
        <v>0.0</v>
      </c>
      <c r="I1070" s="22" t="s">
        <v>772</v>
      </c>
      <c r="J1070" s="46" t="s">
        <v>772</v>
      </c>
    </row>
    <row r="1071" ht="26.25" customHeight="1">
      <c r="A1071" s="47"/>
      <c r="B1071" s="48"/>
      <c r="C1071" s="50" t="s">
        <v>772</v>
      </c>
      <c r="D1071" s="48"/>
      <c r="E1071" s="48"/>
      <c r="F1071" s="48"/>
      <c r="G1071" s="53">
        <v>0.0</v>
      </c>
      <c r="H1071" s="53">
        <v>0.0</v>
      </c>
      <c r="I1071" s="53" t="s">
        <v>772</v>
      </c>
      <c r="J1071" s="54" t="s">
        <v>772</v>
      </c>
    </row>
    <row r="1072" ht="26.25" customHeight="1">
      <c r="A1072" s="11"/>
      <c r="B1072" s="13"/>
      <c r="C1072" s="16" t="s">
        <v>772</v>
      </c>
      <c r="D1072" s="13"/>
      <c r="E1072" s="13"/>
      <c r="F1072" s="13"/>
      <c r="G1072" s="22">
        <v>0.0</v>
      </c>
      <c r="H1072" s="22">
        <v>0.0</v>
      </c>
      <c r="I1072" s="22" t="s">
        <v>772</v>
      </c>
      <c r="J1072" s="46" t="s">
        <v>772</v>
      </c>
    </row>
    <row r="1073" ht="26.25" customHeight="1">
      <c r="A1073" s="47"/>
      <c r="B1073" s="48"/>
      <c r="C1073" s="50" t="s">
        <v>772</v>
      </c>
      <c r="D1073" s="48"/>
      <c r="E1073" s="48"/>
      <c r="F1073" s="48"/>
      <c r="G1073" s="53">
        <v>0.0</v>
      </c>
      <c r="H1073" s="53">
        <v>0.0</v>
      </c>
      <c r="I1073" s="53" t="s">
        <v>772</v>
      </c>
      <c r="J1073" s="54" t="s">
        <v>772</v>
      </c>
    </row>
    <row r="1074" ht="26.25" customHeight="1">
      <c r="A1074" s="11"/>
      <c r="B1074" s="13"/>
      <c r="C1074" s="16" t="s">
        <v>772</v>
      </c>
      <c r="D1074" s="13"/>
      <c r="E1074" s="13"/>
      <c r="F1074" s="13"/>
      <c r="G1074" s="22">
        <v>0.0</v>
      </c>
      <c r="H1074" s="22">
        <v>0.0</v>
      </c>
      <c r="I1074" s="22" t="s">
        <v>772</v>
      </c>
      <c r="J1074" s="46" t="s">
        <v>772</v>
      </c>
    </row>
    <row r="1075" ht="26.25" customHeight="1">
      <c r="A1075" s="47"/>
      <c r="B1075" s="48"/>
      <c r="C1075" s="50" t="s">
        <v>772</v>
      </c>
      <c r="D1075" s="48"/>
      <c r="E1075" s="48"/>
      <c r="F1075" s="48"/>
      <c r="G1075" s="53">
        <v>0.0</v>
      </c>
      <c r="H1075" s="53">
        <v>0.0</v>
      </c>
      <c r="I1075" s="53" t="s">
        <v>772</v>
      </c>
      <c r="J1075" s="54" t="s">
        <v>772</v>
      </c>
    </row>
    <row r="1076" ht="26.25" customHeight="1">
      <c r="A1076" s="11"/>
      <c r="B1076" s="13"/>
      <c r="C1076" s="16" t="s">
        <v>772</v>
      </c>
      <c r="D1076" s="13"/>
      <c r="E1076" s="13"/>
      <c r="F1076" s="13"/>
      <c r="G1076" s="22">
        <v>0.0</v>
      </c>
      <c r="H1076" s="22">
        <v>0.0</v>
      </c>
      <c r="I1076" s="22" t="s">
        <v>772</v>
      </c>
      <c r="J1076" s="46" t="s">
        <v>772</v>
      </c>
    </row>
    <row r="1077" ht="26.25" customHeight="1">
      <c r="A1077" s="47"/>
      <c r="B1077" s="48"/>
      <c r="C1077" s="50" t="s">
        <v>772</v>
      </c>
      <c r="D1077" s="48"/>
      <c r="E1077" s="48"/>
      <c r="F1077" s="48"/>
      <c r="G1077" s="53">
        <v>0.0</v>
      </c>
      <c r="H1077" s="53">
        <v>0.0</v>
      </c>
      <c r="I1077" s="53" t="s">
        <v>772</v>
      </c>
      <c r="J1077" s="54" t="s">
        <v>772</v>
      </c>
    </row>
    <row r="1078" ht="26.25" customHeight="1">
      <c r="A1078" s="11"/>
      <c r="B1078" s="13"/>
      <c r="C1078" s="16" t="s">
        <v>772</v>
      </c>
      <c r="D1078" s="13"/>
      <c r="E1078" s="13"/>
      <c r="F1078" s="13"/>
      <c r="G1078" s="193">
        <v>0.0</v>
      </c>
      <c r="H1078" s="193">
        <v>0.0</v>
      </c>
      <c r="I1078" s="193" t="s">
        <v>772</v>
      </c>
      <c r="J1078" s="194" t="s">
        <v>772</v>
      </c>
    </row>
    <row r="1079" ht="26.25" customHeight="1">
      <c r="A1079" s="47"/>
      <c r="B1079" s="48"/>
      <c r="C1079" s="50" t="s">
        <v>772</v>
      </c>
      <c r="D1079" s="48"/>
      <c r="E1079" s="48"/>
      <c r="F1079" s="48"/>
      <c r="G1079" s="195">
        <v>0.0</v>
      </c>
      <c r="H1079" s="195">
        <v>0.0</v>
      </c>
      <c r="I1079" s="195" t="s">
        <v>772</v>
      </c>
      <c r="J1079" s="196" t="s">
        <v>772</v>
      </c>
    </row>
    <row r="1080" ht="26.25" customHeight="1">
      <c r="A1080" s="11"/>
      <c r="B1080" s="13"/>
      <c r="C1080" s="16" t="s">
        <v>772</v>
      </c>
      <c r="D1080" s="13"/>
      <c r="E1080" s="13"/>
      <c r="F1080" s="13"/>
      <c r="G1080" s="193">
        <v>0.0</v>
      </c>
      <c r="H1080" s="193">
        <v>0.0</v>
      </c>
      <c r="I1080" s="193" t="s">
        <v>772</v>
      </c>
      <c r="J1080" s="194" t="s">
        <v>772</v>
      </c>
    </row>
    <row r="1081" ht="26.25" customHeight="1">
      <c r="A1081" s="47"/>
      <c r="B1081" s="48"/>
      <c r="C1081" s="50" t="s">
        <v>772</v>
      </c>
      <c r="D1081" s="48"/>
      <c r="E1081" s="48"/>
      <c r="F1081" s="48"/>
      <c r="G1081" s="195">
        <v>0.0</v>
      </c>
      <c r="H1081" s="195">
        <v>0.0</v>
      </c>
      <c r="I1081" s="195" t="s">
        <v>772</v>
      </c>
      <c r="J1081" s="196" t="s">
        <v>772</v>
      </c>
    </row>
    <row r="1082" ht="26.25" customHeight="1">
      <c r="A1082" s="11"/>
      <c r="B1082" s="13"/>
      <c r="C1082" s="16" t="s">
        <v>772</v>
      </c>
      <c r="D1082" s="13"/>
      <c r="E1082" s="13"/>
      <c r="F1082" s="13"/>
      <c r="G1082" s="193">
        <v>0.0</v>
      </c>
      <c r="H1082" s="193">
        <v>0.0</v>
      </c>
      <c r="I1082" s="193" t="s">
        <v>772</v>
      </c>
      <c r="J1082" s="194" t="s">
        <v>772</v>
      </c>
    </row>
    <row r="1083" ht="26.25" customHeight="1">
      <c r="A1083" s="47"/>
      <c r="B1083" s="48"/>
      <c r="C1083" s="50" t="s">
        <v>772</v>
      </c>
      <c r="D1083" s="48"/>
      <c r="E1083" s="48"/>
      <c r="F1083" s="48"/>
      <c r="G1083" s="195">
        <v>0.0</v>
      </c>
      <c r="H1083" s="195">
        <v>0.0</v>
      </c>
      <c r="I1083" s="195" t="s">
        <v>772</v>
      </c>
      <c r="J1083" s="196" t="s">
        <v>772</v>
      </c>
    </row>
    <row r="1084" ht="26.25" customHeight="1">
      <c r="A1084" s="11"/>
      <c r="B1084" s="13"/>
      <c r="C1084" s="16" t="s">
        <v>772</v>
      </c>
      <c r="D1084" s="13"/>
      <c r="E1084" s="13"/>
      <c r="F1084" s="13"/>
      <c r="G1084" s="193">
        <v>0.0</v>
      </c>
      <c r="H1084" s="193">
        <v>0.0</v>
      </c>
      <c r="I1084" s="193" t="s">
        <v>772</v>
      </c>
      <c r="J1084" s="194" t="s">
        <v>772</v>
      </c>
    </row>
    <row r="1085" ht="26.25" customHeight="1">
      <c r="A1085" s="47"/>
      <c r="B1085" s="48"/>
      <c r="C1085" s="50" t="s">
        <v>772</v>
      </c>
      <c r="D1085" s="48"/>
      <c r="E1085" s="48"/>
      <c r="F1085" s="48"/>
      <c r="G1085" s="195">
        <v>0.0</v>
      </c>
      <c r="H1085" s="195">
        <v>0.0</v>
      </c>
      <c r="I1085" s="195" t="s">
        <v>772</v>
      </c>
      <c r="J1085" s="196" t="s">
        <v>772</v>
      </c>
    </row>
    <row r="1086" ht="26.25" customHeight="1">
      <c r="A1086" s="11"/>
      <c r="B1086" s="13"/>
      <c r="C1086" s="16" t="s">
        <v>772</v>
      </c>
      <c r="D1086" s="13"/>
      <c r="E1086" s="13"/>
      <c r="F1086" s="13"/>
      <c r="G1086" s="193">
        <v>0.0</v>
      </c>
      <c r="H1086" s="193">
        <v>0.0</v>
      </c>
      <c r="I1086" s="193" t="s">
        <v>772</v>
      </c>
      <c r="J1086" s="194" t="s">
        <v>772</v>
      </c>
    </row>
    <row r="1087" ht="26.25" customHeight="1">
      <c r="A1087" s="47"/>
      <c r="B1087" s="48"/>
      <c r="C1087" s="50" t="s">
        <v>772</v>
      </c>
      <c r="D1087" s="48"/>
      <c r="E1087" s="48"/>
      <c r="F1087" s="48"/>
      <c r="G1087" s="195">
        <v>0.0</v>
      </c>
      <c r="H1087" s="195">
        <v>0.0</v>
      </c>
      <c r="I1087" s="195" t="s">
        <v>772</v>
      </c>
      <c r="J1087" s="196" t="s">
        <v>772</v>
      </c>
    </row>
    <row r="1088" ht="26.25" customHeight="1">
      <c r="A1088" s="11"/>
      <c r="B1088" s="13"/>
      <c r="C1088" s="16" t="s">
        <v>772</v>
      </c>
      <c r="D1088" s="13"/>
      <c r="E1088" s="13"/>
      <c r="F1088" s="13"/>
      <c r="G1088" s="193">
        <v>0.0</v>
      </c>
      <c r="H1088" s="193">
        <v>0.0</v>
      </c>
      <c r="I1088" s="193" t="s">
        <v>772</v>
      </c>
      <c r="J1088" s="194" t="s">
        <v>772</v>
      </c>
    </row>
    <row r="1089" ht="26.25" customHeight="1">
      <c r="A1089" s="47"/>
      <c r="B1089" s="48"/>
      <c r="C1089" s="50" t="s">
        <v>772</v>
      </c>
      <c r="D1089" s="48"/>
      <c r="E1089" s="48"/>
      <c r="F1089" s="48"/>
      <c r="G1089" s="195">
        <v>0.0</v>
      </c>
      <c r="H1089" s="195">
        <v>0.0</v>
      </c>
      <c r="I1089" s="195" t="s">
        <v>772</v>
      </c>
      <c r="J1089" s="196" t="s">
        <v>772</v>
      </c>
    </row>
    <row r="1090" ht="26.25" customHeight="1">
      <c r="A1090" s="11"/>
      <c r="B1090" s="13"/>
      <c r="C1090" s="16" t="s">
        <v>772</v>
      </c>
      <c r="D1090" s="13"/>
      <c r="E1090" s="13"/>
      <c r="F1090" s="13"/>
      <c r="G1090" s="193">
        <v>0.0</v>
      </c>
      <c r="H1090" s="193">
        <v>0.0</v>
      </c>
      <c r="I1090" s="193" t="s">
        <v>772</v>
      </c>
      <c r="J1090" s="194" t="s">
        <v>772</v>
      </c>
    </row>
    <row r="1091" ht="26.25" customHeight="1">
      <c r="A1091" s="47"/>
      <c r="B1091" s="48"/>
      <c r="C1091" s="50" t="s">
        <v>772</v>
      </c>
      <c r="D1091" s="48"/>
      <c r="E1091" s="48"/>
      <c r="F1091" s="48"/>
      <c r="G1091" s="195">
        <v>0.0</v>
      </c>
      <c r="H1091" s="195">
        <v>0.0</v>
      </c>
      <c r="I1091" s="195" t="s">
        <v>772</v>
      </c>
      <c r="J1091" s="196" t="s">
        <v>772</v>
      </c>
    </row>
    <row r="1092" ht="26.25" customHeight="1">
      <c r="A1092" s="11"/>
      <c r="B1092" s="13"/>
      <c r="C1092" s="16" t="s">
        <v>772</v>
      </c>
      <c r="D1092" s="13"/>
      <c r="E1092" s="13"/>
      <c r="F1092" s="13"/>
      <c r="G1092" s="193">
        <v>0.0</v>
      </c>
      <c r="H1092" s="193">
        <v>0.0</v>
      </c>
      <c r="I1092" s="193" t="s">
        <v>772</v>
      </c>
      <c r="J1092" s="194" t="s">
        <v>772</v>
      </c>
    </row>
    <row r="1093" ht="26.25" customHeight="1">
      <c r="A1093" s="47"/>
      <c r="B1093" s="48"/>
      <c r="C1093" s="50" t="s">
        <v>772</v>
      </c>
      <c r="D1093" s="48"/>
      <c r="E1093" s="48"/>
      <c r="F1093" s="48"/>
      <c r="G1093" s="195">
        <v>0.0</v>
      </c>
      <c r="H1093" s="195">
        <v>0.0</v>
      </c>
      <c r="I1093" s="195" t="s">
        <v>772</v>
      </c>
      <c r="J1093" s="196" t="s">
        <v>772</v>
      </c>
    </row>
    <row r="1094" ht="26.25" customHeight="1">
      <c r="A1094" s="11"/>
      <c r="B1094" s="13"/>
      <c r="C1094" s="16" t="s">
        <v>772</v>
      </c>
      <c r="D1094" s="13"/>
      <c r="E1094" s="13"/>
      <c r="F1094" s="13"/>
      <c r="G1094" s="193">
        <v>0.0</v>
      </c>
      <c r="H1094" s="193">
        <v>0.0</v>
      </c>
      <c r="I1094" s="193" t="s">
        <v>772</v>
      </c>
      <c r="J1094" s="194" t="s">
        <v>772</v>
      </c>
    </row>
    <row r="1095" ht="26.25" customHeight="1">
      <c r="A1095" s="47"/>
      <c r="B1095" s="48"/>
      <c r="C1095" s="50" t="s">
        <v>772</v>
      </c>
      <c r="D1095" s="48"/>
      <c r="E1095" s="48"/>
      <c r="F1095" s="48"/>
      <c r="G1095" s="195">
        <v>0.0</v>
      </c>
      <c r="H1095" s="195">
        <v>0.0</v>
      </c>
      <c r="I1095" s="195" t="s">
        <v>772</v>
      </c>
      <c r="J1095" s="196" t="s">
        <v>772</v>
      </c>
    </row>
    <row r="1096" ht="26.25" customHeight="1">
      <c r="A1096" s="11"/>
      <c r="B1096" s="13"/>
      <c r="C1096" s="16" t="s">
        <v>772</v>
      </c>
      <c r="D1096" s="13"/>
      <c r="E1096" s="13"/>
      <c r="F1096" s="13"/>
      <c r="G1096" s="193">
        <v>0.0</v>
      </c>
      <c r="H1096" s="193">
        <v>0.0</v>
      </c>
      <c r="I1096" s="193" t="s">
        <v>772</v>
      </c>
      <c r="J1096" s="194" t="s">
        <v>772</v>
      </c>
    </row>
    <row r="1097" ht="26.25" customHeight="1">
      <c r="A1097" s="47"/>
      <c r="B1097" s="48"/>
      <c r="C1097" s="50" t="s">
        <v>772</v>
      </c>
      <c r="D1097" s="48"/>
      <c r="E1097" s="48"/>
      <c r="F1097" s="48"/>
      <c r="G1097" s="195">
        <v>0.0</v>
      </c>
      <c r="H1097" s="195">
        <v>0.0</v>
      </c>
      <c r="I1097" s="195" t="s">
        <v>772</v>
      </c>
      <c r="J1097" s="196" t="s">
        <v>772</v>
      </c>
    </row>
    <row r="1098" ht="26.25" customHeight="1">
      <c r="A1098" s="11"/>
      <c r="B1098" s="13"/>
      <c r="C1098" s="16" t="s">
        <v>772</v>
      </c>
      <c r="D1098" s="13"/>
      <c r="E1098" s="13"/>
      <c r="F1098" s="13"/>
      <c r="G1098" s="193">
        <v>0.0</v>
      </c>
      <c r="H1098" s="193">
        <v>0.0</v>
      </c>
      <c r="I1098" s="193" t="s">
        <v>772</v>
      </c>
      <c r="J1098" s="194" t="s">
        <v>772</v>
      </c>
    </row>
    <row r="1099" ht="26.25" customHeight="1">
      <c r="A1099" s="47"/>
      <c r="B1099" s="48"/>
      <c r="C1099" s="50" t="s">
        <v>772</v>
      </c>
      <c r="D1099" s="48"/>
      <c r="E1099" s="48"/>
      <c r="F1099" s="48"/>
      <c r="G1099" s="195">
        <v>0.0</v>
      </c>
      <c r="H1099" s="195">
        <v>0.0</v>
      </c>
      <c r="I1099" s="195" t="s">
        <v>772</v>
      </c>
      <c r="J1099" s="196" t="s">
        <v>772</v>
      </c>
    </row>
    <row r="1100" ht="26.25" customHeight="1">
      <c r="A1100" s="11"/>
      <c r="B1100" s="13"/>
      <c r="C1100" s="16" t="s">
        <v>772</v>
      </c>
      <c r="D1100" s="13"/>
      <c r="E1100" s="13"/>
      <c r="F1100" s="13"/>
      <c r="G1100" s="193">
        <v>0.0</v>
      </c>
      <c r="H1100" s="193">
        <v>0.0</v>
      </c>
      <c r="I1100" s="193" t="s">
        <v>772</v>
      </c>
      <c r="J1100" s="194" t="s">
        <v>772</v>
      </c>
    </row>
    <row r="1101" ht="26.25" customHeight="1">
      <c r="A1101" s="47"/>
      <c r="B1101" s="48"/>
      <c r="C1101" s="50" t="s">
        <v>772</v>
      </c>
      <c r="D1101" s="48"/>
      <c r="E1101" s="48"/>
      <c r="F1101" s="48"/>
      <c r="G1101" s="195">
        <v>0.0</v>
      </c>
      <c r="H1101" s="195">
        <v>0.0</v>
      </c>
      <c r="I1101" s="195" t="s">
        <v>772</v>
      </c>
      <c r="J1101" s="196" t="s">
        <v>772</v>
      </c>
    </row>
    <row r="1102" ht="26.25" customHeight="1">
      <c r="A1102" s="11"/>
      <c r="B1102" s="13"/>
      <c r="C1102" s="16" t="s">
        <v>772</v>
      </c>
      <c r="D1102" s="13"/>
      <c r="E1102" s="13"/>
      <c r="F1102" s="13"/>
      <c r="G1102" s="193">
        <v>0.0</v>
      </c>
      <c r="H1102" s="193">
        <v>0.0</v>
      </c>
      <c r="I1102" s="193" t="s">
        <v>772</v>
      </c>
      <c r="J1102" s="194" t="s">
        <v>772</v>
      </c>
    </row>
    <row r="1103" ht="26.25" customHeight="1">
      <c r="A1103" s="47"/>
      <c r="B1103" s="48"/>
      <c r="C1103" s="50" t="s">
        <v>772</v>
      </c>
      <c r="D1103" s="48"/>
      <c r="E1103" s="48"/>
      <c r="F1103" s="48"/>
      <c r="G1103" s="195">
        <v>0.0</v>
      </c>
      <c r="H1103" s="195">
        <v>0.0</v>
      </c>
      <c r="I1103" s="195" t="s">
        <v>772</v>
      </c>
      <c r="J1103" s="196" t="s">
        <v>772</v>
      </c>
    </row>
    <row r="1104" ht="26.25" customHeight="1">
      <c r="A1104" s="11"/>
      <c r="B1104" s="13"/>
      <c r="C1104" s="16" t="s">
        <v>772</v>
      </c>
      <c r="D1104" s="13"/>
      <c r="E1104" s="13"/>
      <c r="F1104" s="13"/>
      <c r="G1104" s="193">
        <v>0.0</v>
      </c>
      <c r="H1104" s="193">
        <v>0.0</v>
      </c>
      <c r="I1104" s="193" t="s">
        <v>772</v>
      </c>
      <c r="J1104" s="194" t="s">
        <v>772</v>
      </c>
    </row>
    <row r="1105" ht="26.25" customHeight="1">
      <c r="A1105" s="47"/>
      <c r="B1105" s="48"/>
      <c r="C1105" s="50" t="s">
        <v>772</v>
      </c>
      <c r="D1105" s="48"/>
      <c r="E1105" s="48"/>
      <c r="F1105" s="48"/>
      <c r="G1105" s="195">
        <v>0.0</v>
      </c>
      <c r="H1105" s="195">
        <v>0.0</v>
      </c>
      <c r="I1105" s="195" t="s">
        <v>772</v>
      </c>
      <c r="J1105" s="196" t="s">
        <v>772</v>
      </c>
    </row>
    <row r="1106" ht="26.25" customHeight="1">
      <c r="A1106" s="11"/>
      <c r="B1106" s="13"/>
      <c r="C1106" s="16" t="s">
        <v>772</v>
      </c>
      <c r="D1106" s="13"/>
      <c r="E1106" s="13"/>
      <c r="F1106" s="13"/>
      <c r="G1106" s="193">
        <v>0.0</v>
      </c>
      <c r="H1106" s="193">
        <v>0.0</v>
      </c>
      <c r="I1106" s="193" t="s">
        <v>772</v>
      </c>
      <c r="J1106" s="194" t="s">
        <v>772</v>
      </c>
    </row>
    <row r="1107" ht="26.25" customHeight="1">
      <c r="A1107" s="47"/>
      <c r="B1107" s="48"/>
      <c r="C1107" s="50" t="s">
        <v>772</v>
      </c>
      <c r="D1107" s="48"/>
      <c r="E1107" s="48"/>
      <c r="F1107" s="48"/>
      <c r="G1107" s="195">
        <v>0.0</v>
      </c>
      <c r="H1107" s="195">
        <v>0.0</v>
      </c>
      <c r="I1107" s="195" t="s">
        <v>772</v>
      </c>
      <c r="J1107" s="196" t="s">
        <v>772</v>
      </c>
    </row>
    <row r="1108" ht="26.25" customHeight="1">
      <c r="A1108" s="11"/>
      <c r="B1108" s="13"/>
      <c r="C1108" s="16" t="s">
        <v>772</v>
      </c>
      <c r="D1108" s="13"/>
      <c r="E1108" s="13"/>
      <c r="F1108" s="13"/>
      <c r="G1108" s="193">
        <v>0.0</v>
      </c>
      <c r="H1108" s="193">
        <v>0.0</v>
      </c>
      <c r="I1108" s="193" t="s">
        <v>772</v>
      </c>
      <c r="J1108" s="194" t="s">
        <v>772</v>
      </c>
    </row>
    <row r="1109" ht="26.25" customHeight="1">
      <c r="A1109" s="47"/>
      <c r="B1109" s="48"/>
      <c r="C1109" s="50" t="s">
        <v>772</v>
      </c>
      <c r="D1109" s="48"/>
      <c r="E1109" s="48"/>
      <c r="F1109" s="48"/>
      <c r="G1109" s="195">
        <v>0.0</v>
      </c>
      <c r="H1109" s="195">
        <v>0.0</v>
      </c>
      <c r="I1109" s="195" t="s">
        <v>772</v>
      </c>
      <c r="J1109" s="196" t="s">
        <v>772</v>
      </c>
    </row>
    <row r="1110" ht="26.25" customHeight="1">
      <c r="A1110" s="11"/>
      <c r="B1110" s="13"/>
      <c r="C1110" s="16" t="s">
        <v>772</v>
      </c>
      <c r="D1110" s="13"/>
      <c r="E1110" s="13"/>
      <c r="F1110" s="13"/>
      <c r="G1110" s="193">
        <v>0.0</v>
      </c>
      <c r="H1110" s="193">
        <v>0.0</v>
      </c>
      <c r="I1110" s="193" t="s">
        <v>772</v>
      </c>
      <c r="J1110" s="194" t="s">
        <v>772</v>
      </c>
    </row>
    <row r="1111" ht="26.25" customHeight="1">
      <c r="A1111" s="47"/>
      <c r="B1111" s="48"/>
      <c r="C1111" s="50" t="s">
        <v>772</v>
      </c>
      <c r="D1111" s="48"/>
      <c r="E1111" s="48"/>
      <c r="F1111" s="48"/>
      <c r="G1111" s="195">
        <v>0.0</v>
      </c>
      <c r="H1111" s="195">
        <v>0.0</v>
      </c>
      <c r="I1111" s="195" t="s">
        <v>772</v>
      </c>
      <c r="J1111" s="196" t="s">
        <v>772</v>
      </c>
    </row>
    <row r="1112" ht="26.25" customHeight="1">
      <c r="A1112" s="11"/>
      <c r="B1112" s="13"/>
      <c r="C1112" s="16" t="s">
        <v>772</v>
      </c>
      <c r="D1112" s="13"/>
      <c r="E1112" s="13"/>
      <c r="F1112" s="13"/>
      <c r="G1112" s="193">
        <v>0.0</v>
      </c>
      <c r="H1112" s="193">
        <v>0.0</v>
      </c>
      <c r="I1112" s="193" t="s">
        <v>772</v>
      </c>
      <c r="J1112" s="194" t="s">
        <v>772</v>
      </c>
    </row>
    <row r="1113" ht="26.25" customHeight="1">
      <c r="A1113" s="47"/>
      <c r="B1113" s="48"/>
      <c r="C1113" s="50" t="s">
        <v>772</v>
      </c>
      <c r="D1113" s="48"/>
      <c r="E1113" s="48"/>
      <c r="F1113" s="48"/>
      <c r="G1113" s="195">
        <v>0.0</v>
      </c>
      <c r="H1113" s="195">
        <v>0.0</v>
      </c>
      <c r="I1113" s="195" t="s">
        <v>772</v>
      </c>
      <c r="J1113" s="196" t="s">
        <v>772</v>
      </c>
    </row>
    <row r="1114" ht="26.25" customHeight="1">
      <c r="A1114" s="11"/>
      <c r="B1114" s="13"/>
      <c r="C1114" s="16" t="s">
        <v>772</v>
      </c>
      <c r="D1114" s="13"/>
      <c r="E1114" s="13"/>
      <c r="F1114" s="13"/>
      <c r="G1114" s="193">
        <v>0.0</v>
      </c>
      <c r="H1114" s="193">
        <v>0.0</v>
      </c>
      <c r="I1114" s="193" t="s">
        <v>772</v>
      </c>
      <c r="J1114" s="194" t="s">
        <v>772</v>
      </c>
    </row>
    <row r="1115" ht="26.25" customHeight="1">
      <c r="A1115" s="47"/>
      <c r="B1115" s="48"/>
      <c r="C1115" s="50" t="s">
        <v>772</v>
      </c>
      <c r="D1115" s="48"/>
      <c r="E1115" s="48"/>
      <c r="F1115" s="48"/>
      <c r="G1115" s="195">
        <v>0.0</v>
      </c>
      <c r="H1115" s="195">
        <v>0.0</v>
      </c>
      <c r="I1115" s="195" t="s">
        <v>772</v>
      </c>
      <c r="J1115" s="196" t="s">
        <v>772</v>
      </c>
    </row>
    <row r="1116" ht="26.25" customHeight="1">
      <c r="A1116" s="11"/>
      <c r="B1116" s="13"/>
      <c r="C1116" s="16" t="s">
        <v>772</v>
      </c>
      <c r="D1116" s="13"/>
      <c r="E1116" s="13"/>
      <c r="F1116" s="13"/>
      <c r="G1116" s="193">
        <v>0.0</v>
      </c>
      <c r="H1116" s="193">
        <v>0.0</v>
      </c>
      <c r="I1116" s="193" t="s">
        <v>772</v>
      </c>
      <c r="J1116" s="194" t="s">
        <v>772</v>
      </c>
    </row>
    <row r="1117" ht="26.25" customHeight="1">
      <c r="A1117" s="47"/>
      <c r="B1117" s="48"/>
      <c r="C1117" s="50" t="s">
        <v>772</v>
      </c>
      <c r="D1117" s="48"/>
      <c r="E1117" s="48"/>
      <c r="F1117" s="48"/>
      <c r="G1117" s="195">
        <v>0.0</v>
      </c>
      <c r="H1117" s="195">
        <v>0.0</v>
      </c>
      <c r="I1117" s="195" t="s">
        <v>772</v>
      </c>
      <c r="J1117" s="196" t="s">
        <v>772</v>
      </c>
    </row>
    <row r="1118" ht="26.25" customHeight="1">
      <c r="A1118" s="11"/>
      <c r="B1118" s="13"/>
      <c r="C1118" s="16" t="s">
        <v>772</v>
      </c>
      <c r="D1118" s="13"/>
      <c r="E1118" s="13"/>
      <c r="F1118" s="13"/>
      <c r="G1118" s="193">
        <v>0.0</v>
      </c>
      <c r="H1118" s="193">
        <v>0.0</v>
      </c>
      <c r="I1118" s="193" t="s">
        <v>772</v>
      </c>
      <c r="J1118" s="194" t="s">
        <v>772</v>
      </c>
    </row>
    <row r="1119" ht="26.25" customHeight="1">
      <c r="A1119" s="47"/>
      <c r="B1119" s="48"/>
      <c r="C1119" s="50" t="s">
        <v>772</v>
      </c>
      <c r="D1119" s="48"/>
      <c r="E1119" s="48"/>
      <c r="F1119" s="48"/>
      <c r="G1119" s="195">
        <v>0.0</v>
      </c>
      <c r="H1119" s="195">
        <v>0.0</v>
      </c>
      <c r="I1119" s="195" t="s">
        <v>772</v>
      </c>
      <c r="J1119" s="196" t="s">
        <v>772</v>
      </c>
    </row>
    <row r="1120" ht="26.25" customHeight="1">
      <c r="A1120" s="11"/>
      <c r="B1120" s="13"/>
      <c r="C1120" s="16" t="s">
        <v>772</v>
      </c>
      <c r="D1120" s="13"/>
      <c r="E1120" s="13"/>
      <c r="F1120" s="13"/>
      <c r="G1120" s="193">
        <v>0.0</v>
      </c>
      <c r="H1120" s="193">
        <v>0.0</v>
      </c>
      <c r="I1120" s="193" t="s">
        <v>772</v>
      </c>
      <c r="J1120" s="194" t="s">
        <v>772</v>
      </c>
    </row>
    <row r="1121" ht="26.25" customHeight="1">
      <c r="A1121" s="47"/>
      <c r="B1121" s="48"/>
      <c r="C1121" s="50" t="s">
        <v>772</v>
      </c>
      <c r="D1121" s="48"/>
      <c r="E1121" s="48"/>
      <c r="F1121" s="48"/>
      <c r="G1121" s="195">
        <v>0.0</v>
      </c>
      <c r="H1121" s="195">
        <v>0.0</v>
      </c>
      <c r="I1121" s="195" t="s">
        <v>772</v>
      </c>
      <c r="J1121" s="196" t="s">
        <v>772</v>
      </c>
    </row>
    <row r="1122" ht="26.25" customHeight="1">
      <c r="A1122" s="11"/>
      <c r="B1122" s="13"/>
      <c r="C1122" s="16" t="s">
        <v>772</v>
      </c>
      <c r="D1122" s="13"/>
      <c r="E1122" s="13"/>
      <c r="F1122" s="13"/>
      <c r="G1122" s="193">
        <v>0.0</v>
      </c>
      <c r="H1122" s="193">
        <v>0.0</v>
      </c>
      <c r="I1122" s="193" t="s">
        <v>772</v>
      </c>
      <c r="J1122" s="194" t="s">
        <v>772</v>
      </c>
    </row>
    <row r="1123" ht="26.25" customHeight="1">
      <c r="A1123" s="47"/>
      <c r="B1123" s="48"/>
      <c r="C1123" s="50" t="s">
        <v>772</v>
      </c>
      <c r="D1123" s="48"/>
      <c r="E1123" s="48"/>
      <c r="F1123" s="48"/>
      <c r="G1123" s="195">
        <v>0.0</v>
      </c>
      <c r="H1123" s="195">
        <v>0.0</v>
      </c>
      <c r="I1123" s="195" t="s">
        <v>772</v>
      </c>
      <c r="J1123" s="196" t="s">
        <v>772</v>
      </c>
    </row>
    <row r="1124" ht="26.25" customHeight="1">
      <c r="A1124" s="11"/>
      <c r="B1124" s="13"/>
      <c r="C1124" s="16" t="s">
        <v>772</v>
      </c>
      <c r="D1124" s="13"/>
      <c r="E1124" s="13"/>
      <c r="F1124" s="13"/>
      <c r="G1124" s="193">
        <v>0.0</v>
      </c>
      <c r="H1124" s="193">
        <v>0.0</v>
      </c>
      <c r="I1124" s="193" t="s">
        <v>772</v>
      </c>
      <c r="J1124" s="194" t="s">
        <v>772</v>
      </c>
    </row>
    <row r="1125" ht="26.25" customHeight="1">
      <c r="A1125" s="47"/>
      <c r="B1125" s="48"/>
      <c r="C1125" s="50" t="s">
        <v>772</v>
      </c>
      <c r="D1125" s="48"/>
      <c r="E1125" s="48"/>
      <c r="F1125" s="48"/>
      <c r="G1125" s="195">
        <v>0.0</v>
      </c>
      <c r="H1125" s="195">
        <v>0.0</v>
      </c>
      <c r="I1125" s="195" t="s">
        <v>772</v>
      </c>
      <c r="J1125" s="196" t="s">
        <v>772</v>
      </c>
    </row>
    <row r="1126" ht="26.25" customHeight="1">
      <c r="A1126" s="11"/>
      <c r="B1126" s="13"/>
      <c r="C1126" s="16" t="s">
        <v>772</v>
      </c>
      <c r="D1126" s="13"/>
      <c r="E1126" s="13"/>
      <c r="F1126" s="13"/>
      <c r="G1126" s="193">
        <v>0.0</v>
      </c>
      <c r="H1126" s="193">
        <v>0.0</v>
      </c>
      <c r="I1126" s="193" t="s">
        <v>772</v>
      </c>
      <c r="J1126" s="194" t="s">
        <v>772</v>
      </c>
    </row>
    <row r="1127" ht="26.25" customHeight="1">
      <c r="A1127" s="47"/>
      <c r="B1127" s="48"/>
      <c r="C1127" s="50" t="s">
        <v>772</v>
      </c>
      <c r="D1127" s="48"/>
      <c r="E1127" s="48"/>
      <c r="F1127" s="48"/>
      <c r="G1127" s="195">
        <v>0.0</v>
      </c>
      <c r="H1127" s="195">
        <v>0.0</v>
      </c>
      <c r="I1127" s="195" t="s">
        <v>772</v>
      </c>
      <c r="J1127" s="196" t="s">
        <v>772</v>
      </c>
    </row>
    <row r="1128" ht="26.25" customHeight="1">
      <c r="A1128" s="11"/>
      <c r="B1128" s="13"/>
      <c r="C1128" s="16" t="s">
        <v>772</v>
      </c>
      <c r="D1128" s="13"/>
      <c r="E1128" s="13"/>
      <c r="F1128" s="13"/>
      <c r="G1128" s="193">
        <v>0.0</v>
      </c>
      <c r="H1128" s="193">
        <v>0.0</v>
      </c>
      <c r="I1128" s="193" t="s">
        <v>772</v>
      </c>
      <c r="J1128" s="194" t="s">
        <v>772</v>
      </c>
    </row>
    <row r="1129" ht="26.25" customHeight="1">
      <c r="A1129" s="47"/>
      <c r="B1129" s="48"/>
      <c r="C1129" s="50" t="s">
        <v>772</v>
      </c>
      <c r="D1129" s="48"/>
      <c r="E1129" s="48"/>
      <c r="F1129" s="48"/>
      <c r="G1129" s="195">
        <v>0.0</v>
      </c>
      <c r="H1129" s="195">
        <v>0.0</v>
      </c>
      <c r="I1129" s="195" t="s">
        <v>772</v>
      </c>
      <c r="J1129" s="196" t="s">
        <v>772</v>
      </c>
    </row>
    <row r="1130" ht="26.25" customHeight="1">
      <c r="A1130" s="11"/>
      <c r="B1130" s="13"/>
      <c r="C1130" s="16" t="s">
        <v>772</v>
      </c>
      <c r="D1130" s="13"/>
      <c r="E1130" s="13"/>
      <c r="F1130" s="13"/>
      <c r="G1130" s="193">
        <v>0.0</v>
      </c>
      <c r="H1130" s="193">
        <v>0.0</v>
      </c>
      <c r="I1130" s="193" t="s">
        <v>772</v>
      </c>
      <c r="J1130" s="194" t="s">
        <v>772</v>
      </c>
    </row>
    <row r="1131" ht="26.25" customHeight="1">
      <c r="A1131" s="47"/>
      <c r="B1131" s="48"/>
      <c r="C1131" s="50" t="s">
        <v>772</v>
      </c>
      <c r="D1131" s="48"/>
      <c r="E1131" s="48"/>
      <c r="F1131" s="48"/>
      <c r="G1131" s="195">
        <v>0.0</v>
      </c>
      <c r="H1131" s="195">
        <v>0.0</v>
      </c>
      <c r="I1131" s="195" t="s">
        <v>772</v>
      </c>
      <c r="J1131" s="196" t="s">
        <v>772</v>
      </c>
    </row>
    <row r="1132" ht="26.25" customHeight="1">
      <c r="A1132" s="11"/>
      <c r="B1132" s="13"/>
      <c r="C1132" s="16" t="s">
        <v>772</v>
      </c>
      <c r="D1132" s="13"/>
      <c r="E1132" s="13"/>
      <c r="F1132" s="13"/>
      <c r="G1132" s="193">
        <v>0.0</v>
      </c>
      <c r="H1132" s="193">
        <v>0.0</v>
      </c>
      <c r="I1132" s="193" t="s">
        <v>772</v>
      </c>
      <c r="J1132" s="194" t="s">
        <v>772</v>
      </c>
    </row>
    <row r="1133" ht="26.25" customHeight="1">
      <c r="A1133" s="47"/>
      <c r="B1133" s="48"/>
      <c r="C1133" s="50" t="s">
        <v>772</v>
      </c>
      <c r="D1133" s="48"/>
      <c r="E1133" s="48"/>
      <c r="F1133" s="48"/>
      <c r="G1133" s="195">
        <v>0.0</v>
      </c>
      <c r="H1133" s="195">
        <v>0.0</v>
      </c>
      <c r="I1133" s="195" t="s">
        <v>772</v>
      </c>
      <c r="J1133" s="196" t="s">
        <v>772</v>
      </c>
    </row>
    <row r="1134" ht="26.25" customHeight="1">
      <c r="A1134" s="11"/>
      <c r="B1134" s="13"/>
      <c r="C1134" s="16" t="s">
        <v>772</v>
      </c>
      <c r="D1134" s="13"/>
      <c r="E1134" s="13"/>
      <c r="F1134" s="13"/>
      <c r="G1134" s="193">
        <v>0.0</v>
      </c>
      <c r="H1134" s="193">
        <v>0.0</v>
      </c>
      <c r="I1134" s="193" t="s">
        <v>772</v>
      </c>
      <c r="J1134" s="194" t="s">
        <v>772</v>
      </c>
    </row>
    <row r="1135" ht="26.25" customHeight="1">
      <c r="A1135" s="47"/>
      <c r="B1135" s="48"/>
      <c r="C1135" s="50" t="s">
        <v>772</v>
      </c>
      <c r="D1135" s="48"/>
      <c r="E1135" s="48"/>
      <c r="F1135" s="48"/>
      <c r="G1135" s="195">
        <v>0.0</v>
      </c>
      <c r="H1135" s="195">
        <v>0.0</v>
      </c>
      <c r="I1135" s="195" t="s">
        <v>772</v>
      </c>
      <c r="J1135" s="196" t="s">
        <v>772</v>
      </c>
    </row>
    <row r="1136" ht="26.25" customHeight="1">
      <c r="A1136" s="11"/>
      <c r="B1136" s="13"/>
      <c r="C1136" s="16" t="s">
        <v>772</v>
      </c>
      <c r="D1136" s="13"/>
      <c r="E1136" s="13"/>
      <c r="F1136" s="13"/>
      <c r="G1136" s="193">
        <v>0.0</v>
      </c>
      <c r="H1136" s="193">
        <v>0.0</v>
      </c>
      <c r="I1136" s="193" t="s">
        <v>772</v>
      </c>
      <c r="J1136" s="194" t="s">
        <v>772</v>
      </c>
    </row>
    <row r="1137" ht="26.25" customHeight="1">
      <c r="A1137" s="47"/>
      <c r="B1137" s="48"/>
      <c r="C1137" s="50" t="s">
        <v>772</v>
      </c>
      <c r="D1137" s="48"/>
      <c r="E1137" s="48"/>
      <c r="F1137" s="48"/>
      <c r="G1137" s="195">
        <v>0.0</v>
      </c>
      <c r="H1137" s="195">
        <v>0.0</v>
      </c>
      <c r="I1137" s="195" t="s">
        <v>772</v>
      </c>
      <c r="J1137" s="196" t="s">
        <v>772</v>
      </c>
    </row>
    <row r="1138" ht="26.25" customHeight="1">
      <c r="A1138" s="11"/>
      <c r="B1138" s="13"/>
      <c r="C1138" s="16" t="s">
        <v>772</v>
      </c>
      <c r="D1138" s="13"/>
      <c r="E1138" s="13"/>
      <c r="F1138" s="13"/>
      <c r="G1138" s="193">
        <v>0.0</v>
      </c>
      <c r="H1138" s="193">
        <v>0.0</v>
      </c>
      <c r="I1138" s="193" t="s">
        <v>772</v>
      </c>
      <c r="J1138" s="194" t="s">
        <v>772</v>
      </c>
    </row>
    <row r="1139" ht="26.25" customHeight="1">
      <c r="A1139" s="47"/>
      <c r="B1139" s="48"/>
      <c r="C1139" s="50" t="s">
        <v>772</v>
      </c>
      <c r="D1139" s="48"/>
      <c r="E1139" s="48"/>
      <c r="F1139" s="48"/>
      <c r="G1139" s="195">
        <v>0.0</v>
      </c>
      <c r="H1139" s="195">
        <v>0.0</v>
      </c>
      <c r="I1139" s="195" t="s">
        <v>772</v>
      </c>
      <c r="J1139" s="196" t="s">
        <v>772</v>
      </c>
    </row>
    <row r="1140" ht="26.25" customHeight="1">
      <c r="A1140" s="11"/>
      <c r="B1140" s="13"/>
      <c r="C1140" s="16" t="s">
        <v>772</v>
      </c>
      <c r="D1140" s="13"/>
      <c r="E1140" s="13"/>
      <c r="F1140" s="13"/>
      <c r="G1140" s="193">
        <v>0.0</v>
      </c>
      <c r="H1140" s="193">
        <v>0.0</v>
      </c>
      <c r="I1140" s="193" t="s">
        <v>772</v>
      </c>
      <c r="J1140" s="194" t="s">
        <v>772</v>
      </c>
    </row>
    <row r="1141" ht="26.25" customHeight="1">
      <c r="A1141" s="47"/>
      <c r="B1141" s="48"/>
      <c r="C1141" s="50" t="s">
        <v>772</v>
      </c>
      <c r="D1141" s="48"/>
      <c r="E1141" s="48"/>
      <c r="F1141" s="48"/>
      <c r="G1141" s="195">
        <v>0.0</v>
      </c>
      <c r="H1141" s="195">
        <v>0.0</v>
      </c>
      <c r="I1141" s="195" t="s">
        <v>772</v>
      </c>
      <c r="J1141" s="196" t="s">
        <v>772</v>
      </c>
    </row>
    <row r="1142" ht="26.25" customHeight="1">
      <c r="A1142" s="11"/>
      <c r="B1142" s="13"/>
      <c r="C1142" s="16" t="s">
        <v>772</v>
      </c>
      <c r="D1142" s="13"/>
      <c r="E1142" s="13"/>
      <c r="F1142" s="13"/>
      <c r="G1142" s="193">
        <v>0.0</v>
      </c>
      <c r="H1142" s="193">
        <v>0.0</v>
      </c>
      <c r="I1142" s="193" t="s">
        <v>772</v>
      </c>
      <c r="J1142" s="194" t="s">
        <v>772</v>
      </c>
    </row>
    <row r="1143" ht="26.25" customHeight="1">
      <c r="A1143" s="47"/>
      <c r="B1143" s="48"/>
      <c r="C1143" s="50" t="s">
        <v>772</v>
      </c>
      <c r="D1143" s="48"/>
      <c r="E1143" s="48"/>
      <c r="F1143" s="48"/>
      <c r="G1143" s="195">
        <v>0.0</v>
      </c>
      <c r="H1143" s="195">
        <v>0.0</v>
      </c>
      <c r="I1143" s="195" t="s">
        <v>772</v>
      </c>
      <c r="J1143" s="196" t="s">
        <v>772</v>
      </c>
    </row>
    <row r="1144" ht="26.25" customHeight="1">
      <c r="A1144" s="11"/>
      <c r="B1144" s="13"/>
      <c r="C1144" s="16" t="s">
        <v>772</v>
      </c>
      <c r="D1144" s="13"/>
      <c r="E1144" s="13"/>
      <c r="F1144" s="13"/>
      <c r="G1144" s="193">
        <v>0.0</v>
      </c>
      <c r="H1144" s="193">
        <v>0.0</v>
      </c>
      <c r="I1144" s="193" t="s">
        <v>772</v>
      </c>
      <c r="J1144" s="194" t="s">
        <v>772</v>
      </c>
    </row>
    <row r="1145" ht="26.25" customHeight="1">
      <c r="A1145" s="47"/>
      <c r="B1145" s="48"/>
      <c r="C1145" s="50" t="s">
        <v>772</v>
      </c>
      <c r="D1145" s="48"/>
      <c r="E1145" s="48"/>
      <c r="F1145" s="48"/>
      <c r="G1145" s="195">
        <v>0.0</v>
      </c>
      <c r="H1145" s="195">
        <v>0.0</v>
      </c>
      <c r="I1145" s="195" t="s">
        <v>772</v>
      </c>
      <c r="J1145" s="196" t="s">
        <v>772</v>
      </c>
    </row>
    <row r="1146" ht="26.25" customHeight="1">
      <c r="A1146" s="11"/>
      <c r="B1146" s="13"/>
      <c r="C1146" s="16" t="s">
        <v>772</v>
      </c>
      <c r="D1146" s="13"/>
      <c r="E1146" s="13"/>
      <c r="F1146" s="13"/>
      <c r="G1146" s="193">
        <v>0.0</v>
      </c>
      <c r="H1146" s="193">
        <v>0.0</v>
      </c>
      <c r="I1146" s="193" t="s">
        <v>772</v>
      </c>
      <c r="J1146" s="194" t="s">
        <v>772</v>
      </c>
    </row>
    <row r="1147" ht="26.25" customHeight="1">
      <c r="A1147" s="47"/>
      <c r="B1147" s="48"/>
      <c r="C1147" s="50" t="s">
        <v>772</v>
      </c>
      <c r="D1147" s="48"/>
      <c r="E1147" s="48"/>
      <c r="F1147" s="48"/>
      <c r="G1147" s="195">
        <v>0.0</v>
      </c>
      <c r="H1147" s="195">
        <v>0.0</v>
      </c>
      <c r="I1147" s="195" t="s">
        <v>772</v>
      </c>
      <c r="J1147" s="196" t="s">
        <v>772</v>
      </c>
    </row>
    <row r="1148" ht="26.25" customHeight="1">
      <c r="A1148" s="11"/>
      <c r="B1148" s="13"/>
      <c r="C1148" s="16" t="s">
        <v>772</v>
      </c>
      <c r="D1148" s="13"/>
      <c r="E1148" s="13"/>
      <c r="F1148" s="13"/>
      <c r="G1148" s="193">
        <v>0.0</v>
      </c>
      <c r="H1148" s="193">
        <v>0.0</v>
      </c>
      <c r="I1148" s="193" t="s">
        <v>772</v>
      </c>
      <c r="J1148" s="194" t="s">
        <v>772</v>
      </c>
    </row>
    <row r="1149" ht="26.25" customHeight="1">
      <c r="A1149" s="47"/>
      <c r="B1149" s="48"/>
      <c r="C1149" s="50" t="s">
        <v>772</v>
      </c>
      <c r="D1149" s="48"/>
      <c r="E1149" s="48"/>
      <c r="F1149" s="48"/>
      <c r="G1149" s="195">
        <v>0.0</v>
      </c>
      <c r="H1149" s="195">
        <v>0.0</v>
      </c>
      <c r="I1149" s="195" t="s">
        <v>772</v>
      </c>
      <c r="J1149" s="196" t="s">
        <v>772</v>
      </c>
    </row>
    <row r="1150" ht="26.25" customHeight="1">
      <c r="A1150" s="11"/>
      <c r="B1150" s="13"/>
      <c r="C1150" s="16" t="s">
        <v>772</v>
      </c>
      <c r="D1150" s="13"/>
      <c r="E1150" s="13"/>
      <c r="F1150" s="13"/>
      <c r="G1150" s="193">
        <v>0.0</v>
      </c>
      <c r="H1150" s="193">
        <v>0.0</v>
      </c>
      <c r="I1150" s="193" t="s">
        <v>772</v>
      </c>
      <c r="J1150" s="194" t="s">
        <v>772</v>
      </c>
    </row>
    <row r="1151" ht="26.25" customHeight="1">
      <c r="A1151" s="47"/>
      <c r="B1151" s="48"/>
      <c r="C1151" s="50" t="s">
        <v>772</v>
      </c>
      <c r="D1151" s="48"/>
      <c r="E1151" s="48"/>
      <c r="F1151" s="48"/>
      <c r="G1151" s="195">
        <v>0.0</v>
      </c>
      <c r="H1151" s="195">
        <v>0.0</v>
      </c>
      <c r="I1151" s="195" t="s">
        <v>772</v>
      </c>
      <c r="J1151" s="196" t="s">
        <v>772</v>
      </c>
    </row>
    <row r="1152" ht="26.25" customHeight="1">
      <c r="A1152" s="11"/>
      <c r="B1152" s="13"/>
      <c r="C1152" s="16" t="s">
        <v>772</v>
      </c>
      <c r="D1152" s="13"/>
      <c r="E1152" s="13"/>
      <c r="F1152" s="13"/>
      <c r="G1152" s="193">
        <v>0.0</v>
      </c>
      <c r="H1152" s="193">
        <v>0.0</v>
      </c>
      <c r="I1152" s="193" t="s">
        <v>772</v>
      </c>
      <c r="J1152" s="194" t="s">
        <v>772</v>
      </c>
    </row>
    <row r="1153" ht="26.25" customHeight="1">
      <c r="A1153" s="47"/>
      <c r="B1153" s="48"/>
      <c r="C1153" s="50" t="s">
        <v>772</v>
      </c>
      <c r="D1153" s="48"/>
      <c r="E1153" s="48"/>
      <c r="F1153" s="48"/>
      <c r="G1153" s="195">
        <v>0.0</v>
      </c>
      <c r="H1153" s="195">
        <v>0.0</v>
      </c>
      <c r="I1153" s="195" t="s">
        <v>772</v>
      </c>
      <c r="J1153" s="196" t="s">
        <v>772</v>
      </c>
    </row>
    <row r="1154" ht="26.25" customHeight="1">
      <c r="A1154" s="11"/>
      <c r="B1154" s="13"/>
      <c r="C1154" s="16" t="s">
        <v>772</v>
      </c>
      <c r="D1154" s="13"/>
      <c r="E1154" s="13"/>
      <c r="F1154" s="13"/>
      <c r="G1154" s="193">
        <v>0.0</v>
      </c>
      <c r="H1154" s="193">
        <v>0.0</v>
      </c>
      <c r="I1154" s="193" t="s">
        <v>772</v>
      </c>
      <c r="J1154" s="194" t="s">
        <v>772</v>
      </c>
    </row>
    <row r="1155" ht="26.25" customHeight="1">
      <c r="A1155" s="47"/>
      <c r="B1155" s="48"/>
      <c r="C1155" s="50" t="s">
        <v>772</v>
      </c>
      <c r="D1155" s="48"/>
      <c r="E1155" s="48"/>
      <c r="F1155" s="48"/>
      <c r="G1155" s="195">
        <v>0.0</v>
      </c>
      <c r="H1155" s="195">
        <v>0.0</v>
      </c>
      <c r="I1155" s="195" t="s">
        <v>772</v>
      </c>
      <c r="J1155" s="196" t="s">
        <v>772</v>
      </c>
    </row>
    <row r="1156" ht="26.25" customHeight="1">
      <c r="A1156" s="11"/>
      <c r="B1156" s="13"/>
      <c r="C1156" s="16" t="s">
        <v>772</v>
      </c>
      <c r="D1156" s="13"/>
      <c r="E1156" s="13"/>
      <c r="F1156" s="13"/>
      <c r="G1156" s="193">
        <v>0.0</v>
      </c>
      <c r="H1156" s="193">
        <v>0.0</v>
      </c>
      <c r="I1156" s="193" t="s">
        <v>772</v>
      </c>
      <c r="J1156" s="194" t="s">
        <v>772</v>
      </c>
    </row>
    <row r="1157" ht="26.25" customHeight="1">
      <c r="A1157" s="47"/>
      <c r="B1157" s="48"/>
      <c r="C1157" s="50" t="s">
        <v>772</v>
      </c>
      <c r="D1157" s="48"/>
      <c r="E1157" s="48"/>
      <c r="F1157" s="48"/>
      <c r="G1157" s="195">
        <v>0.0</v>
      </c>
      <c r="H1157" s="195">
        <v>0.0</v>
      </c>
      <c r="I1157" s="195" t="s">
        <v>772</v>
      </c>
      <c r="J1157" s="196" t="s">
        <v>772</v>
      </c>
    </row>
    <row r="1158" ht="26.25" customHeight="1">
      <c r="A1158" s="11"/>
      <c r="B1158" s="13"/>
      <c r="C1158" s="16" t="s">
        <v>772</v>
      </c>
      <c r="D1158" s="13"/>
      <c r="E1158" s="13"/>
      <c r="F1158" s="13"/>
      <c r="G1158" s="193">
        <v>0.0</v>
      </c>
      <c r="H1158" s="193">
        <v>0.0</v>
      </c>
      <c r="I1158" s="193" t="s">
        <v>772</v>
      </c>
      <c r="J1158" s="194" t="s">
        <v>772</v>
      </c>
    </row>
    <row r="1159" ht="26.25" customHeight="1">
      <c r="A1159" s="47"/>
      <c r="B1159" s="48"/>
      <c r="C1159" s="50" t="s">
        <v>772</v>
      </c>
      <c r="D1159" s="48"/>
      <c r="E1159" s="48"/>
      <c r="F1159" s="48"/>
      <c r="G1159" s="195">
        <v>0.0</v>
      </c>
      <c r="H1159" s="195">
        <v>0.0</v>
      </c>
      <c r="I1159" s="195" t="s">
        <v>772</v>
      </c>
      <c r="J1159" s="196" t="s">
        <v>772</v>
      </c>
    </row>
    <row r="1160" ht="26.25" customHeight="1">
      <c r="A1160" s="11"/>
      <c r="B1160" s="13"/>
      <c r="C1160" s="16" t="s">
        <v>772</v>
      </c>
      <c r="D1160" s="13"/>
      <c r="E1160" s="13"/>
      <c r="F1160" s="13"/>
      <c r="G1160" s="193">
        <v>0.0</v>
      </c>
      <c r="H1160" s="193">
        <v>0.0</v>
      </c>
      <c r="I1160" s="193" t="s">
        <v>772</v>
      </c>
      <c r="J1160" s="194" t="s">
        <v>772</v>
      </c>
    </row>
    <row r="1161" ht="26.25" customHeight="1">
      <c r="A1161" s="47"/>
      <c r="B1161" s="48"/>
      <c r="C1161" s="50" t="s">
        <v>772</v>
      </c>
      <c r="D1161" s="48"/>
      <c r="E1161" s="48"/>
      <c r="F1161" s="48"/>
      <c r="G1161" s="195">
        <v>0.0</v>
      </c>
      <c r="H1161" s="195">
        <v>0.0</v>
      </c>
      <c r="I1161" s="195" t="s">
        <v>772</v>
      </c>
      <c r="J1161" s="196" t="s">
        <v>772</v>
      </c>
    </row>
    <row r="1162" ht="26.25" customHeight="1">
      <c r="A1162" s="11"/>
      <c r="B1162" s="13"/>
      <c r="C1162" s="16" t="s">
        <v>772</v>
      </c>
      <c r="D1162" s="13"/>
      <c r="E1162" s="13"/>
      <c r="F1162" s="13"/>
      <c r="G1162" s="193">
        <v>0.0</v>
      </c>
      <c r="H1162" s="193">
        <v>0.0</v>
      </c>
      <c r="I1162" s="193" t="s">
        <v>772</v>
      </c>
      <c r="J1162" s="194" t="s">
        <v>772</v>
      </c>
    </row>
    <row r="1163" ht="26.25" customHeight="1">
      <c r="A1163" s="47"/>
      <c r="B1163" s="48"/>
      <c r="C1163" s="50" t="s">
        <v>772</v>
      </c>
      <c r="D1163" s="48"/>
      <c r="E1163" s="48"/>
      <c r="F1163" s="48"/>
      <c r="G1163" s="195">
        <v>0.0</v>
      </c>
      <c r="H1163" s="195">
        <v>0.0</v>
      </c>
      <c r="I1163" s="195" t="s">
        <v>772</v>
      </c>
      <c r="J1163" s="196" t="s">
        <v>772</v>
      </c>
    </row>
    <row r="1164" ht="26.25" customHeight="1">
      <c r="A1164" s="11"/>
      <c r="B1164" s="13"/>
      <c r="C1164" s="16" t="s">
        <v>772</v>
      </c>
      <c r="D1164" s="13"/>
      <c r="E1164" s="13"/>
      <c r="F1164" s="13"/>
      <c r="G1164" s="193">
        <v>0.0</v>
      </c>
      <c r="H1164" s="193">
        <v>0.0</v>
      </c>
      <c r="I1164" s="193" t="s">
        <v>772</v>
      </c>
      <c r="J1164" s="194" t="s">
        <v>772</v>
      </c>
    </row>
    <row r="1165" ht="26.25" customHeight="1">
      <c r="A1165" s="47"/>
      <c r="B1165" s="48"/>
      <c r="C1165" s="50" t="s">
        <v>772</v>
      </c>
      <c r="D1165" s="48"/>
      <c r="E1165" s="48"/>
      <c r="F1165" s="48"/>
      <c r="G1165" s="195">
        <v>0.0</v>
      </c>
      <c r="H1165" s="195">
        <v>0.0</v>
      </c>
      <c r="I1165" s="195" t="s">
        <v>772</v>
      </c>
      <c r="J1165" s="196" t="s">
        <v>772</v>
      </c>
    </row>
    <row r="1166" ht="26.25" customHeight="1">
      <c r="A1166" s="11"/>
      <c r="B1166" s="13"/>
      <c r="C1166" s="16" t="s">
        <v>772</v>
      </c>
      <c r="D1166" s="13"/>
      <c r="E1166" s="13"/>
      <c r="F1166" s="13"/>
      <c r="G1166" s="193">
        <v>0.0</v>
      </c>
      <c r="H1166" s="193">
        <v>0.0</v>
      </c>
      <c r="I1166" s="193" t="s">
        <v>772</v>
      </c>
      <c r="J1166" s="194" t="s">
        <v>772</v>
      </c>
    </row>
    <row r="1167" ht="26.25" customHeight="1">
      <c r="A1167" s="47"/>
      <c r="B1167" s="48"/>
      <c r="C1167" s="50" t="s">
        <v>772</v>
      </c>
      <c r="D1167" s="48"/>
      <c r="E1167" s="48"/>
      <c r="F1167" s="48"/>
      <c r="G1167" s="195">
        <v>0.0</v>
      </c>
      <c r="H1167" s="195">
        <v>0.0</v>
      </c>
      <c r="I1167" s="195" t="s">
        <v>772</v>
      </c>
      <c r="J1167" s="196" t="s">
        <v>772</v>
      </c>
    </row>
    <row r="1168" ht="26.25" customHeight="1">
      <c r="A1168" s="11"/>
      <c r="B1168" s="13"/>
      <c r="C1168" s="16" t="s">
        <v>772</v>
      </c>
      <c r="D1168" s="13"/>
      <c r="E1168" s="13"/>
      <c r="F1168" s="13"/>
      <c r="G1168" s="193">
        <v>0.0</v>
      </c>
      <c r="H1168" s="193">
        <v>0.0</v>
      </c>
      <c r="I1168" s="193" t="s">
        <v>772</v>
      </c>
      <c r="J1168" s="194" t="s">
        <v>772</v>
      </c>
    </row>
    <row r="1169" ht="26.25" customHeight="1">
      <c r="A1169" s="47"/>
      <c r="B1169" s="48"/>
      <c r="C1169" s="50" t="s">
        <v>772</v>
      </c>
      <c r="D1169" s="48"/>
      <c r="E1169" s="48"/>
      <c r="F1169" s="48"/>
      <c r="G1169" s="195">
        <v>0.0</v>
      </c>
      <c r="H1169" s="195">
        <v>0.0</v>
      </c>
      <c r="I1169" s="195" t="s">
        <v>772</v>
      </c>
      <c r="J1169" s="196" t="s">
        <v>772</v>
      </c>
    </row>
    <row r="1170" ht="26.25" customHeight="1">
      <c r="A1170" s="11"/>
      <c r="B1170" s="13"/>
      <c r="C1170" s="16" t="s">
        <v>772</v>
      </c>
      <c r="D1170" s="13"/>
      <c r="E1170" s="13"/>
      <c r="F1170" s="13"/>
      <c r="G1170" s="193">
        <v>0.0</v>
      </c>
      <c r="H1170" s="193">
        <v>0.0</v>
      </c>
      <c r="I1170" s="193" t="s">
        <v>772</v>
      </c>
      <c r="J1170" s="194" t="s">
        <v>772</v>
      </c>
    </row>
    <row r="1171" ht="26.25" customHeight="1">
      <c r="A1171" s="47"/>
      <c r="B1171" s="48"/>
      <c r="C1171" s="50" t="s">
        <v>772</v>
      </c>
      <c r="D1171" s="48"/>
      <c r="E1171" s="48"/>
      <c r="F1171" s="48"/>
      <c r="G1171" s="195">
        <v>0.0</v>
      </c>
      <c r="H1171" s="195">
        <v>0.0</v>
      </c>
      <c r="I1171" s="195" t="s">
        <v>772</v>
      </c>
      <c r="J1171" s="196" t="s">
        <v>772</v>
      </c>
    </row>
    <row r="1172" ht="26.25" customHeight="1">
      <c r="A1172" s="11"/>
      <c r="B1172" s="13"/>
      <c r="C1172" s="16" t="s">
        <v>772</v>
      </c>
      <c r="D1172" s="13"/>
      <c r="E1172" s="13"/>
      <c r="F1172" s="13"/>
      <c r="G1172" s="193">
        <v>0.0</v>
      </c>
      <c r="H1172" s="193">
        <v>0.0</v>
      </c>
      <c r="I1172" s="193" t="s">
        <v>772</v>
      </c>
      <c r="J1172" s="194" t="s">
        <v>772</v>
      </c>
    </row>
    <row r="1173" ht="26.25" customHeight="1">
      <c r="A1173" s="47"/>
      <c r="B1173" s="48"/>
      <c r="C1173" s="50" t="s">
        <v>772</v>
      </c>
      <c r="D1173" s="48"/>
      <c r="E1173" s="48"/>
      <c r="F1173" s="48"/>
      <c r="G1173" s="195">
        <v>0.0</v>
      </c>
      <c r="H1173" s="195">
        <v>0.0</v>
      </c>
      <c r="I1173" s="195" t="s">
        <v>772</v>
      </c>
      <c r="J1173" s="196" t="s">
        <v>772</v>
      </c>
    </row>
    <row r="1174" ht="26.25" customHeight="1">
      <c r="A1174" s="11"/>
      <c r="B1174" s="13"/>
      <c r="C1174" s="16" t="s">
        <v>772</v>
      </c>
      <c r="D1174" s="13"/>
      <c r="E1174" s="13"/>
      <c r="F1174" s="13"/>
      <c r="G1174" s="193">
        <v>0.0</v>
      </c>
      <c r="H1174" s="193">
        <v>0.0</v>
      </c>
      <c r="I1174" s="193" t="s">
        <v>772</v>
      </c>
      <c r="J1174" s="194" t="s">
        <v>772</v>
      </c>
    </row>
    <row r="1175" ht="26.25" customHeight="1">
      <c r="A1175" s="47"/>
      <c r="B1175" s="48"/>
      <c r="C1175" s="50" t="s">
        <v>772</v>
      </c>
      <c r="D1175" s="48"/>
      <c r="E1175" s="48"/>
      <c r="F1175" s="48"/>
      <c r="G1175" s="195">
        <v>0.0</v>
      </c>
      <c r="H1175" s="195">
        <v>0.0</v>
      </c>
      <c r="I1175" s="195" t="s">
        <v>772</v>
      </c>
      <c r="J1175" s="196" t="s">
        <v>772</v>
      </c>
    </row>
    <row r="1176" ht="26.25" customHeight="1">
      <c r="A1176" s="11"/>
      <c r="B1176" s="13"/>
      <c r="C1176" s="16" t="s">
        <v>772</v>
      </c>
      <c r="D1176" s="13"/>
      <c r="E1176" s="13"/>
      <c r="F1176" s="13"/>
      <c r="G1176" s="193">
        <v>0.0</v>
      </c>
      <c r="H1176" s="193">
        <v>0.0</v>
      </c>
      <c r="I1176" s="193" t="s">
        <v>772</v>
      </c>
      <c r="J1176" s="194" t="s">
        <v>772</v>
      </c>
    </row>
    <row r="1177" ht="26.25" customHeight="1">
      <c r="A1177" s="47"/>
      <c r="B1177" s="48"/>
      <c r="C1177" s="50" t="s">
        <v>772</v>
      </c>
      <c r="D1177" s="48"/>
      <c r="E1177" s="48"/>
      <c r="F1177" s="48"/>
      <c r="G1177" s="195">
        <v>0.0</v>
      </c>
      <c r="H1177" s="195">
        <v>0.0</v>
      </c>
      <c r="I1177" s="195" t="s">
        <v>772</v>
      </c>
      <c r="J1177" s="196" t="s">
        <v>772</v>
      </c>
    </row>
    <row r="1178" ht="26.25" customHeight="1">
      <c r="A1178" s="11"/>
      <c r="B1178" s="13"/>
      <c r="C1178" s="16" t="s">
        <v>772</v>
      </c>
      <c r="D1178" s="13"/>
      <c r="E1178" s="13"/>
      <c r="F1178" s="13"/>
      <c r="G1178" s="193">
        <v>0.0</v>
      </c>
      <c r="H1178" s="193">
        <v>0.0</v>
      </c>
      <c r="I1178" s="193" t="s">
        <v>772</v>
      </c>
      <c r="J1178" s="194" t="s">
        <v>772</v>
      </c>
    </row>
    <row r="1179" ht="26.25" customHeight="1">
      <c r="A1179" s="47"/>
      <c r="B1179" s="48"/>
      <c r="C1179" s="50" t="s">
        <v>772</v>
      </c>
      <c r="D1179" s="48"/>
      <c r="E1179" s="48"/>
      <c r="F1179" s="48"/>
      <c r="G1179" s="195">
        <v>0.0</v>
      </c>
      <c r="H1179" s="195">
        <v>0.0</v>
      </c>
      <c r="I1179" s="195" t="s">
        <v>772</v>
      </c>
      <c r="J1179" s="196" t="s">
        <v>772</v>
      </c>
    </row>
    <row r="1180" ht="26.25" customHeight="1">
      <c r="A1180" s="11"/>
      <c r="B1180" s="13"/>
      <c r="C1180" s="16" t="s">
        <v>772</v>
      </c>
      <c r="D1180" s="13"/>
      <c r="E1180" s="13"/>
      <c r="F1180" s="13"/>
      <c r="G1180" s="193">
        <v>0.0</v>
      </c>
      <c r="H1180" s="193">
        <v>0.0</v>
      </c>
      <c r="I1180" s="193" t="s">
        <v>772</v>
      </c>
      <c r="J1180" s="194" t="s">
        <v>772</v>
      </c>
    </row>
    <row r="1181" ht="26.25" customHeight="1">
      <c r="A1181" s="47"/>
      <c r="B1181" s="48"/>
      <c r="C1181" s="50" t="s">
        <v>772</v>
      </c>
      <c r="D1181" s="48"/>
      <c r="E1181" s="48"/>
      <c r="F1181" s="48"/>
      <c r="G1181" s="195">
        <v>0.0</v>
      </c>
      <c r="H1181" s="195">
        <v>0.0</v>
      </c>
      <c r="I1181" s="195" t="s">
        <v>772</v>
      </c>
      <c r="J1181" s="196" t="s">
        <v>772</v>
      </c>
    </row>
    <row r="1182" ht="26.25" customHeight="1">
      <c r="A1182" s="11"/>
      <c r="B1182" s="13"/>
      <c r="C1182" s="16" t="s">
        <v>772</v>
      </c>
      <c r="D1182" s="13"/>
      <c r="E1182" s="13"/>
      <c r="F1182" s="13"/>
      <c r="G1182" s="193">
        <v>0.0</v>
      </c>
      <c r="H1182" s="193">
        <v>0.0</v>
      </c>
      <c r="I1182" s="193" t="s">
        <v>772</v>
      </c>
      <c r="J1182" s="194" t="s">
        <v>772</v>
      </c>
    </row>
    <row r="1183" ht="26.25" customHeight="1">
      <c r="A1183" s="47"/>
      <c r="B1183" s="48"/>
      <c r="C1183" s="50" t="s">
        <v>772</v>
      </c>
      <c r="D1183" s="48"/>
      <c r="E1183" s="48"/>
      <c r="F1183" s="48"/>
      <c r="G1183" s="195">
        <v>0.0</v>
      </c>
      <c r="H1183" s="195">
        <v>0.0</v>
      </c>
      <c r="I1183" s="195" t="s">
        <v>772</v>
      </c>
      <c r="J1183" s="196" t="s">
        <v>772</v>
      </c>
    </row>
    <row r="1184" ht="26.25" customHeight="1">
      <c r="A1184" s="11"/>
      <c r="B1184" s="13"/>
      <c r="C1184" s="16" t="s">
        <v>772</v>
      </c>
      <c r="D1184" s="13"/>
      <c r="E1184" s="13"/>
      <c r="F1184" s="13"/>
      <c r="G1184" s="193">
        <v>0.0</v>
      </c>
      <c r="H1184" s="193">
        <v>0.0</v>
      </c>
      <c r="I1184" s="193" t="s">
        <v>772</v>
      </c>
      <c r="J1184" s="194" t="s">
        <v>772</v>
      </c>
    </row>
    <row r="1185" ht="26.25" customHeight="1">
      <c r="A1185" s="47"/>
      <c r="B1185" s="48"/>
      <c r="C1185" s="50" t="s">
        <v>772</v>
      </c>
      <c r="D1185" s="48"/>
      <c r="E1185" s="48"/>
      <c r="F1185" s="48"/>
      <c r="G1185" s="195">
        <v>0.0</v>
      </c>
      <c r="H1185" s="195">
        <v>0.0</v>
      </c>
      <c r="I1185" s="195" t="s">
        <v>772</v>
      </c>
      <c r="J1185" s="196" t="s">
        <v>772</v>
      </c>
    </row>
    <row r="1186" ht="26.25" customHeight="1">
      <c r="A1186" s="11"/>
      <c r="B1186" s="13"/>
      <c r="C1186" s="16" t="s">
        <v>772</v>
      </c>
      <c r="D1186" s="13"/>
      <c r="E1186" s="13"/>
      <c r="F1186" s="13"/>
      <c r="G1186" s="193">
        <v>0.0</v>
      </c>
      <c r="H1186" s="193">
        <v>0.0</v>
      </c>
      <c r="I1186" s="193" t="s">
        <v>772</v>
      </c>
      <c r="J1186" s="194" t="s">
        <v>772</v>
      </c>
    </row>
    <row r="1187" ht="26.25" customHeight="1">
      <c r="A1187" s="47"/>
      <c r="B1187" s="48"/>
      <c r="C1187" s="50" t="s">
        <v>772</v>
      </c>
      <c r="D1187" s="48"/>
      <c r="E1187" s="48"/>
      <c r="F1187" s="48"/>
      <c r="G1187" s="195">
        <v>0.0</v>
      </c>
      <c r="H1187" s="195">
        <v>0.0</v>
      </c>
      <c r="I1187" s="195" t="s">
        <v>772</v>
      </c>
      <c r="J1187" s="196" t="s">
        <v>772</v>
      </c>
    </row>
    <row r="1188" ht="26.25" customHeight="1">
      <c r="A1188" s="11"/>
      <c r="B1188" s="13"/>
      <c r="C1188" s="16" t="s">
        <v>772</v>
      </c>
      <c r="D1188" s="13"/>
      <c r="E1188" s="13"/>
      <c r="F1188" s="13"/>
      <c r="G1188" s="193">
        <v>0.0</v>
      </c>
      <c r="H1188" s="193">
        <v>0.0</v>
      </c>
      <c r="I1188" s="193" t="s">
        <v>772</v>
      </c>
      <c r="J1188" s="194" t="s">
        <v>772</v>
      </c>
    </row>
    <row r="1189" ht="26.25" customHeight="1">
      <c r="A1189" s="47"/>
      <c r="B1189" s="48"/>
      <c r="C1189" s="50" t="s">
        <v>772</v>
      </c>
      <c r="D1189" s="48"/>
      <c r="E1189" s="48"/>
      <c r="F1189" s="48"/>
      <c r="G1189" s="195">
        <v>0.0</v>
      </c>
      <c r="H1189" s="195">
        <v>0.0</v>
      </c>
      <c r="I1189" s="195" t="s">
        <v>772</v>
      </c>
      <c r="J1189" s="196" t="s">
        <v>772</v>
      </c>
    </row>
    <row r="1190" ht="26.25" customHeight="1">
      <c r="A1190" s="11"/>
      <c r="B1190" s="13"/>
      <c r="C1190" s="16" t="s">
        <v>772</v>
      </c>
      <c r="D1190" s="13"/>
      <c r="E1190" s="13"/>
      <c r="F1190" s="13"/>
      <c r="G1190" s="193">
        <v>0.0</v>
      </c>
      <c r="H1190" s="193">
        <v>0.0</v>
      </c>
      <c r="I1190" s="193" t="s">
        <v>772</v>
      </c>
      <c r="J1190" s="194" t="s">
        <v>772</v>
      </c>
    </row>
    <row r="1191" ht="26.25" customHeight="1">
      <c r="A1191" s="47"/>
      <c r="B1191" s="48"/>
      <c r="C1191" s="50" t="s">
        <v>772</v>
      </c>
      <c r="D1191" s="48"/>
      <c r="E1191" s="48"/>
      <c r="F1191" s="48"/>
      <c r="G1191" s="195">
        <v>0.0</v>
      </c>
      <c r="H1191" s="195">
        <v>0.0</v>
      </c>
      <c r="I1191" s="195" t="s">
        <v>772</v>
      </c>
      <c r="J1191" s="196" t="s">
        <v>772</v>
      </c>
    </row>
    <row r="1192" ht="26.25" customHeight="1">
      <c r="A1192" s="11"/>
      <c r="B1192" s="13"/>
      <c r="C1192" s="16" t="s">
        <v>772</v>
      </c>
      <c r="D1192" s="13"/>
      <c r="E1192" s="13"/>
      <c r="F1192" s="13"/>
      <c r="G1192" s="193">
        <v>0.0</v>
      </c>
      <c r="H1192" s="193">
        <v>0.0</v>
      </c>
      <c r="I1192" s="193" t="s">
        <v>772</v>
      </c>
      <c r="J1192" s="194" t="s">
        <v>772</v>
      </c>
    </row>
    <row r="1193" ht="26.25" customHeight="1">
      <c r="A1193" s="47"/>
      <c r="B1193" s="48"/>
      <c r="C1193" s="50" t="s">
        <v>772</v>
      </c>
      <c r="D1193" s="48"/>
      <c r="E1193" s="48"/>
      <c r="F1193" s="48"/>
      <c r="G1193" s="195">
        <v>0.0</v>
      </c>
      <c r="H1193" s="195">
        <v>0.0</v>
      </c>
      <c r="I1193" s="195" t="s">
        <v>772</v>
      </c>
      <c r="J1193" s="196" t="s">
        <v>772</v>
      </c>
    </row>
    <row r="1194" ht="26.25" customHeight="1">
      <c r="A1194" s="11"/>
      <c r="B1194" s="13"/>
      <c r="C1194" s="16" t="s">
        <v>772</v>
      </c>
      <c r="D1194" s="13"/>
      <c r="E1194" s="13"/>
      <c r="F1194" s="13"/>
      <c r="G1194" s="193">
        <v>0.0</v>
      </c>
      <c r="H1194" s="193">
        <v>0.0</v>
      </c>
      <c r="I1194" s="193" t="s">
        <v>772</v>
      </c>
      <c r="J1194" s="194" t="s">
        <v>772</v>
      </c>
    </row>
    <row r="1195" ht="26.25" customHeight="1">
      <c r="A1195" s="47"/>
      <c r="B1195" s="48"/>
      <c r="C1195" s="50" t="s">
        <v>772</v>
      </c>
      <c r="D1195" s="48"/>
      <c r="E1195" s="48"/>
      <c r="F1195" s="48"/>
      <c r="G1195" s="195">
        <v>0.0</v>
      </c>
      <c r="H1195" s="195">
        <v>0.0</v>
      </c>
      <c r="I1195" s="195" t="s">
        <v>772</v>
      </c>
      <c r="J1195" s="196" t="s">
        <v>772</v>
      </c>
    </row>
    <row r="1196" ht="26.25" customHeight="1">
      <c r="A1196" s="11"/>
      <c r="B1196" s="13"/>
      <c r="C1196" s="16" t="s">
        <v>772</v>
      </c>
      <c r="D1196" s="13"/>
      <c r="E1196" s="13"/>
      <c r="F1196" s="13"/>
      <c r="G1196" s="193">
        <v>0.0</v>
      </c>
      <c r="H1196" s="193">
        <v>0.0</v>
      </c>
      <c r="I1196" s="193" t="s">
        <v>772</v>
      </c>
      <c r="J1196" s="194" t="s">
        <v>772</v>
      </c>
    </row>
    <row r="1197" ht="26.25" customHeight="1">
      <c r="A1197" s="47"/>
      <c r="B1197" s="48"/>
      <c r="C1197" s="50" t="s">
        <v>772</v>
      </c>
      <c r="D1197" s="48"/>
      <c r="E1197" s="48"/>
      <c r="F1197" s="48"/>
      <c r="G1197" s="195">
        <v>0.0</v>
      </c>
      <c r="H1197" s="195">
        <v>0.0</v>
      </c>
      <c r="I1197" s="195" t="s">
        <v>772</v>
      </c>
      <c r="J1197" s="196" t="s">
        <v>772</v>
      </c>
    </row>
    <row r="1198" ht="26.25" customHeight="1">
      <c r="A1198" s="11"/>
      <c r="B1198" s="13"/>
      <c r="C1198" s="16" t="s">
        <v>772</v>
      </c>
      <c r="D1198" s="13"/>
      <c r="E1198" s="13"/>
      <c r="F1198" s="13"/>
      <c r="G1198" s="193">
        <v>0.0</v>
      </c>
      <c r="H1198" s="193">
        <v>0.0</v>
      </c>
      <c r="I1198" s="193" t="s">
        <v>772</v>
      </c>
      <c r="J1198" s="194" t="s">
        <v>772</v>
      </c>
    </row>
    <row r="1199" ht="26.25" customHeight="1">
      <c r="A1199" s="47"/>
      <c r="B1199" s="48"/>
      <c r="C1199" s="50" t="s">
        <v>772</v>
      </c>
      <c r="D1199" s="48"/>
      <c r="E1199" s="48"/>
      <c r="F1199" s="48"/>
      <c r="G1199" s="195">
        <v>0.0</v>
      </c>
      <c r="H1199" s="195">
        <v>0.0</v>
      </c>
      <c r="I1199" s="195" t="s">
        <v>772</v>
      </c>
      <c r="J1199" s="196" t="s">
        <v>772</v>
      </c>
    </row>
    <row r="1200" ht="26.25" customHeight="1">
      <c r="A1200" s="11"/>
      <c r="B1200" s="13"/>
      <c r="C1200" s="16" t="s">
        <v>772</v>
      </c>
      <c r="D1200" s="13"/>
      <c r="E1200" s="13"/>
      <c r="F1200" s="13"/>
      <c r="G1200" s="193">
        <v>0.0</v>
      </c>
      <c r="H1200" s="193">
        <v>0.0</v>
      </c>
      <c r="I1200" s="193" t="s">
        <v>772</v>
      </c>
      <c r="J1200" s="194" t="s">
        <v>772</v>
      </c>
    </row>
    <row r="1201" ht="26.25" customHeight="1">
      <c r="A1201" s="47"/>
      <c r="B1201" s="48"/>
      <c r="C1201" s="50" t="s">
        <v>772</v>
      </c>
      <c r="D1201" s="48"/>
      <c r="E1201" s="48"/>
      <c r="F1201" s="48"/>
      <c r="G1201" s="195">
        <v>0.0</v>
      </c>
      <c r="H1201" s="195">
        <v>0.0</v>
      </c>
      <c r="I1201" s="195" t="s">
        <v>772</v>
      </c>
      <c r="J1201" s="196" t="s">
        <v>772</v>
      </c>
    </row>
    <row r="1202" ht="26.25" customHeight="1">
      <c r="A1202" s="11"/>
      <c r="B1202" s="13"/>
      <c r="C1202" s="16" t="s">
        <v>772</v>
      </c>
      <c r="D1202" s="13"/>
      <c r="E1202" s="13"/>
      <c r="F1202" s="13"/>
      <c r="G1202" s="193">
        <v>0.0</v>
      </c>
      <c r="H1202" s="193">
        <v>0.0</v>
      </c>
      <c r="I1202" s="193" t="s">
        <v>772</v>
      </c>
      <c r="J1202" s="194" t="s">
        <v>772</v>
      </c>
    </row>
    <row r="1203" ht="26.25" customHeight="1">
      <c r="A1203" s="47"/>
      <c r="B1203" s="48"/>
      <c r="C1203" s="50" t="s">
        <v>772</v>
      </c>
      <c r="D1203" s="48"/>
      <c r="E1203" s="48"/>
      <c r="F1203" s="48"/>
      <c r="G1203" s="195">
        <v>0.0</v>
      </c>
      <c r="H1203" s="195">
        <v>0.0</v>
      </c>
      <c r="I1203" s="195" t="s">
        <v>772</v>
      </c>
      <c r="J1203" s="196" t="s">
        <v>772</v>
      </c>
    </row>
    <row r="1204" ht="26.25" customHeight="1">
      <c r="A1204" s="11"/>
      <c r="B1204" s="13"/>
      <c r="C1204" s="16" t="s">
        <v>772</v>
      </c>
      <c r="D1204" s="13"/>
      <c r="E1204" s="13"/>
      <c r="F1204" s="13"/>
      <c r="G1204" s="193">
        <v>0.0</v>
      </c>
      <c r="H1204" s="193">
        <v>0.0</v>
      </c>
      <c r="I1204" s="193" t="s">
        <v>772</v>
      </c>
      <c r="J1204" s="194" t="s">
        <v>772</v>
      </c>
    </row>
    <row r="1205" ht="26.25" customHeight="1">
      <c r="A1205" s="47"/>
      <c r="B1205" s="48"/>
      <c r="C1205" s="50" t="s">
        <v>772</v>
      </c>
      <c r="D1205" s="48"/>
      <c r="E1205" s="48"/>
      <c r="F1205" s="48"/>
      <c r="G1205" s="195">
        <v>0.0</v>
      </c>
      <c r="H1205" s="195">
        <v>0.0</v>
      </c>
      <c r="I1205" s="195" t="s">
        <v>772</v>
      </c>
      <c r="J1205" s="196" t="s">
        <v>772</v>
      </c>
    </row>
    <row r="1206" ht="26.25" customHeight="1">
      <c r="A1206" s="11"/>
      <c r="B1206" s="13"/>
      <c r="C1206" s="16" t="s">
        <v>772</v>
      </c>
      <c r="D1206" s="13"/>
      <c r="E1206" s="13"/>
      <c r="F1206" s="13"/>
      <c r="G1206" s="193">
        <v>0.0</v>
      </c>
      <c r="H1206" s="193">
        <v>0.0</v>
      </c>
      <c r="I1206" s="193" t="s">
        <v>772</v>
      </c>
      <c r="J1206" s="194" t="s">
        <v>772</v>
      </c>
    </row>
    <row r="1207" ht="26.25" customHeight="1">
      <c r="A1207" s="47"/>
      <c r="B1207" s="48"/>
      <c r="C1207" s="50" t="s">
        <v>772</v>
      </c>
      <c r="D1207" s="48"/>
      <c r="E1207" s="48"/>
      <c r="F1207" s="48"/>
      <c r="G1207" s="195">
        <v>0.0</v>
      </c>
      <c r="H1207" s="195">
        <v>0.0</v>
      </c>
      <c r="I1207" s="195" t="s">
        <v>772</v>
      </c>
      <c r="J1207" s="196" t="s">
        <v>772</v>
      </c>
    </row>
    <row r="1208" ht="26.25" customHeight="1">
      <c r="A1208" s="11"/>
      <c r="B1208" s="13"/>
      <c r="C1208" s="16" t="s">
        <v>772</v>
      </c>
      <c r="D1208" s="13"/>
      <c r="E1208" s="13"/>
      <c r="F1208" s="13"/>
      <c r="G1208" s="193">
        <v>0.0</v>
      </c>
      <c r="H1208" s="193">
        <v>0.0</v>
      </c>
      <c r="I1208" s="193" t="s">
        <v>772</v>
      </c>
      <c r="J1208" s="194" t="s">
        <v>772</v>
      </c>
    </row>
    <row r="1209" ht="26.25" customHeight="1">
      <c r="A1209" s="47"/>
      <c r="B1209" s="48"/>
      <c r="C1209" s="50" t="s">
        <v>772</v>
      </c>
      <c r="D1209" s="48"/>
      <c r="E1209" s="48"/>
      <c r="F1209" s="48"/>
      <c r="G1209" s="195">
        <v>0.0</v>
      </c>
      <c r="H1209" s="195">
        <v>0.0</v>
      </c>
      <c r="I1209" s="195" t="s">
        <v>772</v>
      </c>
      <c r="J1209" s="196" t="s">
        <v>772</v>
      </c>
    </row>
    <row r="1210" ht="26.25" customHeight="1">
      <c r="A1210" s="11"/>
      <c r="B1210" s="13"/>
      <c r="C1210" s="16" t="s">
        <v>772</v>
      </c>
      <c r="D1210" s="13"/>
      <c r="E1210" s="13"/>
      <c r="F1210" s="13"/>
      <c r="G1210" s="193">
        <v>0.0</v>
      </c>
      <c r="H1210" s="193">
        <v>0.0</v>
      </c>
      <c r="I1210" s="193" t="s">
        <v>772</v>
      </c>
      <c r="J1210" s="194" t="s">
        <v>772</v>
      </c>
    </row>
    <row r="1211" ht="26.25" customHeight="1">
      <c r="A1211" s="47"/>
      <c r="B1211" s="48"/>
      <c r="C1211" s="50" t="s">
        <v>772</v>
      </c>
      <c r="D1211" s="48"/>
      <c r="E1211" s="48"/>
      <c r="F1211" s="48"/>
      <c r="G1211" s="195">
        <v>0.0</v>
      </c>
      <c r="H1211" s="195">
        <v>0.0</v>
      </c>
      <c r="I1211" s="195" t="s">
        <v>772</v>
      </c>
      <c r="J1211" s="196" t="s">
        <v>772</v>
      </c>
    </row>
    <row r="1212" ht="26.25" customHeight="1">
      <c r="A1212" s="11"/>
      <c r="B1212" s="13"/>
      <c r="C1212" s="16" t="s">
        <v>772</v>
      </c>
      <c r="D1212" s="13"/>
      <c r="E1212" s="13"/>
      <c r="F1212" s="13"/>
      <c r="G1212" s="193">
        <v>0.0</v>
      </c>
      <c r="H1212" s="193">
        <v>0.0</v>
      </c>
      <c r="I1212" s="193" t="s">
        <v>772</v>
      </c>
      <c r="J1212" s="194" t="s">
        <v>772</v>
      </c>
    </row>
    <row r="1213" ht="26.25" customHeight="1">
      <c r="A1213" s="47"/>
      <c r="B1213" s="48"/>
      <c r="C1213" s="50" t="s">
        <v>772</v>
      </c>
      <c r="D1213" s="48"/>
      <c r="E1213" s="48"/>
      <c r="F1213" s="48"/>
      <c r="G1213" s="195">
        <v>0.0</v>
      </c>
      <c r="H1213" s="195">
        <v>0.0</v>
      </c>
      <c r="I1213" s="195" t="s">
        <v>772</v>
      </c>
      <c r="J1213" s="196" t="s">
        <v>772</v>
      </c>
    </row>
    <row r="1214" ht="26.25" customHeight="1">
      <c r="A1214" s="11"/>
      <c r="B1214" s="13"/>
      <c r="C1214" s="16" t="s">
        <v>772</v>
      </c>
      <c r="D1214" s="13"/>
      <c r="E1214" s="13"/>
      <c r="F1214" s="13"/>
      <c r="G1214" s="193">
        <v>0.0</v>
      </c>
      <c r="H1214" s="193">
        <v>0.0</v>
      </c>
      <c r="I1214" s="193" t="s">
        <v>772</v>
      </c>
      <c r="J1214" s="194" t="s">
        <v>772</v>
      </c>
    </row>
    <row r="1215" ht="26.25" customHeight="1">
      <c r="A1215" s="47"/>
      <c r="B1215" s="48"/>
      <c r="C1215" s="50" t="s">
        <v>772</v>
      </c>
      <c r="D1215" s="48"/>
      <c r="E1215" s="48"/>
      <c r="F1215" s="48"/>
      <c r="G1215" s="195">
        <v>0.0</v>
      </c>
      <c r="H1215" s="195">
        <v>0.0</v>
      </c>
      <c r="I1215" s="195" t="s">
        <v>772</v>
      </c>
      <c r="J1215" s="196" t="s">
        <v>772</v>
      </c>
    </row>
    <row r="1216" ht="26.25" customHeight="1">
      <c r="A1216" s="11"/>
      <c r="B1216" s="13"/>
      <c r="C1216" s="16" t="s">
        <v>772</v>
      </c>
      <c r="D1216" s="13"/>
      <c r="E1216" s="13"/>
      <c r="F1216" s="13"/>
      <c r="G1216" s="193">
        <v>0.0</v>
      </c>
      <c r="H1216" s="193">
        <v>0.0</v>
      </c>
      <c r="I1216" s="193" t="s">
        <v>772</v>
      </c>
      <c r="J1216" s="194" t="s">
        <v>772</v>
      </c>
    </row>
    <row r="1217" ht="26.25" customHeight="1">
      <c r="A1217" s="47"/>
      <c r="B1217" s="48"/>
      <c r="C1217" s="50" t="s">
        <v>772</v>
      </c>
      <c r="D1217" s="48"/>
      <c r="E1217" s="48"/>
      <c r="F1217" s="48"/>
      <c r="G1217" s="195">
        <v>0.0</v>
      </c>
      <c r="H1217" s="195">
        <v>0.0</v>
      </c>
      <c r="I1217" s="195" t="s">
        <v>772</v>
      </c>
      <c r="J1217" s="196" t="s">
        <v>772</v>
      </c>
    </row>
    <row r="1218" ht="26.25" customHeight="1">
      <c r="A1218" s="11"/>
      <c r="B1218" s="13"/>
      <c r="C1218" s="16" t="s">
        <v>772</v>
      </c>
      <c r="D1218" s="13"/>
      <c r="E1218" s="13"/>
      <c r="F1218" s="13"/>
      <c r="G1218" s="193">
        <v>0.0</v>
      </c>
      <c r="H1218" s="193">
        <v>0.0</v>
      </c>
      <c r="I1218" s="193" t="s">
        <v>772</v>
      </c>
      <c r="J1218" s="194" t="s">
        <v>772</v>
      </c>
    </row>
    <row r="1219" ht="26.25" customHeight="1">
      <c r="A1219" s="47"/>
      <c r="B1219" s="48"/>
      <c r="C1219" s="50" t="s">
        <v>772</v>
      </c>
      <c r="D1219" s="48"/>
      <c r="E1219" s="48"/>
      <c r="F1219" s="48"/>
      <c r="G1219" s="195">
        <v>0.0</v>
      </c>
      <c r="H1219" s="195">
        <v>0.0</v>
      </c>
      <c r="I1219" s="195" t="s">
        <v>772</v>
      </c>
      <c r="J1219" s="196" t="s">
        <v>772</v>
      </c>
    </row>
    <row r="1220" ht="26.25" customHeight="1">
      <c r="A1220" s="11"/>
      <c r="B1220" s="13"/>
      <c r="C1220" s="16" t="s">
        <v>772</v>
      </c>
      <c r="D1220" s="13"/>
      <c r="E1220" s="13"/>
      <c r="F1220" s="13"/>
      <c r="G1220" s="193">
        <v>0.0</v>
      </c>
      <c r="H1220" s="193">
        <v>0.0</v>
      </c>
      <c r="I1220" s="193" t="s">
        <v>772</v>
      </c>
      <c r="J1220" s="194" t="s">
        <v>772</v>
      </c>
    </row>
    <row r="1221" ht="26.25" customHeight="1">
      <c r="A1221" s="47"/>
      <c r="B1221" s="48"/>
      <c r="C1221" s="50" t="s">
        <v>772</v>
      </c>
      <c r="D1221" s="48"/>
      <c r="E1221" s="48"/>
      <c r="F1221" s="48"/>
      <c r="G1221" s="195">
        <v>0.0</v>
      </c>
      <c r="H1221" s="195">
        <v>0.0</v>
      </c>
      <c r="I1221" s="195" t="s">
        <v>772</v>
      </c>
      <c r="J1221" s="196" t="s">
        <v>772</v>
      </c>
    </row>
    <row r="1222" ht="26.25" customHeight="1">
      <c r="A1222" s="11"/>
      <c r="B1222" s="13"/>
      <c r="C1222" s="16" t="s">
        <v>772</v>
      </c>
      <c r="D1222" s="13"/>
      <c r="E1222" s="13"/>
      <c r="F1222" s="13"/>
      <c r="G1222" s="193">
        <v>0.0</v>
      </c>
      <c r="H1222" s="193">
        <v>0.0</v>
      </c>
      <c r="I1222" s="193" t="s">
        <v>772</v>
      </c>
      <c r="J1222" s="194" t="s">
        <v>772</v>
      </c>
    </row>
    <row r="1223" ht="26.25" customHeight="1">
      <c r="A1223" s="47"/>
      <c r="B1223" s="48"/>
      <c r="C1223" s="50" t="s">
        <v>772</v>
      </c>
      <c r="D1223" s="48"/>
      <c r="E1223" s="48"/>
      <c r="F1223" s="48"/>
      <c r="G1223" s="195">
        <v>0.0</v>
      </c>
      <c r="H1223" s="195">
        <v>0.0</v>
      </c>
      <c r="I1223" s="195" t="s">
        <v>772</v>
      </c>
      <c r="J1223" s="196" t="s">
        <v>772</v>
      </c>
    </row>
    <row r="1224" ht="26.25" customHeight="1">
      <c r="A1224" s="11"/>
      <c r="B1224" s="13"/>
      <c r="C1224" s="16" t="s">
        <v>772</v>
      </c>
      <c r="D1224" s="13"/>
      <c r="E1224" s="13"/>
      <c r="F1224" s="13"/>
      <c r="G1224" s="193">
        <v>0.0</v>
      </c>
      <c r="H1224" s="193">
        <v>0.0</v>
      </c>
      <c r="I1224" s="193" t="s">
        <v>772</v>
      </c>
      <c r="J1224" s="194" t="s">
        <v>772</v>
      </c>
    </row>
    <row r="1225" ht="26.25" customHeight="1">
      <c r="A1225" s="47"/>
      <c r="B1225" s="48"/>
      <c r="C1225" s="50" t="s">
        <v>772</v>
      </c>
      <c r="D1225" s="48"/>
      <c r="E1225" s="48"/>
      <c r="F1225" s="48"/>
      <c r="G1225" s="195">
        <v>0.0</v>
      </c>
      <c r="H1225" s="195">
        <v>0.0</v>
      </c>
      <c r="I1225" s="195" t="s">
        <v>772</v>
      </c>
      <c r="J1225" s="196" t="s">
        <v>772</v>
      </c>
    </row>
    <row r="1226" ht="26.25" customHeight="1">
      <c r="A1226" s="11"/>
      <c r="B1226" s="13"/>
      <c r="C1226" s="16" t="s">
        <v>772</v>
      </c>
      <c r="D1226" s="13"/>
      <c r="E1226" s="13"/>
      <c r="F1226" s="13"/>
      <c r="G1226" s="193">
        <v>0.0</v>
      </c>
      <c r="H1226" s="193">
        <v>0.0</v>
      </c>
      <c r="I1226" s="193" t="s">
        <v>772</v>
      </c>
      <c r="J1226" s="194" t="s">
        <v>772</v>
      </c>
    </row>
    <row r="1227" ht="26.25" customHeight="1">
      <c r="A1227" s="47"/>
      <c r="B1227" s="48"/>
      <c r="C1227" s="50" t="s">
        <v>772</v>
      </c>
      <c r="D1227" s="48"/>
      <c r="E1227" s="48"/>
      <c r="F1227" s="48"/>
      <c r="G1227" s="195">
        <v>0.0</v>
      </c>
      <c r="H1227" s="195">
        <v>0.0</v>
      </c>
      <c r="I1227" s="195" t="s">
        <v>772</v>
      </c>
      <c r="J1227" s="196" t="s">
        <v>772</v>
      </c>
    </row>
    <row r="1228" ht="26.25" customHeight="1">
      <c r="A1228" s="11"/>
      <c r="B1228" s="13"/>
      <c r="C1228" s="16" t="s">
        <v>772</v>
      </c>
      <c r="D1228" s="13"/>
      <c r="E1228" s="13"/>
      <c r="F1228" s="13"/>
      <c r="G1228" s="193">
        <v>0.0</v>
      </c>
      <c r="H1228" s="193">
        <v>0.0</v>
      </c>
      <c r="I1228" s="193" t="s">
        <v>772</v>
      </c>
      <c r="J1228" s="194" t="s">
        <v>772</v>
      </c>
    </row>
    <row r="1229" ht="26.25" customHeight="1">
      <c r="A1229" s="47"/>
      <c r="B1229" s="48"/>
      <c r="C1229" s="50" t="s">
        <v>772</v>
      </c>
      <c r="D1229" s="48"/>
      <c r="E1229" s="48"/>
      <c r="F1229" s="48"/>
      <c r="G1229" s="195">
        <v>0.0</v>
      </c>
      <c r="H1229" s="195">
        <v>0.0</v>
      </c>
      <c r="I1229" s="195" t="s">
        <v>772</v>
      </c>
      <c r="J1229" s="196" t="s">
        <v>772</v>
      </c>
    </row>
    <row r="1230" ht="26.25" customHeight="1">
      <c r="A1230" s="11"/>
      <c r="B1230" s="13"/>
      <c r="C1230" s="16" t="s">
        <v>772</v>
      </c>
      <c r="D1230" s="13"/>
      <c r="E1230" s="13"/>
      <c r="F1230" s="13"/>
      <c r="G1230" s="193">
        <v>0.0</v>
      </c>
      <c r="H1230" s="193">
        <v>0.0</v>
      </c>
      <c r="I1230" s="193" t="s">
        <v>772</v>
      </c>
      <c r="J1230" s="194" t="s">
        <v>772</v>
      </c>
    </row>
    <row r="1231" ht="26.25" customHeight="1">
      <c r="A1231" s="47"/>
      <c r="B1231" s="48"/>
      <c r="C1231" s="50" t="s">
        <v>772</v>
      </c>
      <c r="D1231" s="48"/>
      <c r="E1231" s="48"/>
      <c r="F1231" s="48"/>
      <c r="G1231" s="195">
        <v>0.0</v>
      </c>
      <c r="H1231" s="195">
        <v>0.0</v>
      </c>
      <c r="I1231" s="195" t="s">
        <v>772</v>
      </c>
      <c r="J1231" s="196" t="s">
        <v>772</v>
      </c>
    </row>
    <row r="1232" ht="26.25" customHeight="1">
      <c r="A1232" s="11"/>
      <c r="B1232" s="13"/>
      <c r="C1232" s="16" t="s">
        <v>772</v>
      </c>
      <c r="D1232" s="13"/>
      <c r="E1232" s="13"/>
      <c r="F1232" s="13"/>
      <c r="G1232" s="193">
        <v>0.0</v>
      </c>
      <c r="H1232" s="193">
        <v>0.0</v>
      </c>
      <c r="I1232" s="193" t="s">
        <v>772</v>
      </c>
      <c r="J1232" s="194" t="s">
        <v>772</v>
      </c>
    </row>
    <row r="1233" ht="26.25" customHeight="1">
      <c r="A1233" s="47"/>
      <c r="B1233" s="48"/>
      <c r="C1233" s="50" t="s">
        <v>772</v>
      </c>
      <c r="D1233" s="48"/>
      <c r="E1233" s="48"/>
      <c r="F1233" s="48"/>
      <c r="G1233" s="195">
        <v>0.0</v>
      </c>
      <c r="H1233" s="195">
        <v>0.0</v>
      </c>
      <c r="I1233" s="195" t="s">
        <v>772</v>
      </c>
      <c r="J1233" s="196" t="s">
        <v>772</v>
      </c>
    </row>
    <row r="1234" ht="26.25" customHeight="1">
      <c r="A1234" s="11"/>
      <c r="B1234" s="13"/>
      <c r="C1234" s="16" t="s">
        <v>772</v>
      </c>
      <c r="D1234" s="13"/>
      <c r="E1234" s="13"/>
      <c r="F1234" s="13"/>
      <c r="G1234" s="193">
        <v>0.0</v>
      </c>
      <c r="H1234" s="193">
        <v>0.0</v>
      </c>
      <c r="I1234" s="193" t="s">
        <v>772</v>
      </c>
      <c r="J1234" s="194" t="s">
        <v>772</v>
      </c>
    </row>
    <row r="1235" ht="26.25" customHeight="1">
      <c r="A1235" s="47"/>
      <c r="B1235" s="48"/>
      <c r="C1235" s="50" t="s">
        <v>772</v>
      </c>
      <c r="D1235" s="48"/>
      <c r="E1235" s="48"/>
      <c r="F1235" s="48"/>
      <c r="G1235" s="195">
        <v>0.0</v>
      </c>
      <c r="H1235" s="195">
        <v>0.0</v>
      </c>
      <c r="I1235" s="195" t="s">
        <v>772</v>
      </c>
      <c r="J1235" s="196" t="s">
        <v>772</v>
      </c>
    </row>
    <row r="1236" ht="26.25" customHeight="1">
      <c r="A1236" s="11"/>
      <c r="B1236" s="13"/>
      <c r="C1236" s="16" t="s">
        <v>772</v>
      </c>
      <c r="D1236" s="13"/>
      <c r="E1236" s="13"/>
      <c r="F1236" s="13"/>
      <c r="G1236" s="193">
        <v>0.0</v>
      </c>
      <c r="H1236" s="193">
        <v>0.0</v>
      </c>
      <c r="I1236" s="193" t="s">
        <v>772</v>
      </c>
      <c r="J1236" s="194" t="s">
        <v>772</v>
      </c>
    </row>
    <row r="1237" ht="26.25" customHeight="1">
      <c r="A1237" s="47"/>
      <c r="B1237" s="48"/>
      <c r="C1237" s="50" t="s">
        <v>772</v>
      </c>
      <c r="D1237" s="48"/>
      <c r="E1237" s="48"/>
      <c r="F1237" s="48"/>
      <c r="G1237" s="195">
        <v>0.0</v>
      </c>
      <c r="H1237" s="195">
        <v>0.0</v>
      </c>
      <c r="I1237" s="195" t="s">
        <v>772</v>
      </c>
      <c r="J1237" s="196" t="s">
        <v>772</v>
      </c>
    </row>
    <row r="1238" ht="26.25" customHeight="1">
      <c r="A1238" s="11"/>
      <c r="B1238" s="13"/>
      <c r="C1238" s="16" t="s">
        <v>772</v>
      </c>
      <c r="D1238" s="13"/>
      <c r="E1238" s="13"/>
      <c r="F1238" s="13"/>
      <c r="G1238" s="193">
        <v>0.0</v>
      </c>
      <c r="H1238" s="193">
        <v>0.0</v>
      </c>
      <c r="I1238" s="193" t="s">
        <v>772</v>
      </c>
      <c r="J1238" s="194" t="s">
        <v>772</v>
      </c>
    </row>
    <row r="1239" ht="26.25" customHeight="1">
      <c r="A1239" s="47"/>
      <c r="B1239" s="48"/>
      <c r="C1239" s="50" t="s">
        <v>772</v>
      </c>
      <c r="D1239" s="48"/>
      <c r="E1239" s="48"/>
      <c r="F1239" s="48"/>
      <c r="G1239" s="195">
        <v>0.0</v>
      </c>
      <c r="H1239" s="195">
        <v>0.0</v>
      </c>
      <c r="I1239" s="195" t="s">
        <v>772</v>
      </c>
      <c r="J1239" s="196" t="s">
        <v>772</v>
      </c>
    </row>
    <row r="1240" ht="26.25" customHeight="1">
      <c r="A1240" s="11"/>
      <c r="B1240" s="13"/>
      <c r="C1240" s="16" t="s">
        <v>772</v>
      </c>
      <c r="D1240" s="13"/>
      <c r="E1240" s="13"/>
      <c r="F1240" s="13"/>
      <c r="G1240" s="193">
        <v>0.0</v>
      </c>
      <c r="H1240" s="193">
        <v>0.0</v>
      </c>
      <c r="I1240" s="193" t="s">
        <v>772</v>
      </c>
      <c r="J1240" s="194" t="s">
        <v>772</v>
      </c>
    </row>
    <row r="1241" ht="26.25" customHeight="1">
      <c r="A1241" s="47"/>
      <c r="B1241" s="48"/>
      <c r="C1241" s="50" t="s">
        <v>772</v>
      </c>
      <c r="D1241" s="48"/>
      <c r="E1241" s="48"/>
      <c r="F1241" s="48"/>
      <c r="G1241" s="195">
        <v>0.0</v>
      </c>
      <c r="H1241" s="195">
        <v>0.0</v>
      </c>
      <c r="I1241" s="195" t="s">
        <v>772</v>
      </c>
      <c r="J1241" s="196" t="s">
        <v>772</v>
      </c>
    </row>
    <row r="1242" ht="26.25" customHeight="1">
      <c r="A1242" s="11"/>
      <c r="B1242" s="13"/>
      <c r="C1242" s="16" t="s">
        <v>772</v>
      </c>
      <c r="D1242" s="13"/>
      <c r="E1242" s="13"/>
      <c r="F1242" s="13"/>
      <c r="G1242" s="193">
        <v>0.0</v>
      </c>
      <c r="H1242" s="193">
        <v>0.0</v>
      </c>
      <c r="I1242" s="193" t="s">
        <v>772</v>
      </c>
      <c r="J1242" s="194" t="s">
        <v>772</v>
      </c>
    </row>
    <row r="1243" ht="26.25" customHeight="1">
      <c r="A1243" s="47"/>
      <c r="B1243" s="48"/>
      <c r="C1243" s="50" t="s">
        <v>772</v>
      </c>
      <c r="D1243" s="48"/>
      <c r="E1243" s="48"/>
      <c r="F1243" s="48"/>
      <c r="G1243" s="195">
        <v>0.0</v>
      </c>
      <c r="H1243" s="195">
        <v>0.0</v>
      </c>
      <c r="I1243" s="195" t="s">
        <v>772</v>
      </c>
      <c r="J1243" s="196" t="s">
        <v>772</v>
      </c>
    </row>
    <row r="1244" ht="26.25" customHeight="1">
      <c r="A1244" s="11"/>
      <c r="B1244" s="13"/>
      <c r="C1244" s="16" t="s">
        <v>772</v>
      </c>
      <c r="D1244" s="13"/>
      <c r="E1244" s="13"/>
      <c r="F1244" s="13"/>
      <c r="G1244" s="193">
        <v>0.0</v>
      </c>
      <c r="H1244" s="193">
        <v>0.0</v>
      </c>
      <c r="I1244" s="193" t="s">
        <v>772</v>
      </c>
      <c r="J1244" s="194" t="s">
        <v>772</v>
      </c>
    </row>
    <row r="1245" ht="26.25" customHeight="1">
      <c r="A1245" s="47"/>
      <c r="B1245" s="48"/>
      <c r="C1245" s="50" t="s">
        <v>772</v>
      </c>
      <c r="D1245" s="48"/>
      <c r="E1245" s="48"/>
      <c r="F1245" s="48"/>
      <c r="G1245" s="195">
        <v>0.0</v>
      </c>
      <c r="H1245" s="195">
        <v>0.0</v>
      </c>
      <c r="I1245" s="195" t="s">
        <v>772</v>
      </c>
      <c r="J1245" s="196" t="s">
        <v>772</v>
      </c>
    </row>
    <row r="1246" ht="26.25" customHeight="1">
      <c r="A1246" s="11"/>
      <c r="B1246" s="13"/>
      <c r="C1246" s="16" t="s">
        <v>772</v>
      </c>
      <c r="D1246" s="13"/>
      <c r="E1246" s="13"/>
      <c r="F1246" s="13"/>
      <c r="G1246" s="193">
        <v>0.0</v>
      </c>
      <c r="H1246" s="193">
        <v>0.0</v>
      </c>
      <c r="I1246" s="193" t="s">
        <v>772</v>
      </c>
      <c r="J1246" s="194" t="s">
        <v>772</v>
      </c>
    </row>
    <row r="1247" ht="26.25" customHeight="1">
      <c r="A1247" s="47"/>
      <c r="B1247" s="48"/>
      <c r="C1247" s="50" t="s">
        <v>772</v>
      </c>
      <c r="D1247" s="48"/>
      <c r="E1247" s="48"/>
      <c r="F1247" s="48"/>
      <c r="G1247" s="195">
        <v>0.0</v>
      </c>
      <c r="H1247" s="195">
        <v>0.0</v>
      </c>
      <c r="I1247" s="195" t="s">
        <v>772</v>
      </c>
      <c r="J1247" s="196" t="s">
        <v>772</v>
      </c>
    </row>
    <row r="1248" ht="26.25" customHeight="1">
      <c r="A1248" s="11"/>
      <c r="B1248" s="13"/>
      <c r="C1248" s="16" t="s">
        <v>772</v>
      </c>
      <c r="D1248" s="13"/>
      <c r="E1248" s="13"/>
      <c r="F1248" s="13"/>
      <c r="G1248" s="193">
        <v>0.0</v>
      </c>
      <c r="H1248" s="193">
        <v>0.0</v>
      </c>
      <c r="I1248" s="193" t="s">
        <v>772</v>
      </c>
      <c r="J1248" s="194" t="s">
        <v>772</v>
      </c>
    </row>
    <row r="1249" ht="26.25" customHeight="1">
      <c r="A1249" s="47"/>
      <c r="B1249" s="48"/>
      <c r="C1249" s="50" t="s">
        <v>772</v>
      </c>
      <c r="D1249" s="48"/>
      <c r="E1249" s="48"/>
      <c r="F1249" s="48"/>
      <c r="G1249" s="195">
        <v>0.0</v>
      </c>
      <c r="H1249" s="195">
        <v>0.0</v>
      </c>
      <c r="I1249" s="195" t="s">
        <v>772</v>
      </c>
      <c r="J1249" s="196" t="s">
        <v>772</v>
      </c>
    </row>
    <row r="1250" ht="26.25" customHeight="1">
      <c r="A1250" s="11"/>
      <c r="B1250" s="13"/>
      <c r="C1250" s="16" t="s">
        <v>772</v>
      </c>
      <c r="D1250" s="13"/>
      <c r="E1250" s="13"/>
      <c r="F1250" s="13"/>
      <c r="G1250" s="193">
        <v>0.0</v>
      </c>
      <c r="H1250" s="193">
        <v>0.0</v>
      </c>
      <c r="I1250" s="193" t="s">
        <v>772</v>
      </c>
      <c r="J1250" s="194" t="s">
        <v>772</v>
      </c>
    </row>
    <row r="1251" ht="26.25" customHeight="1">
      <c r="A1251" s="47"/>
      <c r="B1251" s="48"/>
      <c r="C1251" s="50" t="s">
        <v>772</v>
      </c>
      <c r="D1251" s="48"/>
      <c r="E1251" s="48"/>
      <c r="F1251" s="48"/>
      <c r="G1251" s="195">
        <v>0.0</v>
      </c>
      <c r="H1251" s="195">
        <v>0.0</v>
      </c>
      <c r="I1251" s="195" t="s">
        <v>772</v>
      </c>
      <c r="J1251" s="196" t="s">
        <v>772</v>
      </c>
    </row>
    <row r="1252" ht="26.25" customHeight="1">
      <c r="A1252" s="11"/>
      <c r="B1252" s="13"/>
      <c r="C1252" s="16" t="s">
        <v>772</v>
      </c>
      <c r="D1252" s="13"/>
      <c r="E1252" s="13"/>
      <c r="F1252" s="13"/>
      <c r="G1252" s="193">
        <v>0.0</v>
      </c>
      <c r="H1252" s="193">
        <v>0.0</v>
      </c>
      <c r="I1252" s="193" t="s">
        <v>772</v>
      </c>
      <c r="J1252" s="194" t="s">
        <v>772</v>
      </c>
    </row>
    <row r="1253" ht="26.25" customHeight="1">
      <c r="A1253" s="47"/>
      <c r="B1253" s="48"/>
      <c r="C1253" s="50" t="s">
        <v>772</v>
      </c>
      <c r="D1253" s="48"/>
      <c r="E1253" s="48"/>
      <c r="F1253" s="48"/>
      <c r="G1253" s="195">
        <v>0.0</v>
      </c>
      <c r="H1253" s="195">
        <v>0.0</v>
      </c>
      <c r="I1253" s="195" t="s">
        <v>772</v>
      </c>
      <c r="J1253" s="196" t="s">
        <v>772</v>
      </c>
    </row>
    <row r="1254" ht="26.25" customHeight="1">
      <c r="A1254" s="11"/>
      <c r="B1254" s="13"/>
      <c r="C1254" s="16" t="s">
        <v>772</v>
      </c>
      <c r="D1254" s="13"/>
      <c r="E1254" s="13"/>
      <c r="F1254" s="13"/>
      <c r="G1254" s="193">
        <v>0.0</v>
      </c>
      <c r="H1254" s="193">
        <v>0.0</v>
      </c>
      <c r="I1254" s="193" t="s">
        <v>772</v>
      </c>
      <c r="J1254" s="194" t="s">
        <v>772</v>
      </c>
    </row>
    <row r="1255" ht="26.25" customHeight="1">
      <c r="A1255" s="47"/>
      <c r="B1255" s="48"/>
      <c r="C1255" s="50" t="s">
        <v>772</v>
      </c>
      <c r="D1255" s="48"/>
      <c r="E1255" s="48"/>
      <c r="F1255" s="48"/>
      <c r="G1255" s="195">
        <v>0.0</v>
      </c>
      <c r="H1255" s="195">
        <v>0.0</v>
      </c>
      <c r="I1255" s="195" t="s">
        <v>772</v>
      </c>
      <c r="J1255" s="196" t="s">
        <v>772</v>
      </c>
    </row>
    <row r="1256" ht="26.25" customHeight="1">
      <c r="A1256" s="11"/>
      <c r="B1256" s="13"/>
      <c r="C1256" s="16" t="s">
        <v>772</v>
      </c>
      <c r="D1256" s="13"/>
      <c r="E1256" s="13"/>
      <c r="F1256" s="13"/>
      <c r="G1256" s="193">
        <v>0.0</v>
      </c>
      <c r="H1256" s="193">
        <v>0.0</v>
      </c>
      <c r="I1256" s="193" t="s">
        <v>772</v>
      </c>
      <c r="J1256" s="194" t="s">
        <v>772</v>
      </c>
    </row>
    <row r="1257" ht="26.25" customHeight="1">
      <c r="A1257" s="47"/>
      <c r="B1257" s="48"/>
      <c r="C1257" s="50" t="s">
        <v>772</v>
      </c>
      <c r="D1257" s="48"/>
      <c r="E1257" s="48"/>
      <c r="F1257" s="48"/>
      <c r="G1257" s="195">
        <v>0.0</v>
      </c>
      <c r="H1257" s="195">
        <v>0.0</v>
      </c>
      <c r="I1257" s="195" t="s">
        <v>772</v>
      </c>
      <c r="J1257" s="196" t="s">
        <v>772</v>
      </c>
    </row>
    <row r="1258" ht="26.25" customHeight="1">
      <c r="A1258" s="11"/>
      <c r="B1258" s="13"/>
      <c r="C1258" s="16" t="s">
        <v>772</v>
      </c>
      <c r="D1258" s="13"/>
      <c r="E1258" s="13"/>
      <c r="F1258" s="13"/>
      <c r="G1258" s="193">
        <v>0.0</v>
      </c>
      <c r="H1258" s="193">
        <v>0.0</v>
      </c>
      <c r="I1258" s="193" t="s">
        <v>772</v>
      </c>
      <c r="J1258" s="194" t="s">
        <v>772</v>
      </c>
    </row>
    <row r="1259" ht="26.25" customHeight="1">
      <c r="A1259" s="47"/>
      <c r="B1259" s="48"/>
      <c r="C1259" s="50" t="s">
        <v>772</v>
      </c>
      <c r="D1259" s="48"/>
      <c r="E1259" s="48"/>
      <c r="F1259" s="48"/>
      <c r="G1259" s="195">
        <v>0.0</v>
      </c>
      <c r="H1259" s="195">
        <v>0.0</v>
      </c>
      <c r="I1259" s="195" t="s">
        <v>772</v>
      </c>
      <c r="J1259" s="196" t="s">
        <v>772</v>
      </c>
    </row>
    <row r="1260" ht="26.25" customHeight="1">
      <c r="A1260" s="11"/>
      <c r="B1260" s="13"/>
      <c r="C1260" s="16" t="s">
        <v>772</v>
      </c>
      <c r="D1260" s="13"/>
      <c r="E1260" s="13"/>
      <c r="F1260" s="13"/>
      <c r="G1260" s="193">
        <v>0.0</v>
      </c>
      <c r="H1260" s="193">
        <v>0.0</v>
      </c>
      <c r="I1260" s="193" t="s">
        <v>772</v>
      </c>
      <c r="J1260" s="194" t="s">
        <v>772</v>
      </c>
    </row>
    <row r="1261" ht="26.25" customHeight="1">
      <c r="A1261" s="47"/>
      <c r="B1261" s="48"/>
      <c r="C1261" s="50" t="s">
        <v>772</v>
      </c>
      <c r="D1261" s="48"/>
      <c r="E1261" s="48"/>
      <c r="F1261" s="48"/>
      <c r="G1261" s="195">
        <v>0.0</v>
      </c>
      <c r="H1261" s="195">
        <v>0.0</v>
      </c>
      <c r="I1261" s="195" t="s">
        <v>772</v>
      </c>
      <c r="J1261" s="196" t="s">
        <v>772</v>
      </c>
    </row>
    <row r="1262" ht="26.25" customHeight="1">
      <c r="A1262" s="11"/>
      <c r="B1262" s="13"/>
      <c r="C1262" s="16" t="s">
        <v>772</v>
      </c>
      <c r="D1262" s="13"/>
      <c r="E1262" s="13"/>
      <c r="F1262" s="13"/>
      <c r="G1262" s="193">
        <v>0.0</v>
      </c>
      <c r="H1262" s="193">
        <v>0.0</v>
      </c>
      <c r="I1262" s="193" t="s">
        <v>772</v>
      </c>
      <c r="J1262" s="194" t="s">
        <v>772</v>
      </c>
    </row>
    <row r="1263" ht="26.25" customHeight="1">
      <c r="A1263" s="47"/>
      <c r="B1263" s="48"/>
      <c r="C1263" s="50" t="s">
        <v>772</v>
      </c>
      <c r="D1263" s="48"/>
      <c r="E1263" s="48"/>
      <c r="F1263" s="48"/>
      <c r="G1263" s="195">
        <v>0.0</v>
      </c>
      <c r="H1263" s="195">
        <v>0.0</v>
      </c>
      <c r="I1263" s="195" t="s">
        <v>772</v>
      </c>
      <c r="J1263" s="196" t="s">
        <v>772</v>
      </c>
    </row>
    <row r="1264" ht="26.25" customHeight="1">
      <c r="A1264" s="11"/>
      <c r="B1264" s="13"/>
      <c r="C1264" s="16" t="s">
        <v>772</v>
      </c>
      <c r="D1264" s="13"/>
      <c r="E1264" s="13"/>
      <c r="F1264" s="13"/>
      <c r="G1264" s="193">
        <v>0.0</v>
      </c>
      <c r="H1264" s="193">
        <v>0.0</v>
      </c>
      <c r="I1264" s="193" t="s">
        <v>772</v>
      </c>
      <c r="J1264" s="194" t="s">
        <v>772</v>
      </c>
    </row>
    <row r="1265" ht="26.25" customHeight="1">
      <c r="A1265" s="47"/>
      <c r="B1265" s="48"/>
      <c r="C1265" s="50" t="s">
        <v>772</v>
      </c>
      <c r="D1265" s="48"/>
      <c r="E1265" s="48"/>
      <c r="F1265" s="48"/>
      <c r="G1265" s="195">
        <v>0.0</v>
      </c>
      <c r="H1265" s="195">
        <v>0.0</v>
      </c>
      <c r="I1265" s="195" t="s">
        <v>772</v>
      </c>
      <c r="J1265" s="196" t="s">
        <v>772</v>
      </c>
    </row>
    <row r="1266" ht="26.25" customHeight="1">
      <c r="A1266" s="11"/>
      <c r="B1266" s="13"/>
      <c r="C1266" s="16" t="s">
        <v>772</v>
      </c>
      <c r="D1266" s="13"/>
      <c r="E1266" s="13"/>
      <c r="F1266" s="13"/>
      <c r="G1266" s="193">
        <v>0.0</v>
      </c>
      <c r="H1266" s="193">
        <v>0.0</v>
      </c>
      <c r="I1266" s="193" t="s">
        <v>772</v>
      </c>
      <c r="J1266" s="194" t="s">
        <v>772</v>
      </c>
    </row>
    <row r="1267" ht="26.25" customHeight="1">
      <c r="A1267" s="47"/>
      <c r="B1267" s="48"/>
      <c r="C1267" s="50" t="s">
        <v>772</v>
      </c>
      <c r="D1267" s="48"/>
      <c r="E1267" s="48"/>
      <c r="F1267" s="48"/>
      <c r="G1267" s="195">
        <v>0.0</v>
      </c>
      <c r="H1267" s="195">
        <v>0.0</v>
      </c>
      <c r="I1267" s="195" t="s">
        <v>772</v>
      </c>
      <c r="J1267" s="196" t="s">
        <v>772</v>
      </c>
    </row>
    <row r="1268" ht="26.25" customHeight="1">
      <c r="A1268" s="11"/>
      <c r="B1268" s="13"/>
      <c r="C1268" s="16" t="s">
        <v>772</v>
      </c>
      <c r="D1268" s="13"/>
      <c r="E1268" s="13"/>
      <c r="F1268" s="13"/>
      <c r="G1268" s="193">
        <v>0.0</v>
      </c>
      <c r="H1268" s="193">
        <v>0.0</v>
      </c>
      <c r="I1268" s="193" t="s">
        <v>772</v>
      </c>
      <c r="J1268" s="194" t="s">
        <v>772</v>
      </c>
    </row>
    <row r="1269" ht="26.25" customHeight="1">
      <c r="A1269" s="47"/>
      <c r="B1269" s="48"/>
      <c r="C1269" s="50" t="s">
        <v>772</v>
      </c>
      <c r="D1269" s="48"/>
      <c r="E1269" s="48"/>
      <c r="F1269" s="48"/>
      <c r="G1269" s="195">
        <v>0.0</v>
      </c>
      <c r="H1269" s="195">
        <v>0.0</v>
      </c>
      <c r="I1269" s="195" t="s">
        <v>772</v>
      </c>
      <c r="J1269" s="196" t="s">
        <v>772</v>
      </c>
    </row>
    <row r="1270" ht="26.25" customHeight="1">
      <c r="A1270" s="11"/>
      <c r="B1270" s="13"/>
      <c r="C1270" s="16" t="s">
        <v>772</v>
      </c>
      <c r="D1270" s="13"/>
      <c r="E1270" s="13"/>
      <c r="F1270" s="13"/>
      <c r="G1270" s="193">
        <v>0.0</v>
      </c>
      <c r="H1270" s="193">
        <v>0.0</v>
      </c>
      <c r="I1270" s="193" t="s">
        <v>772</v>
      </c>
      <c r="J1270" s="194" t="s">
        <v>772</v>
      </c>
    </row>
    <row r="1271" ht="26.25" customHeight="1">
      <c r="A1271" s="47"/>
      <c r="B1271" s="48"/>
      <c r="C1271" s="50" t="s">
        <v>772</v>
      </c>
      <c r="D1271" s="48"/>
      <c r="E1271" s="48"/>
      <c r="F1271" s="48"/>
      <c r="G1271" s="195">
        <v>0.0</v>
      </c>
      <c r="H1271" s="195">
        <v>0.0</v>
      </c>
      <c r="I1271" s="195" t="s">
        <v>772</v>
      </c>
      <c r="J1271" s="196" t="s">
        <v>772</v>
      </c>
    </row>
    <row r="1272" ht="26.25" customHeight="1">
      <c r="A1272" s="11"/>
      <c r="B1272" s="13"/>
      <c r="C1272" s="16" t="s">
        <v>772</v>
      </c>
      <c r="D1272" s="13"/>
      <c r="E1272" s="13"/>
      <c r="F1272" s="13"/>
      <c r="G1272" s="193">
        <v>0.0</v>
      </c>
      <c r="H1272" s="193">
        <v>0.0</v>
      </c>
      <c r="I1272" s="193" t="s">
        <v>772</v>
      </c>
      <c r="J1272" s="194" t="s">
        <v>772</v>
      </c>
    </row>
    <row r="1273" ht="26.25" customHeight="1">
      <c r="A1273" s="47"/>
      <c r="B1273" s="48"/>
      <c r="C1273" s="50" t="s">
        <v>772</v>
      </c>
      <c r="D1273" s="48"/>
      <c r="E1273" s="48"/>
      <c r="F1273" s="48"/>
      <c r="G1273" s="195">
        <v>0.0</v>
      </c>
      <c r="H1273" s="195">
        <v>0.0</v>
      </c>
      <c r="I1273" s="195" t="s">
        <v>772</v>
      </c>
      <c r="J1273" s="196" t="s">
        <v>772</v>
      </c>
    </row>
    <row r="1274" ht="26.25" customHeight="1">
      <c r="A1274" s="11"/>
      <c r="B1274" s="13"/>
      <c r="C1274" s="16" t="s">
        <v>772</v>
      </c>
      <c r="D1274" s="13"/>
      <c r="E1274" s="13"/>
      <c r="F1274" s="13"/>
      <c r="G1274" s="193">
        <v>0.0</v>
      </c>
      <c r="H1274" s="193">
        <v>0.0</v>
      </c>
      <c r="I1274" s="193" t="s">
        <v>772</v>
      </c>
      <c r="J1274" s="194" t="s">
        <v>772</v>
      </c>
    </row>
    <row r="1275" ht="26.25" customHeight="1">
      <c r="A1275" s="47"/>
      <c r="B1275" s="48"/>
      <c r="C1275" s="50" t="s">
        <v>772</v>
      </c>
      <c r="D1275" s="48"/>
      <c r="E1275" s="48"/>
      <c r="F1275" s="48"/>
      <c r="G1275" s="195">
        <v>0.0</v>
      </c>
      <c r="H1275" s="195">
        <v>0.0</v>
      </c>
      <c r="I1275" s="195" t="s">
        <v>772</v>
      </c>
      <c r="J1275" s="196" t="s">
        <v>772</v>
      </c>
    </row>
    <row r="1276" ht="26.25" customHeight="1">
      <c r="A1276" s="11"/>
      <c r="B1276" s="13"/>
      <c r="C1276" s="16" t="s">
        <v>772</v>
      </c>
      <c r="D1276" s="13"/>
      <c r="E1276" s="13"/>
      <c r="F1276" s="13"/>
      <c r="G1276" s="193">
        <v>0.0</v>
      </c>
      <c r="H1276" s="193">
        <v>0.0</v>
      </c>
      <c r="I1276" s="193" t="s">
        <v>772</v>
      </c>
      <c r="J1276" s="194" t="s">
        <v>772</v>
      </c>
    </row>
    <row r="1277" ht="26.25" customHeight="1">
      <c r="A1277" s="47"/>
      <c r="B1277" s="48"/>
      <c r="C1277" s="50" t="s">
        <v>772</v>
      </c>
      <c r="D1277" s="48"/>
      <c r="E1277" s="48"/>
      <c r="F1277" s="48"/>
      <c r="G1277" s="195">
        <v>0.0</v>
      </c>
      <c r="H1277" s="195">
        <v>0.0</v>
      </c>
      <c r="I1277" s="195" t="s">
        <v>772</v>
      </c>
      <c r="J1277" s="196" t="s">
        <v>772</v>
      </c>
    </row>
    <row r="1278" ht="26.25" customHeight="1">
      <c r="A1278" s="11"/>
      <c r="B1278" s="13"/>
      <c r="C1278" s="16" t="s">
        <v>772</v>
      </c>
      <c r="D1278" s="13"/>
      <c r="E1278" s="13"/>
      <c r="F1278" s="13"/>
      <c r="G1278" s="193">
        <v>0.0</v>
      </c>
      <c r="H1278" s="193">
        <v>0.0</v>
      </c>
      <c r="I1278" s="193" t="s">
        <v>772</v>
      </c>
      <c r="J1278" s="194" t="s">
        <v>772</v>
      </c>
    </row>
    <row r="1279" ht="26.25" customHeight="1">
      <c r="A1279" s="47"/>
      <c r="B1279" s="48"/>
      <c r="C1279" s="50" t="s">
        <v>772</v>
      </c>
      <c r="D1279" s="48"/>
      <c r="E1279" s="48"/>
      <c r="F1279" s="48"/>
      <c r="G1279" s="195">
        <v>0.0</v>
      </c>
      <c r="H1279" s="195">
        <v>0.0</v>
      </c>
      <c r="I1279" s="195" t="s">
        <v>772</v>
      </c>
      <c r="J1279" s="196" t="s">
        <v>772</v>
      </c>
    </row>
    <row r="1280" ht="26.25" customHeight="1">
      <c r="A1280" s="11"/>
      <c r="B1280" s="13"/>
      <c r="C1280" s="16" t="s">
        <v>772</v>
      </c>
      <c r="D1280" s="13"/>
      <c r="E1280" s="13"/>
      <c r="F1280" s="13"/>
      <c r="G1280" s="193">
        <v>0.0</v>
      </c>
      <c r="H1280" s="193">
        <v>0.0</v>
      </c>
      <c r="I1280" s="193" t="s">
        <v>772</v>
      </c>
      <c r="J1280" s="194" t="s">
        <v>772</v>
      </c>
    </row>
    <row r="1281" ht="26.25" customHeight="1">
      <c r="A1281" s="47"/>
      <c r="B1281" s="48"/>
      <c r="C1281" s="50" t="s">
        <v>772</v>
      </c>
      <c r="D1281" s="48"/>
      <c r="E1281" s="48"/>
      <c r="F1281" s="48"/>
      <c r="G1281" s="195">
        <v>0.0</v>
      </c>
      <c r="H1281" s="195">
        <v>0.0</v>
      </c>
      <c r="I1281" s="195" t="s">
        <v>772</v>
      </c>
      <c r="J1281" s="196" t="s">
        <v>772</v>
      </c>
    </row>
    <row r="1282" ht="26.25" customHeight="1">
      <c r="A1282" s="11"/>
      <c r="B1282" s="13"/>
      <c r="C1282" s="16" t="s">
        <v>772</v>
      </c>
      <c r="D1282" s="13"/>
      <c r="E1282" s="13"/>
      <c r="F1282" s="13"/>
      <c r="G1282" s="193">
        <v>0.0</v>
      </c>
      <c r="H1282" s="193">
        <v>0.0</v>
      </c>
      <c r="I1282" s="193" t="s">
        <v>772</v>
      </c>
      <c r="J1282" s="194" t="s">
        <v>772</v>
      </c>
    </row>
    <row r="1283" ht="26.25" customHeight="1">
      <c r="A1283" s="47"/>
      <c r="B1283" s="48"/>
      <c r="C1283" s="50" t="s">
        <v>772</v>
      </c>
      <c r="D1283" s="48"/>
      <c r="E1283" s="48"/>
      <c r="F1283" s="48"/>
      <c r="G1283" s="195">
        <v>0.0</v>
      </c>
      <c r="H1283" s="195">
        <v>0.0</v>
      </c>
      <c r="I1283" s="195" t="s">
        <v>772</v>
      </c>
      <c r="J1283" s="196" t="s">
        <v>772</v>
      </c>
    </row>
    <row r="1284" ht="26.25" customHeight="1">
      <c r="A1284" s="11"/>
      <c r="B1284" s="13"/>
      <c r="C1284" s="16" t="s">
        <v>772</v>
      </c>
      <c r="D1284" s="13"/>
      <c r="E1284" s="13"/>
      <c r="F1284" s="13"/>
      <c r="G1284" s="193">
        <v>0.0</v>
      </c>
      <c r="H1284" s="193">
        <v>0.0</v>
      </c>
      <c r="I1284" s="193" t="s">
        <v>772</v>
      </c>
      <c r="J1284" s="194" t="s">
        <v>772</v>
      </c>
    </row>
    <row r="1285" ht="26.25" customHeight="1">
      <c r="A1285" s="47"/>
      <c r="B1285" s="48"/>
      <c r="C1285" s="50" t="s">
        <v>772</v>
      </c>
      <c r="D1285" s="48"/>
      <c r="E1285" s="48"/>
      <c r="F1285" s="48"/>
      <c r="G1285" s="195">
        <v>0.0</v>
      </c>
      <c r="H1285" s="195">
        <v>0.0</v>
      </c>
      <c r="I1285" s="195" t="s">
        <v>772</v>
      </c>
      <c r="J1285" s="196" t="s">
        <v>772</v>
      </c>
    </row>
    <row r="1286" ht="26.25" customHeight="1">
      <c r="A1286" s="11"/>
      <c r="B1286" s="13"/>
      <c r="C1286" s="16" t="s">
        <v>772</v>
      </c>
      <c r="D1286" s="13"/>
      <c r="E1286" s="13"/>
      <c r="F1286" s="13"/>
      <c r="G1286" s="193">
        <v>0.0</v>
      </c>
      <c r="H1286" s="193">
        <v>0.0</v>
      </c>
      <c r="I1286" s="193" t="s">
        <v>772</v>
      </c>
      <c r="J1286" s="194" t="s">
        <v>772</v>
      </c>
    </row>
    <row r="1287" ht="26.25" customHeight="1">
      <c r="A1287" s="47"/>
      <c r="B1287" s="48"/>
      <c r="C1287" s="50" t="s">
        <v>772</v>
      </c>
      <c r="D1287" s="48"/>
      <c r="E1287" s="48"/>
      <c r="F1287" s="48"/>
      <c r="G1287" s="195">
        <v>0.0</v>
      </c>
      <c r="H1287" s="195">
        <v>0.0</v>
      </c>
      <c r="I1287" s="195" t="s">
        <v>772</v>
      </c>
      <c r="J1287" s="196" t="s">
        <v>772</v>
      </c>
    </row>
    <row r="1288" ht="26.25" customHeight="1">
      <c r="A1288" s="11"/>
      <c r="B1288" s="13"/>
      <c r="C1288" s="16" t="s">
        <v>772</v>
      </c>
      <c r="D1288" s="13"/>
      <c r="E1288" s="13"/>
      <c r="F1288" s="13"/>
      <c r="G1288" s="193">
        <v>0.0</v>
      </c>
      <c r="H1288" s="193">
        <v>0.0</v>
      </c>
      <c r="I1288" s="193" t="s">
        <v>772</v>
      </c>
      <c r="J1288" s="194" t="s">
        <v>772</v>
      </c>
    </row>
    <row r="1289" ht="26.25" customHeight="1">
      <c r="A1289" s="47"/>
      <c r="B1289" s="48"/>
      <c r="C1289" s="50" t="s">
        <v>772</v>
      </c>
      <c r="D1289" s="48"/>
      <c r="E1289" s="48"/>
      <c r="F1289" s="48"/>
      <c r="G1289" s="195">
        <v>0.0</v>
      </c>
      <c r="H1289" s="195">
        <v>0.0</v>
      </c>
      <c r="I1289" s="195" t="s">
        <v>772</v>
      </c>
      <c r="J1289" s="196" t="s">
        <v>772</v>
      </c>
    </row>
    <row r="1290" ht="26.25" customHeight="1">
      <c r="A1290" s="11"/>
      <c r="B1290" s="13"/>
      <c r="C1290" s="16" t="s">
        <v>772</v>
      </c>
      <c r="D1290" s="13"/>
      <c r="E1290" s="13"/>
      <c r="F1290" s="13"/>
      <c r="G1290" s="193">
        <v>0.0</v>
      </c>
      <c r="H1290" s="193">
        <v>0.0</v>
      </c>
      <c r="I1290" s="193" t="s">
        <v>772</v>
      </c>
      <c r="J1290" s="194" t="s">
        <v>772</v>
      </c>
    </row>
    <row r="1291" ht="26.25" customHeight="1">
      <c r="A1291" s="47"/>
      <c r="B1291" s="48"/>
      <c r="C1291" s="50" t="s">
        <v>772</v>
      </c>
      <c r="D1291" s="48"/>
      <c r="E1291" s="48"/>
      <c r="F1291" s="48"/>
      <c r="G1291" s="195">
        <v>0.0</v>
      </c>
      <c r="H1291" s="195">
        <v>0.0</v>
      </c>
      <c r="I1291" s="195" t="s">
        <v>772</v>
      </c>
      <c r="J1291" s="196" t="s">
        <v>772</v>
      </c>
    </row>
    <row r="1292" ht="26.25" customHeight="1">
      <c r="A1292" s="11"/>
      <c r="B1292" s="13"/>
      <c r="C1292" s="16" t="s">
        <v>772</v>
      </c>
      <c r="D1292" s="13"/>
      <c r="E1292" s="13"/>
      <c r="F1292" s="13"/>
      <c r="G1292" s="193">
        <v>0.0</v>
      </c>
      <c r="H1292" s="193">
        <v>0.0</v>
      </c>
      <c r="I1292" s="193" t="s">
        <v>772</v>
      </c>
      <c r="J1292" s="194" t="s">
        <v>772</v>
      </c>
    </row>
    <row r="1293" ht="26.25" customHeight="1">
      <c r="A1293" s="47"/>
      <c r="B1293" s="48"/>
      <c r="C1293" s="50" t="s">
        <v>772</v>
      </c>
      <c r="D1293" s="48"/>
      <c r="E1293" s="48"/>
      <c r="F1293" s="48"/>
      <c r="G1293" s="195">
        <v>0.0</v>
      </c>
      <c r="H1293" s="195">
        <v>0.0</v>
      </c>
      <c r="I1293" s="195" t="s">
        <v>772</v>
      </c>
      <c r="J1293" s="196" t="s">
        <v>772</v>
      </c>
    </row>
    <row r="1294" ht="26.25" customHeight="1">
      <c r="A1294" s="11"/>
      <c r="B1294" s="13"/>
      <c r="C1294" s="16" t="s">
        <v>772</v>
      </c>
      <c r="D1294" s="13"/>
      <c r="E1294" s="13"/>
      <c r="F1294" s="13"/>
      <c r="G1294" s="193">
        <v>0.0</v>
      </c>
      <c r="H1294" s="193">
        <v>0.0</v>
      </c>
      <c r="I1294" s="193" t="s">
        <v>772</v>
      </c>
      <c r="J1294" s="194" t="s">
        <v>772</v>
      </c>
    </row>
    <row r="1295" ht="26.25" customHeight="1">
      <c r="A1295" s="47"/>
      <c r="B1295" s="48"/>
      <c r="C1295" s="50" t="s">
        <v>772</v>
      </c>
      <c r="D1295" s="48"/>
      <c r="E1295" s="48"/>
      <c r="F1295" s="48"/>
      <c r="G1295" s="195">
        <v>0.0</v>
      </c>
      <c r="H1295" s="195">
        <v>0.0</v>
      </c>
      <c r="I1295" s="195" t="s">
        <v>772</v>
      </c>
      <c r="J1295" s="196" t="s">
        <v>772</v>
      </c>
    </row>
    <row r="1296" ht="26.25" customHeight="1">
      <c r="A1296" s="11"/>
      <c r="B1296" s="13"/>
      <c r="C1296" s="16" t="s">
        <v>772</v>
      </c>
      <c r="D1296" s="13"/>
      <c r="E1296" s="13"/>
      <c r="F1296" s="13"/>
      <c r="G1296" s="193">
        <v>0.0</v>
      </c>
      <c r="H1296" s="193">
        <v>0.0</v>
      </c>
      <c r="I1296" s="193" t="s">
        <v>772</v>
      </c>
      <c r="J1296" s="194" t="s">
        <v>772</v>
      </c>
    </row>
    <row r="1297" ht="26.25" customHeight="1">
      <c r="A1297" s="47"/>
      <c r="B1297" s="48"/>
      <c r="C1297" s="50" t="s">
        <v>772</v>
      </c>
      <c r="D1297" s="48"/>
      <c r="E1297" s="48"/>
      <c r="F1297" s="48"/>
      <c r="G1297" s="195">
        <v>0.0</v>
      </c>
      <c r="H1297" s="195">
        <v>0.0</v>
      </c>
      <c r="I1297" s="195" t="s">
        <v>772</v>
      </c>
      <c r="J1297" s="196" t="s">
        <v>772</v>
      </c>
    </row>
    <row r="1298" ht="26.25" customHeight="1">
      <c r="A1298" s="11"/>
      <c r="B1298" s="13"/>
      <c r="C1298" s="16" t="s">
        <v>772</v>
      </c>
      <c r="D1298" s="13"/>
      <c r="E1298" s="13"/>
      <c r="F1298" s="13"/>
      <c r="G1298" s="193">
        <v>0.0</v>
      </c>
      <c r="H1298" s="193">
        <v>0.0</v>
      </c>
      <c r="I1298" s="193" t="s">
        <v>772</v>
      </c>
      <c r="J1298" s="194" t="s">
        <v>772</v>
      </c>
    </row>
    <row r="1299" ht="26.25" customHeight="1">
      <c r="A1299" s="47"/>
      <c r="B1299" s="48"/>
      <c r="C1299" s="50" t="s">
        <v>772</v>
      </c>
      <c r="D1299" s="48"/>
      <c r="E1299" s="48"/>
      <c r="F1299" s="48"/>
      <c r="G1299" s="195">
        <v>0.0</v>
      </c>
      <c r="H1299" s="195">
        <v>0.0</v>
      </c>
      <c r="I1299" s="195" t="s">
        <v>772</v>
      </c>
      <c r="J1299" s="196" t="s">
        <v>772</v>
      </c>
    </row>
    <row r="1300" ht="26.25" customHeight="1">
      <c r="A1300" s="11"/>
      <c r="B1300" s="13"/>
      <c r="C1300" s="16" t="s">
        <v>772</v>
      </c>
      <c r="D1300" s="13"/>
      <c r="E1300" s="13"/>
      <c r="F1300" s="13"/>
      <c r="G1300" s="193">
        <v>0.0</v>
      </c>
      <c r="H1300" s="193">
        <v>0.0</v>
      </c>
      <c r="I1300" s="193" t="s">
        <v>772</v>
      </c>
      <c r="J1300" s="194" t="s">
        <v>772</v>
      </c>
    </row>
    <row r="1301" ht="26.25" customHeight="1">
      <c r="A1301" s="47"/>
      <c r="B1301" s="48"/>
      <c r="C1301" s="50" t="s">
        <v>772</v>
      </c>
      <c r="D1301" s="48"/>
      <c r="E1301" s="48"/>
      <c r="F1301" s="48"/>
      <c r="G1301" s="195">
        <v>0.0</v>
      </c>
      <c r="H1301" s="195">
        <v>0.0</v>
      </c>
      <c r="I1301" s="195" t="s">
        <v>772</v>
      </c>
      <c r="J1301" s="196" t="s">
        <v>772</v>
      </c>
    </row>
    <row r="1302" ht="26.25" customHeight="1">
      <c r="A1302" s="11"/>
      <c r="B1302" s="13"/>
      <c r="C1302" s="16" t="s">
        <v>772</v>
      </c>
      <c r="D1302" s="13"/>
      <c r="E1302" s="13"/>
      <c r="F1302" s="13"/>
      <c r="G1302" s="193">
        <v>0.0</v>
      </c>
      <c r="H1302" s="193">
        <v>0.0</v>
      </c>
      <c r="I1302" s="193" t="s">
        <v>772</v>
      </c>
      <c r="J1302" s="194" t="s">
        <v>772</v>
      </c>
    </row>
    <row r="1303" ht="26.25" customHeight="1">
      <c r="A1303" s="47"/>
      <c r="B1303" s="48"/>
      <c r="C1303" s="50" t="s">
        <v>772</v>
      </c>
      <c r="D1303" s="48"/>
      <c r="E1303" s="48"/>
      <c r="F1303" s="48"/>
      <c r="G1303" s="195">
        <v>0.0</v>
      </c>
      <c r="H1303" s="195">
        <v>0.0</v>
      </c>
      <c r="I1303" s="195" t="s">
        <v>772</v>
      </c>
      <c r="J1303" s="196" t="s">
        <v>772</v>
      </c>
    </row>
    <row r="1304" ht="26.25" customHeight="1">
      <c r="A1304" s="11"/>
      <c r="B1304" s="13"/>
      <c r="C1304" s="16" t="s">
        <v>772</v>
      </c>
      <c r="D1304" s="13"/>
      <c r="E1304" s="13"/>
      <c r="F1304" s="13"/>
      <c r="G1304" s="193">
        <v>0.0</v>
      </c>
      <c r="H1304" s="193">
        <v>0.0</v>
      </c>
      <c r="I1304" s="193" t="s">
        <v>772</v>
      </c>
      <c r="J1304" s="194" t="s">
        <v>772</v>
      </c>
    </row>
    <row r="1305" ht="26.25" customHeight="1">
      <c r="A1305" s="47"/>
      <c r="B1305" s="48"/>
      <c r="C1305" s="50" t="s">
        <v>772</v>
      </c>
      <c r="D1305" s="48"/>
      <c r="E1305" s="48"/>
      <c r="F1305" s="48"/>
      <c r="G1305" s="195">
        <v>0.0</v>
      </c>
      <c r="H1305" s="195">
        <v>0.0</v>
      </c>
      <c r="I1305" s="195" t="s">
        <v>772</v>
      </c>
      <c r="J1305" s="196" t="s">
        <v>772</v>
      </c>
    </row>
    <row r="1306" ht="26.25" customHeight="1">
      <c r="A1306" s="11"/>
      <c r="B1306" s="13"/>
      <c r="C1306" s="16" t="s">
        <v>772</v>
      </c>
      <c r="D1306" s="13"/>
      <c r="E1306" s="13"/>
      <c r="F1306" s="13"/>
      <c r="G1306" s="193">
        <v>0.0</v>
      </c>
      <c r="H1306" s="193">
        <v>0.0</v>
      </c>
      <c r="I1306" s="193" t="s">
        <v>772</v>
      </c>
      <c r="J1306" s="194" t="s">
        <v>772</v>
      </c>
    </row>
    <row r="1307" ht="26.25" customHeight="1">
      <c r="A1307" s="47"/>
      <c r="B1307" s="48"/>
      <c r="C1307" s="50" t="s">
        <v>772</v>
      </c>
      <c r="D1307" s="48"/>
      <c r="E1307" s="48"/>
      <c r="F1307" s="48"/>
      <c r="G1307" s="195">
        <v>0.0</v>
      </c>
      <c r="H1307" s="195">
        <v>0.0</v>
      </c>
      <c r="I1307" s="195" t="s">
        <v>772</v>
      </c>
      <c r="J1307" s="196" t="s">
        <v>772</v>
      </c>
    </row>
    <row r="1308" ht="26.25" customHeight="1">
      <c r="A1308" s="11"/>
      <c r="B1308" s="13"/>
      <c r="C1308" s="16" t="s">
        <v>772</v>
      </c>
      <c r="D1308" s="13"/>
      <c r="E1308" s="13"/>
      <c r="F1308" s="13"/>
      <c r="G1308" s="193">
        <v>0.0</v>
      </c>
      <c r="H1308" s="193">
        <v>0.0</v>
      </c>
      <c r="I1308" s="193" t="s">
        <v>772</v>
      </c>
      <c r="J1308" s="194" t="s">
        <v>772</v>
      </c>
    </row>
    <row r="1309" ht="26.25" customHeight="1">
      <c r="A1309" s="47"/>
      <c r="B1309" s="48"/>
      <c r="C1309" s="50" t="s">
        <v>772</v>
      </c>
      <c r="D1309" s="48"/>
      <c r="E1309" s="48"/>
      <c r="F1309" s="48"/>
      <c r="G1309" s="195">
        <v>0.0</v>
      </c>
      <c r="H1309" s="195">
        <v>0.0</v>
      </c>
      <c r="I1309" s="195" t="s">
        <v>772</v>
      </c>
      <c r="J1309" s="196" t="s">
        <v>772</v>
      </c>
    </row>
    <row r="1310" ht="26.25" customHeight="1">
      <c r="A1310" s="11"/>
      <c r="B1310" s="13"/>
      <c r="C1310" s="16" t="s">
        <v>772</v>
      </c>
      <c r="D1310" s="13"/>
      <c r="E1310" s="13"/>
      <c r="F1310" s="13"/>
      <c r="G1310" s="193">
        <v>0.0</v>
      </c>
      <c r="H1310" s="193">
        <v>0.0</v>
      </c>
      <c r="I1310" s="193" t="s">
        <v>772</v>
      </c>
      <c r="J1310" s="194" t="s">
        <v>772</v>
      </c>
    </row>
    <row r="1311" ht="26.25" customHeight="1">
      <c r="A1311" s="47"/>
      <c r="B1311" s="48"/>
      <c r="C1311" s="50" t="s">
        <v>772</v>
      </c>
      <c r="D1311" s="48"/>
      <c r="E1311" s="48"/>
      <c r="F1311" s="48"/>
      <c r="G1311" s="195">
        <v>0.0</v>
      </c>
      <c r="H1311" s="195">
        <v>0.0</v>
      </c>
      <c r="I1311" s="195" t="s">
        <v>772</v>
      </c>
      <c r="J1311" s="196" t="s">
        <v>772</v>
      </c>
    </row>
    <row r="1312" ht="26.25" customHeight="1">
      <c r="A1312" s="11"/>
      <c r="B1312" s="13"/>
      <c r="C1312" s="16" t="s">
        <v>772</v>
      </c>
      <c r="D1312" s="13"/>
      <c r="E1312" s="13"/>
      <c r="F1312" s="13"/>
      <c r="G1312" s="193">
        <v>0.0</v>
      </c>
      <c r="H1312" s="193">
        <v>0.0</v>
      </c>
      <c r="I1312" s="193" t="s">
        <v>772</v>
      </c>
      <c r="J1312" s="194" t="s">
        <v>772</v>
      </c>
    </row>
    <row r="1313" ht="26.25" customHeight="1">
      <c r="A1313" s="47"/>
      <c r="B1313" s="48"/>
      <c r="C1313" s="50" t="s">
        <v>772</v>
      </c>
      <c r="D1313" s="48"/>
      <c r="E1313" s="48"/>
      <c r="F1313" s="48"/>
      <c r="G1313" s="195">
        <v>0.0</v>
      </c>
      <c r="H1313" s="195">
        <v>0.0</v>
      </c>
      <c r="I1313" s="195" t="s">
        <v>772</v>
      </c>
      <c r="J1313" s="196" t="s">
        <v>772</v>
      </c>
    </row>
    <row r="1314" ht="26.25" customHeight="1">
      <c r="A1314" s="11"/>
      <c r="B1314" s="13"/>
      <c r="C1314" s="16" t="s">
        <v>772</v>
      </c>
      <c r="D1314" s="13"/>
      <c r="E1314" s="13"/>
      <c r="F1314" s="13"/>
      <c r="G1314" s="193">
        <v>0.0</v>
      </c>
      <c r="H1314" s="193">
        <v>0.0</v>
      </c>
      <c r="I1314" s="193" t="s">
        <v>772</v>
      </c>
      <c r="J1314" s="194" t="s">
        <v>772</v>
      </c>
    </row>
    <row r="1315" ht="26.25" customHeight="1">
      <c r="A1315" s="47"/>
      <c r="B1315" s="48"/>
      <c r="C1315" s="50" t="s">
        <v>772</v>
      </c>
      <c r="D1315" s="48"/>
      <c r="E1315" s="48"/>
      <c r="F1315" s="48"/>
      <c r="G1315" s="195">
        <v>0.0</v>
      </c>
      <c r="H1315" s="195">
        <v>0.0</v>
      </c>
      <c r="I1315" s="195" t="s">
        <v>772</v>
      </c>
      <c r="J1315" s="196" t="s">
        <v>772</v>
      </c>
    </row>
    <row r="1316" ht="26.25" customHeight="1">
      <c r="A1316" s="11"/>
      <c r="B1316" s="13"/>
      <c r="C1316" s="16" t="s">
        <v>772</v>
      </c>
      <c r="D1316" s="13"/>
      <c r="E1316" s="13"/>
      <c r="F1316" s="13"/>
      <c r="G1316" s="193">
        <v>0.0</v>
      </c>
      <c r="H1316" s="193">
        <v>0.0</v>
      </c>
      <c r="I1316" s="193" t="s">
        <v>772</v>
      </c>
      <c r="J1316" s="194" t="s">
        <v>772</v>
      </c>
    </row>
    <row r="1317" ht="26.25" customHeight="1">
      <c r="A1317" s="47"/>
      <c r="B1317" s="48"/>
      <c r="C1317" s="50" t="s">
        <v>772</v>
      </c>
      <c r="D1317" s="48"/>
      <c r="E1317" s="48"/>
      <c r="F1317" s="48"/>
      <c r="G1317" s="195">
        <v>0.0</v>
      </c>
      <c r="H1317" s="195">
        <v>0.0</v>
      </c>
      <c r="I1317" s="195" t="s">
        <v>772</v>
      </c>
      <c r="J1317" s="196" t="s">
        <v>772</v>
      </c>
    </row>
    <row r="1318" ht="26.25" customHeight="1">
      <c r="A1318" s="11"/>
      <c r="B1318" s="13"/>
      <c r="C1318" s="16" t="s">
        <v>772</v>
      </c>
      <c r="D1318" s="13"/>
      <c r="E1318" s="13"/>
      <c r="F1318" s="13"/>
      <c r="G1318" s="193">
        <v>0.0</v>
      </c>
      <c r="H1318" s="193">
        <v>0.0</v>
      </c>
      <c r="I1318" s="193" t="s">
        <v>772</v>
      </c>
      <c r="J1318" s="194" t="s">
        <v>772</v>
      </c>
    </row>
    <row r="1319" ht="26.25" customHeight="1">
      <c r="A1319" s="47"/>
      <c r="B1319" s="48"/>
      <c r="C1319" s="50" t="s">
        <v>772</v>
      </c>
      <c r="D1319" s="48"/>
      <c r="E1319" s="48"/>
      <c r="F1319" s="48"/>
      <c r="G1319" s="195">
        <v>0.0</v>
      </c>
      <c r="H1319" s="195">
        <v>0.0</v>
      </c>
      <c r="I1319" s="195" t="s">
        <v>772</v>
      </c>
      <c r="J1319" s="196" t="s">
        <v>772</v>
      </c>
    </row>
    <row r="1320" ht="26.25" customHeight="1">
      <c r="A1320" s="11"/>
      <c r="B1320" s="13"/>
      <c r="C1320" s="16" t="s">
        <v>772</v>
      </c>
      <c r="D1320" s="13"/>
      <c r="E1320" s="13"/>
      <c r="F1320" s="13"/>
      <c r="G1320" s="193">
        <v>0.0</v>
      </c>
      <c r="H1320" s="193">
        <v>0.0</v>
      </c>
      <c r="I1320" s="193" t="s">
        <v>772</v>
      </c>
      <c r="J1320" s="194" t="s">
        <v>772</v>
      </c>
    </row>
    <row r="1321" ht="26.25" customHeight="1">
      <c r="A1321" s="47"/>
      <c r="B1321" s="48"/>
      <c r="C1321" s="50" t="s">
        <v>772</v>
      </c>
      <c r="D1321" s="48"/>
      <c r="E1321" s="48"/>
      <c r="F1321" s="48"/>
      <c r="G1321" s="195">
        <v>0.0</v>
      </c>
      <c r="H1321" s="195">
        <v>0.0</v>
      </c>
      <c r="I1321" s="195" t="s">
        <v>772</v>
      </c>
      <c r="J1321" s="196" t="s">
        <v>772</v>
      </c>
    </row>
    <row r="1322" ht="26.25" customHeight="1">
      <c r="A1322" s="11"/>
      <c r="B1322" s="13"/>
      <c r="C1322" s="16" t="s">
        <v>772</v>
      </c>
      <c r="D1322" s="13"/>
      <c r="E1322" s="13"/>
      <c r="F1322" s="13"/>
      <c r="G1322" s="193">
        <v>0.0</v>
      </c>
      <c r="H1322" s="193">
        <v>0.0</v>
      </c>
      <c r="I1322" s="193" t="s">
        <v>772</v>
      </c>
      <c r="J1322" s="194" t="s">
        <v>772</v>
      </c>
    </row>
    <row r="1323" ht="26.25" customHeight="1">
      <c r="A1323" s="47"/>
      <c r="B1323" s="48"/>
      <c r="C1323" s="50" t="s">
        <v>772</v>
      </c>
      <c r="D1323" s="48"/>
      <c r="E1323" s="48"/>
      <c r="F1323" s="48"/>
      <c r="G1323" s="195">
        <v>0.0</v>
      </c>
      <c r="H1323" s="195">
        <v>0.0</v>
      </c>
      <c r="I1323" s="195" t="s">
        <v>772</v>
      </c>
      <c r="J1323" s="196" t="s">
        <v>772</v>
      </c>
    </row>
    <row r="1324" ht="26.25" customHeight="1">
      <c r="A1324" s="11"/>
      <c r="B1324" s="13"/>
      <c r="C1324" s="16" t="s">
        <v>772</v>
      </c>
      <c r="D1324" s="13"/>
      <c r="E1324" s="13"/>
      <c r="F1324" s="13"/>
      <c r="G1324" s="193">
        <v>0.0</v>
      </c>
      <c r="H1324" s="193">
        <v>0.0</v>
      </c>
      <c r="I1324" s="193" t="s">
        <v>772</v>
      </c>
      <c r="J1324" s="194" t="s">
        <v>772</v>
      </c>
    </row>
    <row r="1325" ht="26.25" customHeight="1">
      <c r="A1325" s="47"/>
      <c r="B1325" s="48"/>
      <c r="C1325" s="50" t="s">
        <v>772</v>
      </c>
      <c r="D1325" s="48"/>
      <c r="E1325" s="48"/>
      <c r="F1325" s="48"/>
      <c r="G1325" s="195">
        <v>0.0</v>
      </c>
      <c r="H1325" s="195">
        <v>0.0</v>
      </c>
      <c r="I1325" s="195" t="s">
        <v>772</v>
      </c>
      <c r="J1325" s="196" t="s">
        <v>772</v>
      </c>
    </row>
    <row r="1326" ht="26.25" customHeight="1">
      <c r="A1326" s="11"/>
      <c r="B1326" s="13"/>
      <c r="C1326" s="16" t="s">
        <v>772</v>
      </c>
      <c r="D1326" s="13"/>
      <c r="E1326" s="13"/>
      <c r="F1326" s="13"/>
      <c r="G1326" s="193">
        <v>0.0</v>
      </c>
      <c r="H1326" s="193">
        <v>0.0</v>
      </c>
      <c r="I1326" s="193" t="s">
        <v>772</v>
      </c>
      <c r="J1326" s="194" t="s">
        <v>772</v>
      </c>
    </row>
    <row r="1327" ht="26.25" customHeight="1">
      <c r="A1327" s="47"/>
      <c r="B1327" s="48"/>
      <c r="C1327" s="50" t="s">
        <v>772</v>
      </c>
      <c r="D1327" s="48"/>
      <c r="E1327" s="48"/>
      <c r="F1327" s="48"/>
      <c r="G1327" s="195">
        <v>0.0</v>
      </c>
      <c r="H1327" s="195">
        <v>0.0</v>
      </c>
      <c r="I1327" s="195" t="s">
        <v>772</v>
      </c>
      <c r="J1327" s="196" t="s">
        <v>772</v>
      </c>
    </row>
    <row r="1328" ht="26.25" customHeight="1">
      <c r="A1328" s="11"/>
      <c r="B1328" s="13"/>
      <c r="C1328" s="16" t="s">
        <v>772</v>
      </c>
      <c r="D1328" s="13"/>
      <c r="E1328" s="13"/>
      <c r="F1328" s="13"/>
      <c r="G1328" s="193">
        <v>0.0</v>
      </c>
      <c r="H1328" s="193">
        <v>0.0</v>
      </c>
      <c r="I1328" s="193" t="s">
        <v>772</v>
      </c>
      <c r="J1328" s="194" t="s">
        <v>772</v>
      </c>
    </row>
    <row r="1329" ht="26.25" customHeight="1">
      <c r="A1329" s="47"/>
      <c r="B1329" s="48"/>
      <c r="C1329" s="50" t="s">
        <v>772</v>
      </c>
      <c r="D1329" s="48"/>
      <c r="E1329" s="48"/>
      <c r="F1329" s="48"/>
      <c r="G1329" s="195">
        <v>0.0</v>
      </c>
      <c r="H1329" s="195">
        <v>0.0</v>
      </c>
      <c r="I1329" s="195" t="s">
        <v>772</v>
      </c>
      <c r="J1329" s="196" t="s">
        <v>772</v>
      </c>
    </row>
    <row r="1330" ht="26.25" customHeight="1">
      <c r="A1330" s="11"/>
      <c r="B1330" s="13"/>
      <c r="C1330" s="16" t="s">
        <v>772</v>
      </c>
      <c r="D1330" s="13"/>
      <c r="E1330" s="13"/>
      <c r="F1330" s="13"/>
      <c r="G1330" s="193">
        <v>0.0</v>
      </c>
      <c r="H1330" s="193">
        <v>0.0</v>
      </c>
      <c r="I1330" s="193" t="s">
        <v>772</v>
      </c>
      <c r="J1330" s="194" t="s">
        <v>772</v>
      </c>
    </row>
    <row r="1331" ht="26.25" customHeight="1">
      <c r="A1331" s="47"/>
      <c r="B1331" s="48"/>
      <c r="C1331" s="50" t="s">
        <v>772</v>
      </c>
      <c r="D1331" s="48"/>
      <c r="E1331" s="48"/>
      <c r="F1331" s="48"/>
      <c r="G1331" s="195">
        <v>0.0</v>
      </c>
      <c r="H1331" s="195">
        <v>0.0</v>
      </c>
      <c r="I1331" s="195" t="s">
        <v>772</v>
      </c>
      <c r="J1331" s="196" t="s">
        <v>772</v>
      </c>
    </row>
    <row r="1332" ht="26.25" customHeight="1">
      <c r="A1332" s="11"/>
      <c r="B1332" s="13"/>
      <c r="C1332" s="16" t="s">
        <v>772</v>
      </c>
      <c r="D1332" s="13"/>
      <c r="E1332" s="13"/>
      <c r="F1332" s="13"/>
      <c r="G1332" s="193">
        <v>0.0</v>
      </c>
      <c r="H1332" s="193">
        <v>0.0</v>
      </c>
      <c r="I1332" s="193" t="s">
        <v>772</v>
      </c>
      <c r="J1332" s="194" t="s">
        <v>772</v>
      </c>
    </row>
    <row r="1333" ht="26.25" customHeight="1">
      <c r="A1333" s="47"/>
      <c r="B1333" s="48"/>
      <c r="C1333" s="50" t="s">
        <v>772</v>
      </c>
      <c r="D1333" s="48"/>
      <c r="E1333" s="48"/>
      <c r="F1333" s="48"/>
      <c r="G1333" s="195">
        <v>0.0</v>
      </c>
      <c r="H1333" s="195">
        <v>0.0</v>
      </c>
      <c r="I1333" s="195" t="s">
        <v>772</v>
      </c>
      <c r="J1333" s="196" t="s">
        <v>772</v>
      </c>
    </row>
    <row r="1334" ht="26.25" customHeight="1">
      <c r="A1334" s="11"/>
      <c r="B1334" s="13"/>
      <c r="C1334" s="16" t="s">
        <v>772</v>
      </c>
      <c r="D1334" s="13"/>
      <c r="E1334" s="13"/>
      <c r="F1334" s="13"/>
      <c r="G1334" s="193">
        <v>0.0</v>
      </c>
      <c r="H1334" s="193">
        <v>0.0</v>
      </c>
      <c r="I1334" s="193" t="s">
        <v>772</v>
      </c>
      <c r="J1334" s="194" t="s">
        <v>772</v>
      </c>
    </row>
    <row r="1335" ht="26.25" customHeight="1">
      <c r="A1335" s="47"/>
      <c r="B1335" s="48"/>
      <c r="C1335" s="50" t="s">
        <v>772</v>
      </c>
      <c r="D1335" s="48"/>
      <c r="E1335" s="48"/>
      <c r="F1335" s="48"/>
      <c r="G1335" s="195">
        <v>0.0</v>
      </c>
      <c r="H1335" s="195">
        <v>0.0</v>
      </c>
      <c r="I1335" s="195" t="s">
        <v>772</v>
      </c>
      <c r="J1335" s="196" t="s">
        <v>772</v>
      </c>
    </row>
    <row r="1336" ht="26.25" customHeight="1">
      <c r="A1336" s="11"/>
      <c r="B1336" s="13"/>
      <c r="C1336" s="16" t="s">
        <v>772</v>
      </c>
      <c r="D1336" s="13"/>
      <c r="E1336" s="13"/>
      <c r="F1336" s="13"/>
      <c r="G1336" s="193">
        <v>0.0</v>
      </c>
      <c r="H1336" s="193">
        <v>0.0</v>
      </c>
      <c r="I1336" s="193" t="s">
        <v>772</v>
      </c>
      <c r="J1336" s="194" t="s">
        <v>772</v>
      </c>
    </row>
    <row r="1337" ht="26.25" customHeight="1">
      <c r="A1337" s="47"/>
      <c r="B1337" s="48"/>
      <c r="C1337" s="50" t="s">
        <v>772</v>
      </c>
      <c r="D1337" s="48"/>
      <c r="E1337" s="48"/>
      <c r="F1337" s="48"/>
      <c r="G1337" s="195">
        <v>0.0</v>
      </c>
      <c r="H1337" s="195">
        <v>0.0</v>
      </c>
      <c r="I1337" s="195" t="s">
        <v>772</v>
      </c>
      <c r="J1337" s="196" t="s">
        <v>772</v>
      </c>
    </row>
    <row r="1338" ht="26.25" customHeight="1">
      <c r="A1338" s="11"/>
      <c r="B1338" s="13"/>
      <c r="C1338" s="16" t="s">
        <v>772</v>
      </c>
      <c r="D1338" s="13"/>
      <c r="E1338" s="13"/>
      <c r="F1338" s="13"/>
      <c r="G1338" s="193">
        <v>0.0</v>
      </c>
      <c r="H1338" s="193">
        <v>0.0</v>
      </c>
      <c r="I1338" s="193" t="s">
        <v>772</v>
      </c>
      <c r="J1338" s="194" t="s">
        <v>772</v>
      </c>
    </row>
    <row r="1339" ht="26.25" customHeight="1">
      <c r="A1339" s="47"/>
      <c r="B1339" s="48"/>
      <c r="C1339" s="50" t="s">
        <v>772</v>
      </c>
      <c r="D1339" s="48"/>
      <c r="E1339" s="48"/>
      <c r="F1339" s="48"/>
      <c r="G1339" s="195">
        <v>0.0</v>
      </c>
      <c r="H1339" s="195">
        <v>0.0</v>
      </c>
      <c r="I1339" s="195" t="s">
        <v>772</v>
      </c>
      <c r="J1339" s="196" t="s">
        <v>772</v>
      </c>
    </row>
    <row r="1340" ht="26.25" customHeight="1">
      <c r="A1340" s="11"/>
      <c r="B1340" s="13"/>
      <c r="C1340" s="16" t="s">
        <v>772</v>
      </c>
      <c r="D1340" s="13"/>
      <c r="E1340" s="13"/>
      <c r="F1340" s="13"/>
      <c r="G1340" s="193">
        <v>0.0</v>
      </c>
      <c r="H1340" s="193">
        <v>0.0</v>
      </c>
      <c r="I1340" s="193" t="s">
        <v>772</v>
      </c>
      <c r="J1340" s="194" t="s">
        <v>772</v>
      </c>
    </row>
    <row r="1341" ht="26.25" customHeight="1">
      <c r="A1341" s="47"/>
      <c r="B1341" s="48"/>
      <c r="C1341" s="50" t="s">
        <v>772</v>
      </c>
      <c r="D1341" s="48"/>
      <c r="E1341" s="48"/>
      <c r="F1341" s="48"/>
      <c r="G1341" s="195">
        <v>0.0</v>
      </c>
      <c r="H1341" s="195">
        <v>0.0</v>
      </c>
      <c r="I1341" s="195" t="s">
        <v>772</v>
      </c>
      <c r="J1341" s="196" t="s">
        <v>772</v>
      </c>
    </row>
    <row r="1342" ht="26.25" customHeight="1">
      <c r="A1342" s="11"/>
      <c r="B1342" s="13"/>
      <c r="C1342" s="16" t="s">
        <v>772</v>
      </c>
      <c r="D1342" s="13"/>
      <c r="E1342" s="13"/>
      <c r="F1342" s="13"/>
      <c r="G1342" s="193">
        <v>0.0</v>
      </c>
      <c r="H1342" s="193">
        <v>0.0</v>
      </c>
      <c r="I1342" s="193" t="s">
        <v>772</v>
      </c>
      <c r="J1342" s="194" t="s">
        <v>772</v>
      </c>
    </row>
    <row r="1343" ht="26.25" customHeight="1">
      <c r="A1343" s="47"/>
      <c r="B1343" s="48"/>
      <c r="C1343" s="50" t="s">
        <v>772</v>
      </c>
      <c r="D1343" s="48"/>
      <c r="E1343" s="48"/>
      <c r="F1343" s="48"/>
      <c r="G1343" s="195">
        <v>0.0</v>
      </c>
      <c r="H1343" s="195">
        <v>0.0</v>
      </c>
      <c r="I1343" s="195" t="s">
        <v>772</v>
      </c>
      <c r="J1343" s="196" t="s">
        <v>772</v>
      </c>
    </row>
    <row r="1344" ht="26.25" customHeight="1">
      <c r="A1344" s="11"/>
      <c r="B1344" s="13"/>
      <c r="C1344" s="16" t="s">
        <v>772</v>
      </c>
      <c r="D1344" s="13"/>
      <c r="E1344" s="13"/>
      <c r="F1344" s="13"/>
      <c r="G1344" s="193">
        <v>0.0</v>
      </c>
      <c r="H1344" s="193">
        <v>0.0</v>
      </c>
      <c r="I1344" s="193" t="s">
        <v>772</v>
      </c>
      <c r="J1344" s="194" t="s">
        <v>772</v>
      </c>
    </row>
    <row r="1345" ht="26.25" customHeight="1">
      <c r="A1345" s="47"/>
      <c r="B1345" s="48"/>
      <c r="C1345" s="50" t="s">
        <v>772</v>
      </c>
      <c r="D1345" s="48"/>
      <c r="E1345" s="48"/>
      <c r="F1345" s="48"/>
      <c r="G1345" s="195">
        <v>0.0</v>
      </c>
      <c r="H1345" s="195">
        <v>0.0</v>
      </c>
      <c r="I1345" s="195" t="s">
        <v>772</v>
      </c>
      <c r="J1345" s="196" t="s">
        <v>772</v>
      </c>
    </row>
    <row r="1346" ht="26.25" customHeight="1">
      <c r="A1346" s="11"/>
      <c r="B1346" s="13"/>
      <c r="C1346" s="16" t="s">
        <v>772</v>
      </c>
      <c r="D1346" s="13"/>
      <c r="E1346" s="13"/>
      <c r="F1346" s="13"/>
      <c r="G1346" s="193">
        <v>0.0</v>
      </c>
      <c r="H1346" s="193">
        <v>0.0</v>
      </c>
      <c r="I1346" s="193" t="s">
        <v>772</v>
      </c>
      <c r="J1346" s="194" t="s">
        <v>772</v>
      </c>
    </row>
    <row r="1347" ht="26.25" customHeight="1">
      <c r="A1347" s="47"/>
      <c r="B1347" s="48"/>
      <c r="C1347" s="50" t="s">
        <v>772</v>
      </c>
      <c r="D1347" s="48"/>
      <c r="E1347" s="48"/>
      <c r="F1347" s="48"/>
      <c r="G1347" s="195">
        <v>0.0</v>
      </c>
      <c r="H1347" s="195">
        <v>0.0</v>
      </c>
      <c r="I1347" s="195" t="s">
        <v>772</v>
      </c>
      <c r="J1347" s="196" t="s">
        <v>772</v>
      </c>
    </row>
    <row r="1348" ht="26.25" customHeight="1">
      <c r="A1348" s="11"/>
      <c r="B1348" s="13"/>
      <c r="C1348" s="16" t="s">
        <v>772</v>
      </c>
      <c r="D1348" s="13"/>
      <c r="E1348" s="13"/>
      <c r="F1348" s="13"/>
      <c r="G1348" s="193">
        <v>0.0</v>
      </c>
      <c r="H1348" s="193">
        <v>0.0</v>
      </c>
      <c r="I1348" s="193" t="s">
        <v>772</v>
      </c>
      <c r="J1348" s="194" t="s">
        <v>772</v>
      </c>
    </row>
    <row r="1349" ht="26.25" customHeight="1">
      <c r="A1349" s="47"/>
      <c r="B1349" s="48"/>
      <c r="C1349" s="50" t="s">
        <v>772</v>
      </c>
      <c r="D1349" s="48"/>
      <c r="E1349" s="48"/>
      <c r="F1349" s="48"/>
      <c r="G1349" s="195">
        <v>0.0</v>
      </c>
      <c r="H1349" s="195">
        <v>0.0</v>
      </c>
      <c r="I1349" s="195" t="s">
        <v>772</v>
      </c>
      <c r="J1349" s="196" t="s">
        <v>772</v>
      </c>
    </row>
    <row r="1350" ht="26.25" customHeight="1">
      <c r="A1350" s="11"/>
      <c r="B1350" s="13"/>
      <c r="C1350" s="16" t="s">
        <v>772</v>
      </c>
      <c r="D1350" s="13"/>
      <c r="E1350" s="13"/>
      <c r="F1350" s="13"/>
      <c r="G1350" s="193">
        <v>0.0</v>
      </c>
      <c r="H1350" s="193">
        <v>0.0</v>
      </c>
      <c r="I1350" s="193" t="s">
        <v>772</v>
      </c>
      <c r="J1350" s="194" t="s">
        <v>772</v>
      </c>
    </row>
    <row r="1351" ht="26.25" customHeight="1">
      <c r="A1351" s="47"/>
      <c r="B1351" s="48"/>
      <c r="C1351" s="50" t="s">
        <v>772</v>
      </c>
      <c r="D1351" s="48"/>
      <c r="E1351" s="48"/>
      <c r="F1351" s="48"/>
      <c r="G1351" s="195">
        <v>0.0</v>
      </c>
      <c r="H1351" s="195">
        <v>0.0</v>
      </c>
      <c r="I1351" s="195" t="s">
        <v>772</v>
      </c>
      <c r="J1351" s="196" t="s">
        <v>772</v>
      </c>
    </row>
    <row r="1352" ht="26.25" customHeight="1">
      <c r="A1352" s="11"/>
      <c r="B1352" s="13"/>
      <c r="C1352" s="16" t="s">
        <v>772</v>
      </c>
      <c r="D1352" s="13"/>
      <c r="E1352" s="13"/>
      <c r="F1352" s="13"/>
      <c r="G1352" s="193">
        <v>0.0</v>
      </c>
      <c r="H1352" s="193">
        <v>0.0</v>
      </c>
      <c r="I1352" s="193" t="s">
        <v>772</v>
      </c>
      <c r="J1352" s="194" t="s">
        <v>772</v>
      </c>
    </row>
    <row r="1353" ht="26.25" customHeight="1">
      <c r="A1353" s="47"/>
      <c r="B1353" s="48"/>
      <c r="C1353" s="50" t="s">
        <v>772</v>
      </c>
      <c r="D1353" s="48"/>
      <c r="E1353" s="48"/>
      <c r="F1353" s="48"/>
      <c r="G1353" s="195">
        <v>0.0</v>
      </c>
      <c r="H1353" s="195">
        <v>0.0</v>
      </c>
      <c r="I1353" s="195" t="s">
        <v>772</v>
      </c>
      <c r="J1353" s="196" t="s">
        <v>772</v>
      </c>
    </row>
    <row r="1354" ht="26.25" customHeight="1">
      <c r="A1354" s="11"/>
      <c r="B1354" s="13"/>
      <c r="C1354" s="16" t="s">
        <v>772</v>
      </c>
      <c r="D1354" s="13"/>
      <c r="E1354" s="13"/>
      <c r="F1354" s="13"/>
      <c r="G1354" s="193">
        <v>0.0</v>
      </c>
      <c r="H1354" s="193">
        <v>0.0</v>
      </c>
      <c r="I1354" s="193" t="s">
        <v>772</v>
      </c>
      <c r="J1354" s="194" t="s">
        <v>772</v>
      </c>
    </row>
    <row r="1355" ht="26.25" customHeight="1">
      <c r="A1355" s="47"/>
      <c r="B1355" s="48"/>
      <c r="C1355" s="50" t="s">
        <v>772</v>
      </c>
      <c r="D1355" s="48"/>
      <c r="E1355" s="48"/>
      <c r="F1355" s="48"/>
      <c r="G1355" s="195">
        <v>0.0</v>
      </c>
      <c r="H1355" s="195">
        <v>0.0</v>
      </c>
      <c r="I1355" s="195" t="s">
        <v>772</v>
      </c>
      <c r="J1355" s="196" t="s">
        <v>772</v>
      </c>
    </row>
    <row r="1356" ht="26.25" customHeight="1">
      <c r="A1356" s="11"/>
      <c r="B1356" s="13"/>
      <c r="C1356" s="16" t="s">
        <v>772</v>
      </c>
      <c r="D1356" s="13"/>
      <c r="E1356" s="13"/>
      <c r="F1356" s="13"/>
      <c r="G1356" s="193">
        <v>0.0</v>
      </c>
      <c r="H1356" s="193">
        <v>0.0</v>
      </c>
      <c r="I1356" s="193" t="s">
        <v>772</v>
      </c>
      <c r="J1356" s="194" t="s">
        <v>772</v>
      </c>
    </row>
    <row r="1357" ht="26.25" customHeight="1">
      <c r="A1357" s="47"/>
      <c r="B1357" s="48"/>
      <c r="C1357" s="50" t="s">
        <v>772</v>
      </c>
      <c r="D1357" s="48"/>
      <c r="E1357" s="48"/>
      <c r="F1357" s="48"/>
      <c r="G1357" s="195">
        <v>0.0</v>
      </c>
      <c r="H1357" s="195">
        <v>0.0</v>
      </c>
      <c r="I1357" s="195" t="s">
        <v>772</v>
      </c>
      <c r="J1357" s="196" t="s">
        <v>772</v>
      </c>
    </row>
    <row r="1358" ht="26.25" customHeight="1">
      <c r="A1358" s="11"/>
      <c r="B1358" s="13"/>
      <c r="C1358" s="16" t="s">
        <v>772</v>
      </c>
      <c r="D1358" s="13"/>
      <c r="E1358" s="13"/>
      <c r="F1358" s="13"/>
      <c r="G1358" s="193">
        <v>0.0</v>
      </c>
      <c r="H1358" s="193">
        <v>0.0</v>
      </c>
      <c r="I1358" s="193" t="s">
        <v>772</v>
      </c>
      <c r="J1358" s="194" t="s">
        <v>772</v>
      </c>
    </row>
    <row r="1359" ht="26.25" customHeight="1">
      <c r="A1359" s="47"/>
      <c r="B1359" s="48"/>
      <c r="C1359" s="50" t="s">
        <v>772</v>
      </c>
      <c r="D1359" s="48"/>
      <c r="E1359" s="48"/>
      <c r="F1359" s="48"/>
      <c r="G1359" s="195">
        <v>0.0</v>
      </c>
      <c r="H1359" s="195">
        <v>0.0</v>
      </c>
      <c r="I1359" s="195" t="s">
        <v>772</v>
      </c>
      <c r="J1359" s="196" t="s">
        <v>772</v>
      </c>
    </row>
    <row r="1360" ht="26.25" customHeight="1">
      <c r="A1360" s="11"/>
      <c r="B1360" s="13"/>
      <c r="C1360" s="16" t="s">
        <v>772</v>
      </c>
      <c r="D1360" s="13"/>
      <c r="E1360" s="13"/>
      <c r="F1360" s="13"/>
      <c r="G1360" s="193">
        <v>0.0</v>
      </c>
      <c r="H1360" s="193">
        <v>0.0</v>
      </c>
      <c r="I1360" s="193" t="s">
        <v>772</v>
      </c>
      <c r="J1360" s="194" t="s">
        <v>772</v>
      </c>
    </row>
    <row r="1361" ht="26.25" customHeight="1">
      <c r="A1361" s="47"/>
      <c r="B1361" s="48"/>
      <c r="C1361" s="50" t="s">
        <v>772</v>
      </c>
      <c r="D1361" s="48"/>
      <c r="E1361" s="48"/>
      <c r="F1361" s="48"/>
      <c r="G1361" s="195">
        <v>0.0</v>
      </c>
      <c r="H1361" s="195">
        <v>0.0</v>
      </c>
      <c r="I1361" s="195" t="s">
        <v>772</v>
      </c>
      <c r="J1361" s="196" t="s">
        <v>772</v>
      </c>
    </row>
    <row r="1362" ht="26.25" customHeight="1">
      <c r="A1362" s="11"/>
      <c r="B1362" s="13"/>
      <c r="C1362" s="16" t="s">
        <v>772</v>
      </c>
      <c r="D1362" s="13"/>
      <c r="E1362" s="13"/>
      <c r="F1362" s="13"/>
      <c r="G1362" s="193">
        <v>0.0</v>
      </c>
      <c r="H1362" s="193">
        <v>0.0</v>
      </c>
      <c r="I1362" s="193" t="s">
        <v>772</v>
      </c>
      <c r="J1362" s="194" t="s">
        <v>772</v>
      </c>
    </row>
    <row r="1363" ht="26.25" customHeight="1">
      <c r="A1363" s="47"/>
      <c r="B1363" s="48"/>
      <c r="C1363" s="50" t="s">
        <v>772</v>
      </c>
      <c r="D1363" s="48"/>
      <c r="E1363" s="48"/>
      <c r="F1363" s="48"/>
      <c r="G1363" s="195">
        <v>0.0</v>
      </c>
      <c r="H1363" s="195">
        <v>0.0</v>
      </c>
      <c r="I1363" s="195" t="s">
        <v>772</v>
      </c>
      <c r="J1363" s="196" t="s">
        <v>772</v>
      </c>
    </row>
    <row r="1364" ht="26.25" customHeight="1">
      <c r="A1364" s="11"/>
      <c r="B1364" s="13"/>
      <c r="C1364" s="16" t="s">
        <v>772</v>
      </c>
      <c r="D1364" s="13"/>
      <c r="E1364" s="13"/>
      <c r="F1364" s="13"/>
      <c r="G1364" s="193">
        <v>0.0</v>
      </c>
      <c r="H1364" s="193">
        <v>0.0</v>
      </c>
      <c r="I1364" s="193" t="s">
        <v>772</v>
      </c>
      <c r="J1364" s="194" t="s">
        <v>772</v>
      </c>
    </row>
    <row r="1365" ht="26.25" customHeight="1">
      <c r="A1365" s="47"/>
      <c r="B1365" s="48"/>
      <c r="C1365" s="50" t="s">
        <v>772</v>
      </c>
      <c r="D1365" s="48"/>
      <c r="E1365" s="48"/>
      <c r="F1365" s="48"/>
      <c r="G1365" s="195">
        <v>0.0</v>
      </c>
      <c r="H1365" s="195">
        <v>0.0</v>
      </c>
      <c r="I1365" s="195" t="s">
        <v>772</v>
      </c>
      <c r="J1365" s="196" t="s">
        <v>772</v>
      </c>
    </row>
    <row r="1366" ht="26.25" customHeight="1">
      <c r="A1366" s="11"/>
      <c r="B1366" s="13"/>
      <c r="C1366" s="16" t="s">
        <v>772</v>
      </c>
      <c r="D1366" s="13"/>
      <c r="E1366" s="13"/>
      <c r="F1366" s="13"/>
      <c r="G1366" s="193">
        <v>0.0</v>
      </c>
      <c r="H1366" s="193">
        <v>0.0</v>
      </c>
      <c r="I1366" s="193" t="s">
        <v>772</v>
      </c>
      <c r="J1366" s="194" t="s">
        <v>772</v>
      </c>
    </row>
    <row r="1367" ht="26.25" customHeight="1">
      <c r="A1367" s="47"/>
      <c r="B1367" s="48"/>
      <c r="C1367" s="50" t="s">
        <v>772</v>
      </c>
      <c r="D1367" s="48"/>
      <c r="E1367" s="48"/>
      <c r="F1367" s="48"/>
      <c r="G1367" s="195">
        <v>0.0</v>
      </c>
      <c r="H1367" s="195">
        <v>0.0</v>
      </c>
      <c r="I1367" s="195" t="s">
        <v>772</v>
      </c>
      <c r="J1367" s="196" t="s">
        <v>772</v>
      </c>
    </row>
    <row r="1368" ht="26.25" customHeight="1">
      <c r="A1368" s="11"/>
      <c r="B1368" s="13"/>
      <c r="C1368" s="16" t="s">
        <v>772</v>
      </c>
      <c r="D1368" s="13"/>
      <c r="E1368" s="13"/>
      <c r="F1368" s="13"/>
      <c r="G1368" s="193">
        <v>0.0</v>
      </c>
      <c r="H1368" s="193">
        <v>0.0</v>
      </c>
      <c r="I1368" s="193" t="s">
        <v>772</v>
      </c>
      <c r="J1368" s="194" t="s">
        <v>772</v>
      </c>
    </row>
    <row r="1369" ht="26.25" customHeight="1">
      <c r="A1369" s="47"/>
      <c r="B1369" s="48"/>
      <c r="C1369" s="50" t="s">
        <v>772</v>
      </c>
      <c r="D1369" s="48"/>
      <c r="E1369" s="48"/>
      <c r="F1369" s="48"/>
      <c r="G1369" s="195">
        <v>0.0</v>
      </c>
      <c r="H1369" s="195">
        <v>0.0</v>
      </c>
      <c r="I1369" s="195" t="s">
        <v>772</v>
      </c>
      <c r="J1369" s="196" t="s">
        <v>772</v>
      </c>
    </row>
    <row r="1370" ht="26.25" customHeight="1">
      <c r="A1370" s="11"/>
      <c r="B1370" s="13"/>
      <c r="C1370" s="16" t="s">
        <v>772</v>
      </c>
      <c r="D1370" s="13"/>
      <c r="E1370" s="13"/>
      <c r="F1370" s="13"/>
      <c r="G1370" s="193">
        <v>0.0</v>
      </c>
      <c r="H1370" s="193">
        <v>0.0</v>
      </c>
      <c r="I1370" s="193" t="s">
        <v>772</v>
      </c>
      <c r="J1370" s="194" t="s">
        <v>772</v>
      </c>
    </row>
    <row r="1371" ht="26.25" customHeight="1">
      <c r="A1371" s="47"/>
      <c r="B1371" s="48"/>
      <c r="C1371" s="50" t="s">
        <v>772</v>
      </c>
      <c r="D1371" s="48"/>
      <c r="E1371" s="48"/>
      <c r="F1371" s="48"/>
      <c r="G1371" s="195">
        <v>0.0</v>
      </c>
      <c r="H1371" s="195">
        <v>0.0</v>
      </c>
      <c r="I1371" s="195" t="s">
        <v>772</v>
      </c>
      <c r="J1371" s="196" t="s">
        <v>772</v>
      </c>
    </row>
    <row r="1372" ht="26.25" customHeight="1">
      <c r="A1372" s="11"/>
      <c r="B1372" s="13"/>
      <c r="C1372" s="16" t="s">
        <v>772</v>
      </c>
      <c r="D1372" s="13"/>
      <c r="E1372" s="13"/>
      <c r="F1372" s="13"/>
      <c r="G1372" s="193">
        <v>0.0</v>
      </c>
      <c r="H1372" s="193">
        <v>0.0</v>
      </c>
      <c r="I1372" s="193" t="s">
        <v>772</v>
      </c>
      <c r="J1372" s="194" t="s">
        <v>772</v>
      </c>
    </row>
    <row r="1373" ht="26.25" customHeight="1">
      <c r="A1373" s="47"/>
      <c r="B1373" s="48"/>
      <c r="C1373" s="50" t="s">
        <v>772</v>
      </c>
      <c r="D1373" s="48"/>
      <c r="E1373" s="48"/>
      <c r="F1373" s="48"/>
      <c r="G1373" s="195">
        <v>0.0</v>
      </c>
      <c r="H1373" s="195">
        <v>0.0</v>
      </c>
      <c r="I1373" s="195" t="s">
        <v>772</v>
      </c>
      <c r="J1373" s="196" t="s">
        <v>772</v>
      </c>
    </row>
    <row r="1374" ht="26.25" customHeight="1">
      <c r="A1374" s="11"/>
      <c r="B1374" s="13"/>
      <c r="C1374" s="16" t="s">
        <v>772</v>
      </c>
      <c r="D1374" s="13"/>
      <c r="E1374" s="13"/>
      <c r="F1374" s="13"/>
      <c r="G1374" s="193">
        <v>0.0</v>
      </c>
      <c r="H1374" s="193">
        <v>0.0</v>
      </c>
      <c r="I1374" s="193" t="s">
        <v>772</v>
      </c>
      <c r="J1374" s="194" t="s">
        <v>772</v>
      </c>
    </row>
    <row r="1375" ht="26.25" customHeight="1">
      <c r="A1375" s="47"/>
      <c r="B1375" s="48"/>
      <c r="C1375" s="50" t="s">
        <v>772</v>
      </c>
      <c r="D1375" s="48"/>
      <c r="E1375" s="48"/>
      <c r="F1375" s="48"/>
      <c r="G1375" s="195">
        <v>0.0</v>
      </c>
      <c r="H1375" s="195">
        <v>0.0</v>
      </c>
      <c r="I1375" s="195" t="s">
        <v>772</v>
      </c>
      <c r="J1375" s="196" t="s">
        <v>772</v>
      </c>
    </row>
    <row r="1376" ht="26.25" customHeight="1">
      <c r="A1376" s="11"/>
      <c r="B1376" s="13"/>
      <c r="C1376" s="16" t="s">
        <v>772</v>
      </c>
      <c r="D1376" s="13"/>
      <c r="E1376" s="13"/>
      <c r="F1376" s="13"/>
      <c r="G1376" s="193">
        <v>0.0</v>
      </c>
      <c r="H1376" s="193">
        <v>0.0</v>
      </c>
      <c r="I1376" s="193" t="s">
        <v>772</v>
      </c>
      <c r="J1376" s="194" t="s">
        <v>772</v>
      </c>
    </row>
    <row r="1377" ht="26.25" customHeight="1">
      <c r="A1377" s="47"/>
      <c r="B1377" s="48"/>
      <c r="C1377" s="50" t="s">
        <v>772</v>
      </c>
      <c r="D1377" s="48"/>
      <c r="E1377" s="48"/>
      <c r="F1377" s="48"/>
      <c r="G1377" s="195">
        <v>0.0</v>
      </c>
      <c r="H1377" s="195">
        <v>0.0</v>
      </c>
      <c r="I1377" s="195" t="s">
        <v>772</v>
      </c>
      <c r="J1377" s="196" t="s">
        <v>772</v>
      </c>
    </row>
    <row r="1378" ht="26.25" customHeight="1">
      <c r="A1378" s="11"/>
      <c r="B1378" s="13"/>
      <c r="C1378" s="16" t="s">
        <v>772</v>
      </c>
      <c r="D1378" s="13"/>
      <c r="E1378" s="13"/>
      <c r="F1378" s="13"/>
      <c r="G1378" s="193">
        <v>0.0</v>
      </c>
      <c r="H1378" s="193">
        <v>0.0</v>
      </c>
      <c r="I1378" s="193" t="s">
        <v>772</v>
      </c>
      <c r="J1378" s="194" t="s">
        <v>772</v>
      </c>
    </row>
    <row r="1379" ht="26.25" customHeight="1">
      <c r="A1379" s="47"/>
      <c r="B1379" s="48"/>
      <c r="C1379" s="50" t="s">
        <v>772</v>
      </c>
      <c r="D1379" s="48"/>
      <c r="E1379" s="48"/>
      <c r="F1379" s="48"/>
      <c r="G1379" s="195">
        <v>0.0</v>
      </c>
      <c r="H1379" s="195">
        <v>0.0</v>
      </c>
      <c r="I1379" s="195" t="s">
        <v>772</v>
      </c>
      <c r="J1379" s="196" t="s">
        <v>772</v>
      </c>
    </row>
    <row r="1380" ht="26.25" customHeight="1">
      <c r="A1380" s="11"/>
      <c r="B1380" s="13"/>
      <c r="C1380" s="16" t="s">
        <v>772</v>
      </c>
      <c r="D1380" s="13"/>
      <c r="E1380" s="13"/>
      <c r="F1380" s="13"/>
      <c r="G1380" s="193">
        <v>0.0</v>
      </c>
      <c r="H1380" s="193">
        <v>0.0</v>
      </c>
      <c r="I1380" s="193" t="s">
        <v>772</v>
      </c>
      <c r="J1380" s="194" t="s">
        <v>772</v>
      </c>
    </row>
    <row r="1381" ht="26.25" customHeight="1">
      <c r="A1381" s="47"/>
      <c r="B1381" s="48"/>
      <c r="C1381" s="50" t="s">
        <v>772</v>
      </c>
      <c r="D1381" s="48"/>
      <c r="E1381" s="48"/>
      <c r="F1381" s="48"/>
      <c r="G1381" s="195">
        <v>0.0</v>
      </c>
      <c r="H1381" s="195">
        <v>0.0</v>
      </c>
      <c r="I1381" s="195" t="s">
        <v>772</v>
      </c>
      <c r="J1381" s="196" t="s">
        <v>772</v>
      </c>
    </row>
    <row r="1382" ht="26.25" customHeight="1">
      <c r="A1382" s="11"/>
      <c r="B1382" s="13"/>
      <c r="C1382" s="16" t="s">
        <v>772</v>
      </c>
      <c r="D1382" s="13"/>
      <c r="E1382" s="13"/>
      <c r="F1382" s="13"/>
      <c r="G1382" s="193">
        <v>0.0</v>
      </c>
      <c r="H1382" s="193">
        <v>0.0</v>
      </c>
      <c r="I1382" s="193" t="s">
        <v>772</v>
      </c>
      <c r="J1382" s="194" t="s">
        <v>772</v>
      </c>
    </row>
    <row r="1383" ht="26.25" customHeight="1">
      <c r="A1383" s="47"/>
      <c r="B1383" s="48"/>
      <c r="C1383" s="50" t="s">
        <v>772</v>
      </c>
      <c r="D1383" s="48"/>
      <c r="E1383" s="48"/>
      <c r="F1383" s="48"/>
      <c r="G1383" s="195">
        <v>0.0</v>
      </c>
      <c r="H1383" s="195">
        <v>0.0</v>
      </c>
      <c r="I1383" s="195" t="s">
        <v>772</v>
      </c>
      <c r="J1383" s="196" t="s">
        <v>772</v>
      </c>
    </row>
    <row r="1384" ht="26.25" customHeight="1">
      <c r="A1384" s="11"/>
      <c r="B1384" s="13"/>
      <c r="C1384" s="16" t="s">
        <v>772</v>
      </c>
      <c r="D1384" s="13"/>
      <c r="E1384" s="13"/>
      <c r="F1384" s="13"/>
      <c r="G1384" s="193">
        <v>0.0</v>
      </c>
      <c r="H1384" s="193">
        <v>0.0</v>
      </c>
      <c r="I1384" s="193" t="s">
        <v>772</v>
      </c>
      <c r="J1384" s="194" t="s">
        <v>772</v>
      </c>
    </row>
    <row r="1385" ht="26.25" customHeight="1">
      <c r="A1385" s="47"/>
      <c r="B1385" s="48"/>
      <c r="C1385" s="50" t="s">
        <v>772</v>
      </c>
      <c r="D1385" s="48"/>
      <c r="E1385" s="48"/>
      <c r="F1385" s="48"/>
      <c r="G1385" s="195">
        <v>0.0</v>
      </c>
      <c r="H1385" s="195">
        <v>0.0</v>
      </c>
      <c r="I1385" s="195" t="s">
        <v>772</v>
      </c>
      <c r="J1385" s="196" t="s">
        <v>772</v>
      </c>
    </row>
    <row r="1386" ht="26.25" customHeight="1">
      <c r="A1386" s="11"/>
      <c r="B1386" s="13"/>
      <c r="C1386" s="16" t="s">
        <v>772</v>
      </c>
      <c r="D1386" s="13"/>
      <c r="E1386" s="13"/>
      <c r="F1386" s="13"/>
      <c r="G1386" s="193">
        <v>0.0</v>
      </c>
      <c r="H1386" s="193">
        <v>0.0</v>
      </c>
      <c r="I1386" s="193" t="s">
        <v>772</v>
      </c>
      <c r="J1386" s="194" t="s">
        <v>772</v>
      </c>
    </row>
    <row r="1387" ht="26.25" customHeight="1">
      <c r="A1387" s="47"/>
      <c r="B1387" s="48"/>
      <c r="C1387" s="50" t="s">
        <v>772</v>
      </c>
      <c r="D1387" s="48"/>
      <c r="E1387" s="48"/>
      <c r="F1387" s="48"/>
      <c r="G1387" s="195">
        <v>0.0</v>
      </c>
      <c r="H1387" s="195">
        <v>0.0</v>
      </c>
      <c r="I1387" s="195" t="s">
        <v>772</v>
      </c>
      <c r="J1387" s="196" t="s">
        <v>772</v>
      </c>
    </row>
    <row r="1388" ht="26.25" customHeight="1">
      <c r="A1388" s="11"/>
      <c r="B1388" s="13"/>
      <c r="C1388" s="16" t="s">
        <v>772</v>
      </c>
      <c r="D1388" s="13"/>
      <c r="E1388" s="13"/>
      <c r="F1388" s="13"/>
      <c r="G1388" s="193">
        <v>0.0</v>
      </c>
      <c r="H1388" s="193">
        <v>0.0</v>
      </c>
      <c r="I1388" s="193" t="s">
        <v>772</v>
      </c>
      <c r="J1388" s="194" t="s">
        <v>772</v>
      </c>
    </row>
    <row r="1389" ht="26.25" customHeight="1">
      <c r="A1389" s="47"/>
      <c r="B1389" s="48"/>
      <c r="C1389" s="50" t="s">
        <v>772</v>
      </c>
      <c r="D1389" s="48"/>
      <c r="E1389" s="48"/>
      <c r="F1389" s="48"/>
      <c r="G1389" s="195">
        <v>0.0</v>
      </c>
      <c r="H1389" s="195">
        <v>0.0</v>
      </c>
      <c r="I1389" s="195" t="s">
        <v>772</v>
      </c>
      <c r="J1389" s="196" t="s">
        <v>772</v>
      </c>
    </row>
    <row r="1390" ht="26.25" customHeight="1">
      <c r="A1390" s="11"/>
      <c r="B1390" s="13"/>
      <c r="C1390" s="16" t="s">
        <v>772</v>
      </c>
      <c r="D1390" s="13"/>
      <c r="E1390" s="13"/>
      <c r="F1390" s="13"/>
      <c r="G1390" s="193">
        <v>0.0</v>
      </c>
      <c r="H1390" s="193">
        <v>0.0</v>
      </c>
      <c r="I1390" s="193" t="s">
        <v>772</v>
      </c>
      <c r="J1390" s="194" t="s">
        <v>772</v>
      </c>
    </row>
    <row r="1391" ht="26.25" customHeight="1">
      <c r="A1391" s="47"/>
      <c r="B1391" s="48"/>
      <c r="C1391" s="50" t="s">
        <v>772</v>
      </c>
      <c r="D1391" s="48"/>
      <c r="E1391" s="48"/>
      <c r="F1391" s="48"/>
      <c r="G1391" s="195">
        <v>0.0</v>
      </c>
      <c r="H1391" s="195">
        <v>0.0</v>
      </c>
      <c r="I1391" s="195" t="s">
        <v>772</v>
      </c>
      <c r="J1391" s="196" t="s">
        <v>772</v>
      </c>
    </row>
    <row r="1392" ht="26.25" customHeight="1">
      <c r="A1392" s="11"/>
      <c r="B1392" s="13"/>
      <c r="C1392" s="16" t="s">
        <v>772</v>
      </c>
      <c r="D1392" s="13"/>
      <c r="E1392" s="13"/>
      <c r="F1392" s="13"/>
      <c r="G1392" s="193">
        <v>0.0</v>
      </c>
      <c r="H1392" s="193">
        <v>0.0</v>
      </c>
      <c r="I1392" s="193" t="s">
        <v>772</v>
      </c>
      <c r="J1392" s="194" t="s">
        <v>772</v>
      </c>
    </row>
    <row r="1393" ht="26.25" customHeight="1">
      <c r="A1393" s="47"/>
      <c r="B1393" s="48"/>
      <c r="C1393" s="50" t="s">
        <v>772</v>
      </c>
      <c r="D1393" s="48"/>
      <c r="E1393" s="48"/>
      <c r="F1393" s="48"/>
      <c r="G1393" s="195">
        <v>0.0</v>
      </c>
      <c r="H1393" s="195">
        <v>0.0</v>
      </c>
      <c r="I1393" s="195" t="s">
        <v>772</v>
      </c>
      <c r="J1393" s="196" t="s">
        <v>772</v>
      </c>
    </row>
    <row r="1394" ht="26.25" customHeight="1">
      <c r="A1394" s="11"/>
      <c r="B1394" s="13"/>
      <c r="C1394" s="16" t="s">
        <v>772</v>
      </c>
      <c r="D1394" s="13"/>
      <c r="E1394" s="13"/>
      <c r="F1394" s="13"/>
      <c r="G1394" s="193">
        <v>0.0</v>
      </c>
      <c r="H1394" s="193">
        <v>0.0</v>
      </c>
      <c r="I1394" s="193" t="s">
        <v>772</v>
      </c>
      <c r="J1394" s="194" t="s">
        <v>772</v>
      </c>
    </row>
    <row r="1395" ht="26.25" customHeight="1">
      <c r="A1395" s="47"/>
      <c r="B1395" s="48"/>
      <c r="C1395" s="50" t="s">
        <v>772</v>
      </c>
      <c r="D1395" s="48"/>
      <c r="E1395" s="48"/>
      <c r="F1395" s="48"/>
      <c r="G1395" s="195">
        <v>0.0</v>
      </c>
      <c r="H1395" s="195">
        <v>0.0</v>
      </c>
      <c r="I1395" s="195" t="s">
        <v>772</v>
      </c>
      <c r="J1395" s="196" t="s">
        <v>772</v>
      </c>
    </row>
    <row r="1396" ht="26.25" customHeight="1">
      <c r="A1396" s="11"/>
      <c r="B1396" s="13"/>
      <c r="C1396" s="16" t="s">
        <v>772</v>
      </c>
      <c r="D1396" s="13"/>
      <c r="E1396" s="13"/>
      <c r="F1396" s="13"/>
      <c r="G1396" s="193">
        <v>0.0</v>
      </c>
      <c r="H1396" s="193">
        <v>0.0</v>
      </c>
      <c r="I1396" s="193" t="s">
        <v>772</v>
      </c>
      <c r="J1396" s="194" t="s">
        <v>772</v>
      </c>
    </row>
    <row r="1397" ht="26.25" customHeight="1">
      <c r="A1397" s="47"/>
      <c r="B1397" s="48"/>
      <c r="C1397" s="50" t="s">
        <v>772</v>
      </c>
      <c r="D1397" s="48"/>
      <c r="E1397" s="48"/>
      <c r="F1397" s="48"/>
      <c r="G1397" s="195">
        <v>0.0</v>
      </c>
      <c r="H1397" s="195">
        <v>0.0</v>
      </c>
      <c r="I1397" s="195" t="s">
        <v>772</v>
      </c>
      <c r="J1397" s="196" t="s">
        <v>772</v>
      </c>
    </row>
    <row r="1398" ht="26.25" customHeight="1">
      <c r="A1398" s="11"/>
      <c r="B1398" s="13"/>
      <c r="C1398" s="16" t="s">
        <v>772</v>
      </c>
      <c r="D1398" s="13"/>
      <c r="E1398" s="13"/>
      <c r="F1398" s="13"/>
      <c r="G1398" s="193">
        <v>0.0</v>
      </c>
      <c r="H1398" s="193">
        <v>0.0</v>
      </c>
      <c r="I1398" s="193" t="s">
        <v>772</v>
      </c>
      <c r="J1398" s="194" t="s">
        <v>772</v>
      </c>
    </row>
    <row r="1399" ht="26.25" customHeight="1">
      <c r="A1399" s="47"/>
      <c r="B1399" s="48"/>
      <c r="C1399" s="50" t="s">
        <v>772</v>
      </c>
      <c r="D1399" s="48"/>
      <c r="E1399" s="48"/>
      <c r="F1399" s="48"/>
      <c r="G1399" s="195">
        <v>0.0</v>
      </c>
      <c r="H1399" s="195">
        <v>0.0</v>
      </c>
      <c r="I1399" s="195" t="s">
        <v>772</v>
      </c>
      <c r="J1399" s="196" t="s">
        <v>772</v>
      </c>
    </row>
    <row r="1400" ht="26.25" customHeight="1">
      <c r="A1400" s="11"/>
      <c r="B1400" s="13"/>
      <c r="C1400" s="16" t="s">
        <v>772</v>
      </c>
      <c r="D1400" s="13"/>
      <c r="E1400" s="13"/>
      <c r="F1400" s="13"/>
      <c r="G1400" s="193">
        <v>0.0</v>
      </c>
      <c r="H1400" s="193">
        <v>0.0</v>
      </c>
      <c r="I1400" s="193" t="s">
        <v>772</v>
      </c>
      <c r="J1400" s="194" t="s">
        <v>772</v>
      </c>
    </row>
    <row r="1401" ht="26.25" customHeight="1">
      <c r="A1401" s="47"/>
      <c r="B1401" s="48"/>
      <c r="C1401" s="50" t="s">
        <v>772</v>
      </c>
      <c r="D1401" s="48"/>
      <c r="E1401" s="48"/>
      <c r="F1401" s="48"/>
      <c r="G1401" s="195">
        <v>0.0</v>
      </c>
      <c r="H1401" s="195">
        <v>0.0</v>
      </c>
      <c r="I1401" s="195" t="s">
        <v>772</v>
      </c>
      <c r="J1401" s="196" t="s">
        <v>772</v>
      </c>
    </row>
    <row r="1402" ht="26.25" customHeight="1">
      <c r="A1402" s="11"/>
      <c r="B1402" s="13"/>
      <c r="C1402" s="16" t="s">
        <v>772</v>
      </c>
      <c r="D1402" s="13"/>
      <c r="E1402" s="13"/>
      <c r="F1402" s="13"/>
      <c r="G1402" s="193">
        <v>0.0</v>
      </c>
      <c r="H1402" s="193">
        <v>0.0</v>
      </c>
      <c r="I1402" s="193" t="s">
        <v>772</v>
      </c>
      <c r="J1402" s="194" t="s">
        <v>772</v>
      </c>
    </row>
    <row r="1403" ht="26.25" customHeight="1">
      <c r="A1403" s="47"/>
      <c r="B1403" s="48"/>
      <c r="C1403" s="50" t="s">
        <v>772</v>
      </c>
      <c r="D1403" s="48"/>
      <c r="E1403" s="48"/>
      <c r="F1403" s="48"/>
      <c r="G1403" s="195">
        <v>0.0</v>
      </c>
      <c r="H1403" s="195">
        <v>0.0</v>
      </c>
      <c r="I1403" s="195" t="s">
        <v>772</v>
      </c>
      <c r="J1403" s="196" t="s">
        <v>772</v>
      </c>
    </row>
    <row r="1404" ht="26.25" customHeight="1">
      <c r="A1404" s="11"/>
      <c r="B1404" s="13"/>
      <c r="C1404" s="16" t="s">
        <v>772</v>
      </c>
      <c r="D1404" s="13"/>
      <c r="E1404" s="13"/>
      <c r="F1404" s="13"/>
      <c r="G1404" s="193">
        <v>0.0</v>
      </c>
      <c r="H1404" s="193">
        <v>0.0</v>
      </c>
      <c r="I1404" s="193" t="s">
        <v>772</v>
      </c>
      <c r="J1404" s="194" t="s">
        <v>772</v>
      </c>
    </row>
    <row r="1405" ht="26.25" customHeight="1">
      <c r="A1405" s="47"/>
      <c r="B1405" s="48"/>
      <c r="C1405" s="50" t="s">
        <v>772</v>
      </c>
      <c r="D1405" s="48"/>
      <c r="E1405" s="48"/>
      <c r="F1405" s="48"/>
      <c r="G1405" s="195">
        <v>0.0</v>
      </c>
      <c r="H1405" s="195">
        <v>0.0</v>
      </c>
      <c r="I1405" s="195" t="s">
        <v>772</v>
      </c>
      <c r="J1405" s="196" t="s">
        <v>772</v>
      </c>
    </row>
    <row r="1406" ht="26.25" customHeight="1">
      <c r="A1406" s="11"/>
      <c r="B1406" s="13"/>
      <c r="C1406" s="16" t="s">
        <v>772</v>
      </c>
      <c r="D1406" s="13"/>
      <c r="E1406" s="13"/>
      <c r="F1406" s="13"/>
      <c r="G1406" s="193">
        <v>0.0</v>
      </c>
      <c r="H1406" s="193">
        <v>0.0</v>
      </c>
      <c r="I1406" s="193" t="s">
        <v>772</v>
      </c>
      <c r="J1406" s="194" t="s">
        <v>772</v>
      </c>
    </row>
    <row r="1407" ht="26.25" customHeight="1">
      <c r="A1407" s="47"/>
      <c r="B1407" s="48"/>
      <c r="C1407" s="50" t="s">
        <v>772</v>
      </c>
      <c r="D1407" s="48"/>
      <c r="E1407" s="48"/>
      <c r="F1407" s="48"/>
      <c r="G1407" s="195">
        <v>0.0</v>
      </c>
      <c r="H1407" s="195">
        <v>0.0</v>
      </c>
      <c r="I1407" s="195" t="s">
        <v>772</v>
      </c>
      <c r="J1407" s="196" t="s">
        <v>772</v>
      </c>
    </row>
    <row r="1408" ht="26.25" customHeight="1">
      <c r="A1408" s="11"/>
      <c r="B1408" s="13"/>
      <c r="C1408" s="16" t="s">
        <v>772</v>
      </c>
      <c r="D1408" s="13"/>
      <c r="E1408" s="13"/>
      <c r="F1408" s="13"/>
      <c r="G1408" s="193">
        <v>0.0</v>
      </c>
      <c r="H1408" s="193">
        <v>0.0</v>
      </c>
      <c r="I1408" s="193" t="s">
        <v>772</v>
      </c>
      <c r="J1408" s="194" t="s">
        <v>772</v>
      </c>
    </row>
    <row r="1409" ht="26.25" customHeight="1">
      <c r="A1409" s="47"/>
      <c r="B1409" s="48"/>
      <c r="C1409" s="50" t="s">
        <v>772</v>
      </c>
      <c r="D1409" s="48"/>
      <c r="E1409" s="48"/>
      <c r="F1409" s="48"/>
      <c r="G1409" s="195">
        <v>0.0</v>
      </c>
      <c r="H1409" s="195">
        <v>0.0</v>
      </c>
      <c r="I1409" s="195" t="s">
        <v>772</v>
      </c>
      <c r="J1409" s="196" t="s">
        <v>772</v>
      </c>
    </row>
    <row r="1410" ht="26.25" customHeight="1">
      <c r="A1410" s="11"/>
      <c r="B1410" s="13"/>
      <c r="C1410" s="16" t="s">
        <v>772</v>
      </c>
      <c r="D1410" s="13"/>
      <c r="E1410" s="13"/>
      <c r="F1410" s="13"/>
      <c r="G1410" s="193">
        <v>0.0</v>
      </c>
      <c r="H1410" s="193">
        <v>0.0</v>
      </c>
      <c r="I1410" s="193" t="s">
        <v>772</v>
      </c>
      <c r="J1410" s="194" t="s">
        <v>772</v>
      </c>
    </row>
    <row r="1411" ht="26.25" customHeight="1">
      <c r="A1411" s="47"/>
      <c r="B1411" s="48"/>
      <c r="C1411" s="50" t="s">
        <v>772</v>
      </c>
      <c r="D1411" s="48"/>
      <c r="E1411" s="48"/>
      <c r="F1411" s="48"/>
      <c r="G1411" s="195">
        <v>0.0</v>
      </c>
      <c r="H1411" s="195">
        <v>0.0</v>
      </c>
      <c r="I1411" s="195" t="s">
        <v>772</v>
      </c>
      <c r="J1411" s="196" t="s">
        <v>772</v>
      </c>
    </row>
    <row r="1412" ht="26.25" customHeight="1">
      <c r="A1412" s="11"/>
      <c r="B1412" s="13"/>
      <c r="C1412" s="16" t="s">
        <v>772</v>
      </c>
      <c r="D1412" s="13"/>
      <c r="E1412" s="13"/>
      <c r="F1412" s="13"/>
      <c r="G1412" s="193">
        <v>0.0</v>
      </c>
      <c r="H1412" s="193">
        <v>0.0</v>
      </c>
      <c r="I1412" s="193" t="s">
        <v>772</v>
      </c>
      <c r="J1412" s="194" t="s">
        <v>772</v>
      </c>
    </row>
    <row r="1413" ht="26.25" customHeight="1">
      <c r="A1413" s="47"/>
      <c r="B1413" s="48"/>
      <c r="C1413" s="50" t="s">
        <v>772</v>
      </c>
      <c r="D1413" s="48"/>
      <c r="E1413" s="48"/>
      <c r="F1413" s="48"/>
      <c r="G1413" s="195">
        <v>0.0</v>
      </c>
      <c r="H1413" s="195">
        <v>0.0</v>
      </c>
      <c r="I1413" s="195" t="s">
        <v>772</v>
      </c>
      <c r="J1413" s="196" t="s">
        <v>772</v>
      </c>
    </row>
    <row r="1414" ht="26.25" customHeight="1">
      <c r="A1414" s="11"/>
      <c r="B1414" s="13"/>
      <c r="C1414" s="16" t="s">
        <v>772</v>
      </c>
      <c r="D1414" s="13"/>
      <c r="E1414" s="13"/>
      <c r="F1414" s="13"/>
      <c r="G1414" s="193">
        <v>0.0</v>
      </c>
      <c r="H1414" s="193">
        <v>0.0</v>
      </c>
      <c r="I1414" s="193" t="s">
        <v>772</v>
      </c>
      <c r="J1414" s="194" t="s">
        <v>772</v>
      </c>
    </row>
    <row r="1415" ht="26.25" customHeight="1">
      <c r="A1415" s="47"/>
      <c r="B1415" s="48"/>
      <c r="C1415" s="50" t="s">
        <v>772</v>
      </c>
      <c r="D1415" s="48"/>
      <c r="E1415" s="48"/>
      <c r="F1415" s="48"/>
      <c r="G1415" s="195">
        <v>0.0</v>
      </c>
      <c r="H1415" s="195">
        <v>0.0</v>
      </c>
      <c r="I1415" s="195" t="s">
        <v>772</v>
      </c>
      <c r="J1415" s="196" t="s">
        <v>772</v>
      </c>
    </row>
    <row r="1416" ht="26.25" customHeight="1">
      <c r="A1416" s="11"/>
      <c r="B1416" s="13"/>
      <c r="C1416" s="16" t="s">
        <v>772</v>
      </c>
      <c r="D1416" s="13"/>
      <c r="E1416" s="13"/>
      <c r="F1416" s="13"/>
      <c r="G1416" s="193">
        <v>0.0</v>
      </c>
      <c r="H1416" s="193">
        <v>0.0</v>
      </c>
      <c r="I1416" s="193" t="s">
        <v>772</v>
      </c>
      <c r="J1416" s="194" t="s">
        <v>772</v>
      </c>
    </row>
    <row r="1417" ht="26.25" customHeight="1">
      <c r="A1417" s="47"/>
      <c r="B1417" s="48"/>
      <c r="C1417" s="50" t="s">
        <v>772</v>
      </c>
      <c r="D1417" s="48"/>
      <c r="E1417" s="48"/>
      <c r="F1417" s="48"/>
      <c r="G1417" s="195">
        <v>0.0</v>
      </c>
      <c r="H1417" s="195">
        <v>0.0</v>
      </c>
      <c r="I1417" s="195" t="s">
        <v>772</v>
      </c>
      <c r="J1417" s="196" t="s">
        <v>772</v>
      </c>
    </row>
    <row r="1418" ht="26.25" customHeight="1">
      <c r="A1418" s="11"/>
      <c r="B1418" s="13"/>
      <c r="C1418" s="16" t="s">
        <v>772</v>
      </c>
      <c r="D1418" s="13"/>
      <c r="E1418" s="13"/>
      <c r="F1418" s="13"/>
      <c r="G1418" s="193">
        <v>0.0</v>
      </c>
      <c r="H1418" s="193">
        <v>0.0</v>
      </c>
      <c r="I1418" s="193" t="s">
        <v>772</v>
      </c>
      <c r="J1418" s="194" t="s">
        <v>772</v>
      </c>
    </row>
    <row r="1419" ht="26.25" customHeight="1">
      <c r="A1419" s="47"/>
      <c r="B1419" s="48"/>
      <c r="C1419" s="50" t="s">
        <v>772</v>
      </c>
      <c r="D1419" s="48"/>
      <c r="E1419" s="48"/>
      <c r="F1419" s="48"/>
      <c r="G1419" s="195">
        <v>0.0</v>
      </c>
      <c r="H1419" s="195">
        <v>0.0</v>
      </c>
      <c r="I1419" s="195" t="s">
        <v>772</v>
      </c>
      <c r="J1419" s="196" t="s">
        <v>772</v>
      </c>
    </row>
    <row r="1420" ht="26.25" customHeight="1">
      <c r="A1420" s="11"/>
      <c r="B1420" s="13"/>
      <c r="C1420" s="16" t="s">
        <v>772</v>
      </c>
      <c r="D1420" s="13"/>
      <c r="E1420" s="13"/>
      <c r="F1420" s="13"/>
      <c r="G1420" s="193">
        <v>0.0</v>
      </c>
      <c r="H1420" s="193">
        <v>0.0</v>
      </c>
      <c r="I1420" s="193" t="s">
        <v>772</v>
      </c>
      <c r="J1420" s="194" t="s">
        <v>772</v>
      </c>
    </row>
    <row r="1421" ht="26.25" customHeight="1">
      <c r="A1421" s="47"/>
      <c r="B1421" s="48"/>
      <c r="C1421" s="50" t="s">
        <v>772</v>
      </c>
      <c r="D1421" s="48"/>
      <c r="E1421" s="48"/>
      <c r="F1421" s="48"/>
      <c r="G1421" s="195">
        <v>0.0</v>
      </c>
      <c r="H1421" s="195">
        <v>0.0</v>
      </c>
      <c r="I1421" s="195" t="s">
        <v>772</v>
      </c>
      <c r="J1421" s="196" t="s">
        <v>772</v>
      </c>
    </row>
    <row r="1422" ht="26.25" customHeight="1">
      <c r="A1422" s="11"/>
      <c r="B1422" s="13"/>
      <c r="C1422" s="16" t="s">
        <v>772</v>
      </c>
      <c r="D1422" s="13"/>
      <c r="E1422" s="13"/>
      <c r="F1422" s="13"/>
      <c r="G1422" s="193">
        <v>0.0</v>
      </c>
      <c r="H1422" s="193">
        <v>0.0</v>
      </c>
      <c r="I1422" s="193" t="s">
        <v>772</v>
      </c>
      <c r="J1422" s="194" t="s">
        <v>772</v>
      </c>
    </row>
    <row r="1423" ht="26.25" customHeight="1">
      <c r="A1423" s="47"/>
      <c r="B1423" s="48"/>
      <c r="C1423" s="50" t="s">
        <v>772</v>
      </c>
      <c r="D1423" s="48"/>
      <c r="E1423" s="48"/>
      <c r="F1423" s="48"/>
      <c r="G1423" s="195">
        <v>0.0</v>
      </c>
      <c r="H1423" s="195">
        <v>0.0</v>
      </c>
      <c r="I1423" s="195" t="s">
        <v>772</v>
      </c>
      <c r="J1423" s="196" t="s">
        <v>772</v>
      </c>
    </row>
    <row r="1424" ht="26.25" customHeight="1">
      <c r="A1424" s="11"/>
      <c r="B1424" s="13"/>
      <c r="C1424" s="16" t="s">
        <v>772</v>
      </c>
      <c r="D1424" s="13"/>
      <c r="E1424" s="13"/>
      <c r="F1424" s="13"/>
      <c r="G1424" s="193">
        <v>0.0</v>
      </c>
      <c r="H1424" s="193">
        <v>0.0</v>
      </c>
      <c r="I1424" s="193" t="s">
        <v>772</v>
      </c>
      <c r="J1424" s="194" t="s">
        <v>772</v>
      </c>
    </row>
    <row r="1425" ht="26.25" customHeight="1">
      <c r="A1425" s="47"/>
      <c r="B1425" s="48"/>
      <c r="C1425" s="50" t="s">
        <v>772</v>
      </c>
      <c r="D1425" s="48"/>
      <c r="E1425" s="48"/>
      <c r="F1425" s="48"/>
      <c r="G1425" s="195">
        <v>0.0</v>
      </c>
      <c r="H1425" s="195">
        <v>0.0</v>
      </c>
      <c r="I1425" s="195" t="s">
        <v>772</v>
      </c>
      <c r="J1425" s="196" t="s">
        <v>772</v>
      </c>
    </row>
    <row r="1426" ht="26.25" customHeight="1">
      <c r="A1426" s="11"/>
      <c r="B1426" s="13"/>
      <c r="C1426" s="16" t="s">
        <v>772</v>
      </c>
      <c r="D1426" s="13"/>
      <c r="E1426" s="13"/>
      <c r="F1426" s="13"/>
      <c r="G1426" s="193">
        <v>0.0</v>
      </c>
      <c r="H1426" s="193">
        <v>0.0</v>
      </c>
      <c r="I1426" s="193" t="s">
        <v>772</v>
      </c>
      <c r="J1426" s="194" t="s">
        <v>772</v>
      </c>
    </row>
    <row r="1427" ht="26.25" customHeight="1">
      <c r="A1427" s="47"/>
      <c r="B1427" s="48"/>
      <c r="C1427" s="50" t="s">
        <v>772</v>
      </c>
      <c r="D1427" s="48"/>
      <c r="E1427" s="48"/>
      <c r="F1427" s="48"/>
      <c r="G1427" s="195">
        <v>0.0</v>
      </c>
      <c r="H1427" s="195">
        <v>0.0</v>
      </c>
      <c r="I1427" s="195" t="s">
        <v>772</v>
      </c>
      <c r="J1427" s="196" t="s">
        <v>772</v>
      </c>
    </row>
    <row r="1428" ht="26.25" customHeight="1">
      <c r="A1428" s="11"/>
      <c r="B1428" s="13"/>
      <c r="C1428" s="16" t="s">
        <v>772</v>
      </c>
      <c r="D1428" s="13"/>
      <c r="E1428" s="13"/>
      <c r="F1428" s="13"/>
      <c r="G1428" s="193">
        <v>0.0</v>
      </c>
      <c r="H1428" s="193">
        <v>0.0</v>
      </c>
      <c r="I1428" s="193" t="s">
        <v>772</v>
      </c>
      <c r="J1428" s="194" t="s">
        <v>772</v>
      </c>
    </row>
    <row r="1429" ht="26.25" customHeight="1">
      <c r="A1429" s="47"/>
      <c r="B1429" s="48"/>
      <c r="C1429" s="50" t="s">
        <v>772</v>
      </c>
      <c r="D1429" s="48"/>
      <c r="E1429" s="48"/>
      <c r="F1429" s="48"/>
      <c r="G1429" s="195">
        <v>0.0</v>
      </c>
      <c r="H1429" s="195">
        <v>0.0</v>
      </c>
      <c r="I1429" s="195" t="s">
        <v>772</v>
      </c>
      <c r="J1429" s="196" t="s">
        <v>772</v>
      </c>
    </row>
    <row r="1430" ht="26.25" customHeight="1">
      <c r="A1430" s="11"/>
      <c r="B1430" s="13"/>
      <c r="C1430" s="16" t="s">
        <v>772</v>
      </c>
      <c r="D1430" s="13"/>
      <c r="E1430" s="13"/>
      <c r="F1430" s="13"/>
      <c r="G1430" s="193">
        <v>0.0</v>
      </c>
      <c r="H1430" s="193">
        <v>0.0</v>
      </c>
      <c r="I1430" s="193" t="s">
        <v>772</v>
      </c>
      <c r="J1430" s="194" t="s">
        <v>772</v>
      </c>
    </row>
    <row r="1431" ht="26.25" customHeight="1">
      <c r="A1431" s="47"/>
      <c r="B1431" s="48"/>
      <c r="C1431" s="50" t="s">
        <v>772</v>
      </c>
      <c r="D1431" s="48"/>
      <c r="E1431" s="48"/>
      <c r="F1431" s="48"/>
      <c r="G1431" s="195">
        <v>0.0</v>
      </c>
      <c r="H1431" s="195">
        <v>0.0</v>
      </c>
      <c r="I1431" s="195" t="s">
        <v>772</v>
      </c>
      <c r="J1431" s="196" t="s">
        <v>772</v>
      </c>
    </row>
    <row r="1432" ht="26.25" customHeight="1">
      <c r="A1432" s="11"/>
      <c r="B1432" s="13"/>
      <c r="C1432" s="16" t="s">
        <v>772</v>
      </c>
      <c r="D1432" s="13"/>
      <c r="E1432" s="13"/>
      <c r="F1432" s="13"/>
      <c r="G1432" s="193">
        <v>0.0</v>
      </c>
      <c r="H1432" s="193">
        <v>0.0</v>
      </c>
      <c r="I1432" s="193" t="s">
        <v>772</v>
      </c>
      <c r="J1432" s="194" t="s">
        <v>772</v>
      </c>
    </row>
    <row r="1433" ht="26.25" customHeight="1">
      <c r="A1433" s="47"/>
      <c r="B1433" s="48"/>
      <c r="C1433" s="50" t="s">
        <v>772</v>
      </c>
      <c r="D1433" s="48"/>
      <c r="E1433" s="48"/>
      <c r="F1433" s="48"/>
      <c r="G1433" s="195">
        <v>0.0</v>
      </c>
      <c r="H1433" s="195">
        <v>0.0</v>
      </c>
      <c r="I1433" s="195" t="s">
        <v>772</v>
      </c>
      <c r="J1433" s="196" t="s">
        <v>772</v>
      </c>
    </row>
    <row r="1434" ht="26.25" customHeight="1">
      <c r="A1434" s="11"/>
      <c r="B1434" s="13"/>
      <c r="C1434" s="16" t="s">
        <v>772</v>
      </c>
      <c r="D1434" s="13"/>
      <c r="E1434" s="13"/>
      <c r="F1434" s="13"/>
      <c r="G1434" s="193">
        <v>0.0</v>
      </c>
      <c r="H1434" s="193">
        <v>0.0</v>
      </c>
      <c r="I1434" s="193" t="s">
        <v>772</v>
      </c>
      <c r="J1434" s="194" t="s">
        <v>772</v>
      </c>
    </row>
    <row r="1435" ht="26.25" customHeight="1">
      <c r="A1435" s="47"/>
      <c r="B1435" s="48"/>
      <c r="C1435" s="50" t="s">
        <v>772</v>
      </c>
      <c r="D1435" s="48"/>
      <c r="E1435" s="48"/>
      <c r="F1435" s="48"/>
      <c r="G1435" s="195">
        <v>0.0</v>
      </c>
      <c r="H1435" s="195">
        <v>0.0</v>
      </c>
      <c r="I1435" s="195" t="s">
        <v>772</v>
      </c>
      <c r="J1435" s="196" t="s">
        <v>772</v>
      </c>
    </row>
    <row r="1436" ht="26.25" customHeight="1">
      <c r="A1436" s="11"/>
      <c r="B1436" s="13"/>
      <c r="C1436" s="16" t="s">
        <v>772</v>
      </c>
      <c r="D1436" s="13"/>
      <c r="E1436" s="13"/>
      <c r="F1436" s="13"/>
      <c r="G1436" s="193">
        <v>0.0</v>
      </c>
      <c r="H1436" s="193">
        <v>0.0</v>
      </c>
      <c r="I1436" s="193" t="s">
        <v>772</v>
      </c>
      <c r="J1436" s="194" t="s">
        <v>772</v>
      </c>
    </row>
    <row r="1437" ht="26.25" customHeight="1">
      <c r="A1437" s="47"/>
      <c r="B1437" s="48"/>
      <c r="C1437" s="50" t="s">
        <v>772</v>
      </c>
      <c r="D1437" s="48"/>
      <c r="E1437" s="48"/>
      <c r="F1437" s="48"/>
      <c r="G1437" s="195">
        <v>0.0</v>
      </c>
      <c r="H1437" s="195">
        <v>0.0</v>
      </c>
      <c r="I1437" s="195" t="s">
        <v>772</v>
      </c>
      <c r="J1437" s="196" t="s">
        <v>772</v>
      </c>
    </row>
    <row r="1438" ht="26.25" customHeight="1">
      <c r="A1438" s="11"/>
      <c r="B1438" s="13"/>
      <c r="C1438" s="16" t="s">
        <v>772</v>
      </c>
      <c r="D1438" s="13"/>
      <c r="E1438" s="13"/>
      <c r="F1438" s="13"/>
      <c r="G1438" s="193">
        <v>0.0</v>
      </c>
      <c r="H1438" s="193">
        <v>0.0</v>
      </c>
      <c r="I1438" s="193" t="s">
        <v>772</v>
      </c>
      <c r="J1438" s="194" t="s">
        <v>772</v>
      </c>
    </row>
    <row r="1439" ht="26.25" customHeight="1">
      <c r="A1439" s="47"/>
      <c r="B1439" s="48"/>
      <c r="C1439" s="50" t="s">
        <v>772</v>
      </c>
      <c r="D1439" s="48"/>
      <c r="E1439" s="48"/>
      <c r="F1439" s="48"/>
      <c r="G1439" s="195">
        <v>0.0</v>
      </c>
      <c r="H1439" s="195">
        <v>0.0</v>
      </c>
      <c r="I1439" s="195" t="s">
        <v>772</v>
      </c>
      <c r="J1439" s="196" t="s">
        <v>772</v>
      </c>
    </row>
    <row r="1440" ht="26.25" customHeight="1">
      <c r="A1440" s="11"/>
      <c r="B1440" s="13"/>
      <c r="C1440" s="16" t="s">
        <v>772</v>
      </c>
      <c r="D1440" s="13"/>
      <c r="E1440" s="13"/>
      <c r="F1440" s="13"/>
      <c r="G1440" s="193">
        <v>0.0</v>
      </c>
      <c r="H1440" s="193">
        <v>0.0</v>
      </c>
      <c r="I1440" s="193" t="s">
        <v>772</v>
      </c>
      <c r="J1440" s="194" t="s">
        <v>772</v>
      </c>
    </row>
    <row r="1441" ht="26.25" customHeight="1">
      <c r="A1441" s="47"/>
      <c r="B1441" s="48"/>
      <c r="C1441" s="50" t="s">
        <v>772</v>
      </c>
      <c r="D1441" s="48"/>
      <c r="E1441" s="48"/>
      <c r="F1441" s="48"/>
      <c r="G1441" s="195">
        <v>0.0</v>
      </c>
      <c r="H1441" s="195">
        <v>0.0</v>
      </c>
      <c r="I1441" s="195" t="s">
        <v>772</v>
      </c>
      <c r="J1441" s="196" t="s">
        <v>772</v>
      </c>
    </row>
    <row r="1442" ht="26.25" customHeight="1">
      <c r="A1442" s="11"/>
      <c r="B1442" s="13"/>
      <c r="C1442" s="16" t="s">
        <v>772</v>
      </c>
      <c r="D1442" s="13"/>
      <c r="E1442" s="13"/>
      <c r="F1442" s="13"/>
      <c r="G1442" s="193">
        <v>0.0</v>
      </c>
      <c r="H1442" s="193">
        <v>0.0</v>
      </c>
      <c r="I1442" s="193" t="s">
        <v>772</v>
      </c>
      <c r="J1442" s="194" t="s">
        <v>772</v>
      </c>
    </row>
    <row r="1443" ht="26.25" customHeight="1">
      <c r="A1443" s="47"/>
      <c r="B1443" s="48"/>
      <c r="C1443" s="50" t="s">
        <v>772</v>
      </c>
      <c r="D1443" s="48"/>
      <c r="E1443" s="48"/>
      <c r="F1443" s="48"/>
      <c r="G1443" s="195">
        <v>0.0</v>
      </c>
      <c r="H1443" s="195">
        <v>0.0</v>
      </c>
      <c r="I1443" s="195" t="s">
        <v>772</v>
      </c>
      <c r="J1443" s="196" t="s">
        <v>772</v>
      </c>
    </row>
    <row r="1444" ht="26.25" customHeight="1">
      <c r="A1444" s="11"/>
      <c r="B1444" s="13"/>
      <c r="C1444" s="16" t="s">
        <v>772</v>
      </c>
      <c r="D1444" s="13"/>
      <c r="E1444" s="13"/>
      <c r="F1444" s="13"/>
      <c r="G1444" s="193">
        <v>0.0</v>
      </c>
      <c r="H1444" s="193">
        <v>0.0</v>
      </c>
      <c r="I1444" s="193" t="s">
        <v>772</v>
      </c>
      <c r="J1444" s="194" t="s">
        <v>772</v>
      </c>
    </row>
    <row r="1445" ht="26.25" customHeight="1">
      <c r="A1445" s="47"/>
      <c r="B1445" s="48"/>
      <c r="C1445" s="50" t="s">
        <v>772</v>
      </c>
      <c r="D1445" s="48"/>
      <c r="E1445" s="48"/>
      <c r="F1445" s="48"/>
      <c r="G1445" s="195">
        <v>0.0</v>
      </c>
      <c r="H1445" s="195">
        <v>0.0</v>
      </c>
      <c r="I1445" s="195" t="s">
        <v>772</v>
      </c>
      <c r="J1445" s="196" t="s">
        <v>772</v>
      </c>
    </row>
    <row r="1446" ht="26.25" customHeight="1">
      <c r="A1446" s="11"/>
      <c r="B1446" s="13"/>
      <c r="C1446" s="16" t="s">
        <v>772</v>
      </c>
      <c r="D1446" s="13"/>
      <c r="E1446" s="13"/>
      <c r="F1446" s="13"/>
      <c r="G1446" s="193">
        <v>0.0</v>
      </c>
      <c r="H1446" s="193">
        <v>0.0</v>
      </c>
      <c r="I1446" s="193" t="s">
        <v>772</v>
      </c>
      <c r="J1446" s="194" t="s">
        <v>772</v>
      </c>
    </row>
    <row r="1447" ht="26.25" customHeight="1">
      <c r="A1447" s="47"/>
      <c r="B1447" s="48"/>
      <c r="C1447" s="50" t="s">
        <v>772</v>
      </c>
      <c r="D1447" s="48"/>
      <c r="E1447" s="48"/>
      <c r="F1447" s="48"/>
      <c r="G1447" s="195">
        <v>0.0</v>
      </c>
      <c r="H1447" s="195">
        <v>0.0</v>
      </c>
      <c r="I1447" s="195" t="s">
        <v>772</v>
      </c>
      <c r="J1447" s="196" t="s">
        <v>772</v>
      </c>
    </row>
    <row r="1448" ht="26.25" customHeight="1">
      <c r="A1448" s="11"/>
      <c r="B1448" s="13"/>
      <c r="C1448" s="16" t="s">
        <v>772</v>
      </c>
      <c r="D1448" s="13"/>
      <c r="E1448" s="13"/>
      <c r="F1448" s="13"/>
      <c r="G1448" s="193">
        <v>0.0</v>
      </c>
      <c r="H1448" s="193">
        <v>0.0</v>
      </c>
      <c r="I1448" s="193" t="s">
        <v>772</v>
      </c>
      <c r="J1448" s="194" t="s">
        <v>772</v>
      </c>
    </row>
    <row r="1449" ht="26.25" customHeight="1">
      <c r="A1449" s="47"/>
      <c r="B1449" s="48"/>
      <c r="C1449" s="50" t="s">
        <v>772</v>
      </c>
      <c r="D1449" s="48"/>
      <c r="E1449" s="48"/>
      <c r="F1449" s="48"/>
      <c r="G1449" s="195">
        <v>0.0</v>
      </c>
      <c r="H1449" s="195">
        <v>0.0</v>
      </c>
      <c r="I1449" s="195" t="s">
        <v>772</v>
      </c>
      <c r="J1449" s="196" t="s">
        <v>772</v>
      </c>
    </row>
    <row r="1450" ht="26.25" customHeight="1">
      <c r="A1450" s="11"/>
      <c r="B1450" s="13"/>
      <c r="C1450" s="16" t="s">
        <v>772</v>
      </c>
      <c r="D1450" s="13"/>
      <c r="E1450" s="13"/>
      <c r="F1450" s="13"/>
      <c r="G1450" s="193">
        <v>0.0</v>
      </c>
      <c r="H1450" s="193">
        <v>0.0</v>
      </c>
      <c r="I1450" s="193" t="s">
        <v>772</v>
      </c>
      <c r="J1450" s="194" t="s">
        <v>772</v>
      </c>
    </row>
    <row r="1451" ht="26.25" customHeight="1">
      <c r="A1451" s="47"/>
      <c r="B1451" s="48"/>
      <c r="C1451" s="50" t="s">
        <v>772</v>
      </c>
      <c r="D1451" s="48"/>
      <c r="E1451" s="48"/>
      <c r="F1451" s="48"/>
      <c r="G1451" s="195">
        <v>0.0</v>
      </c>
      <c r="H1451" s="195">
        <v>0.0</v>
      </c>
      <c r="I1451" s="195" t="s">
        <v>772</v>
      </c>
      <c r="J1451" s="196" t="s">
        <v>772</v>
      </c>
    </row>
    <row r="1452" ht="26.25" customHeight="1">
      <c r="A1452" s="11"/>
      <c r="B1452" s="13"/>
      <c r="C1452" s="16" t="s">
        <v>772</v>
      </c>
      <c r="D1452" s="13"/>
      <c r="E1452" s="13"/>
      <c r="F1452" s="13"/>
      <c r="G1452" s="193">
        <v>0.0</v>
      </c>
      <c r="H1452" s="193">
        <v>0.0</v>
      </c>
      <c r="I1452" s="193" t="s">
        <v>772</v>
      </c>
      <c r="J1452" s="194" t="s">
        <v>772</v>
      </c>
    </row>
    <row r="1453" ht="26.25" customHeight="1">
      <c r="A1453" s="47"/>
      <c r="B1453" s="48"/>
      <c r="C1453" s="50" t="s">
        <v>772</v>
      </c>
      <c r="D1453" s="48"/>
      <c r="E1453" s="48"/>
      <c r="F1453" s="48"/>
      <c r="G1453" s="195">
        <v>0.0</v>
      </c>
      <c r="H1453" s="195">
        <v>0.0</v>
      </c>
      <c r="I1453" s="195" t="s">
        <v>772</v>
      </c>
      <c r="J1453" s="196" t="s">
        <v>772</v>
      </c>
    </row>
    <row r="1454" ht="26.25" customHeight="1">
      <c r="A1454" s="11"/>
      <c r="B1454" s="13"/>
      <c r="C1454" s="16" t="s">
        <v>772</v>
      </c>
      <c r="D1454" s="13"/>
      <c r="E1454" s="13"/>
      <c r="F1454" s="13"/>
      <c r="G1454" s="193">
        <v>0.0</v>
      </c>
      <c r="H1454" s="193">
        <v>0.0</v>
      </c>
      <c r="I1454" s="193" t="s">
        <v>772</v>
      </c>
      <c r="J1454" s="194" t="s">
        <v>772</v>
      </c>
    </row>
    <row r="1455" ht="26.25" customHeight="1">
      <c r="A1455" s="47"/>
      <c r="B1455" s="48"/>
      <c r="C1455" s="50" t="s">
        <v>772</v>
      </c>
      <c r="D1455" s="48"/>
      <c r="E1455" s="48"/>
      <c r="F1455" s="48"/>
      <c r="G1455" s="195">
        <v>0.0</v>
      </c>
      <c r="H1455" s="195">
        <v>0.0</v>
      </c>
      <c r="I1455" s="195" t="s">
        <v>772</v>
      </c>
      <c r="J1455" s="196" t="s">
        <v>772</v>
      </c>
    </row>
    <row r="1456" ht="26.25" customHeight="1">
      <c r="A1456" s="11"/>
      <c r="B1456" s="13"/>
      <c r="C1456" s="16" t="s">
        <v>772</v>
      </c>
      <c r="D1456" s="13"/>
      <c r="E1456" s="13"/>
      <c r="F1456" s="13"/>
      <c r="G1456" s="193">
        <v>0.0</v>
      </c>
      <c r="H1456" s="193">
        <v>0.0</v>
      </c>
      <c r="I1456" s="193" t="s">
        <v>772</v>
      </c>
      <c r="J1456" s="194" t="s">
        <v>772</v>
      </c>
    </row>
    <row r="1457" ht="26.25" customHeight="1">
      <c r="A1457" s="47"/>
      <c r="B1457" s="48"/>
      <c r="C1457" s="50" t="s">
        <v>772</v>
      </c>
      <c r="D1457" s="48"/>
      <c r="E1457" s="48"/>
      <c r="F1457" s="48"/>
      <c r="G1457" s="195">
        <v>0.0</v>
      </c>
      <c r="H1457" s="195">
        <v>0.0</v>
      </c>
      <c r="I1457" s="195" t="s">
        <v>772</v>
      </c>
      <c r="J1457" s="196" t="s">
        <v>772</v>
      </c>
    </row>
    <row r="1458" ht="26.25" customHeight="1">
      <c r="A1458" s="11"/>
      <c r="B1458" s="13"/>
      <c r="C1458" s="16" t="s">
        <v>772</v>
      </c>
      <c r="D1458" s="13"/>
      <c r="E1458" s="13"/>
      <c r="F1458" s="13"/>
      <c r="G1458" s="193">
        <v>0.0</v>
      </c>
      <c r="H1458" s="193">
        <v>0.0</v>
      </c>
      <c r="I1458" s="193" t="s">
        <v>772</v>
      </c>
      <c r="J1458" s="194" t="s">
        <v>772</v>
      </c>
    </row>
    <row r="1459" ht="26.25" customHeight="1">
      <c r="A1459" s="47"/>
      <c r="B1459" s="48"/>
      <c r="C1459" s="50" t="s">
        <v>772</v>
      </c>
      <c r="D1459" s="48"/>
      <c r="E1459" s="48"/>
      <c r="F1459" s="48"/>
      <c r="G1459" s="195">
        <v>0.0</v>
      </c>
      <c r="H1459" s="195">
        <v>0.0</v>
      </c>
      <c r="I1459" s="195" t="s">
        <v>772</v>
      </c>
      <c r="J1459" s="196" t="s">
        <v>772</v>
      </c>
    </row>
    <row r="1460" ht="26.25" customHeight="1">
      <c r="A1460" s="11"/>
      <c r="B1460" s="13"/>
      <c r="C1460" s="16" t="s">
        <v>772</v>
      </c>
      <c r="D1460" s="13"/>
      <c r="E1460" s="13"/>
      <c r="F1460" s="13"/>
      <c r="G1460" s="193">
        <v>0.0</v>
      </c>
      <c r="H1460" s="193">
        <v>0.0</v>
      </c>
      <c r="I1460" s="193" t="s">
        <v>772</v>
      </c>
      <c r="J1460" s="194" t="s">
        <v>772</v>
      </c>
    </row>
    <row r="1461" ht="26.25" customHeight="1">
      <c r="A1461" s="47"/>
      <c r="B1461" s="48"/>
      <c r="C1461" s="50" t="s">
        <v>772</v>
      </c>
      <c r="D1461" s="48"/>
      <c r="E1461" s="48"/>
      <c r="F1461" s="48"/>
      <c r="G1461" s="195">
        <v>0.0</v>
      </c>
      <c r="H1461" s="195">
        <v>0.0</v>
      </c>
      <c r="I1461" s="195" t="s">
        <v>772</v>
      </c>
      <c r="J1461" s="196" t="s">
        <v>772</v>
      </c>
    </row>
    <row r="1462" ht="26.25" customHeight="1">
      <c r="A1462" s="11"/>
      <c r="B1462" s="13"/>
      <c r="C1462" s="16" t="s">
        <v>772</v>
      </c>
      <c r="D1462" s="13"/>
      <c r="E1462" s="13"/>
      <c r="F1462" s="13"/>
      <c r="G1462" s="193">
        <v>0.0</v>
      </c>
      <c r="H1462" s="193">
        <v>0.0</v>
      </c>
      <c r="I1462" s="193" t="s">
        <v>772</v>
      </c>
      <c r="J1462" s="194" t="s">
        <v>772</v>
      </c>
    </row>
    <row r="1463" ht="26.25" customHeight="1">
      <c r="A1463" s="47"/>
      <c r="B1463" s="48"/>
      <c r="C1463" s="50" t="s">
        <v>772</v>
      </c>
      <c r="D1463" s="48"/>
      <c r="E1463" s="48"/>
      <c r="F1463" s="48"/>
      <c r="G1463" s="195">
        <v>0.0</v>
      </c>
      <c r="H1463" s="195">
        <v>0.0</v>
      </c>
      <c r="I1463" s="195" t="s">
        <v>772</v>
      </c>
      <c r="J1463" s="196" t="s">
        <v>772</v>
      </c>
    </row>
    <row r="1464" ht="26.25" customHeight="1">
      <c r="A1464" s="11"/>
      <c r="B1464" s="13"/>
      <c r="C1464" s="16" t="s">
        <v>772</v>
      </c>
      <c r="D1464" s="13"/>
      <c r="E1464" s="13"/>
      <c r="F1464" s="13"/>
      <c r="G1464" s="193">
        <v>0.0</v>
      </c>
      <c r="H1464" s="193">
        <v>0.0</v>
      </c>
      <c r="I1464" s="193" t="s">
        <v>772</v>
      </c>
      <c r="J1464" s="194" t="s">
        <v>772</v>
      </c>
    </row>
    <row r="1465" ht="26.25" customHeight="1">
      <c r="A1465" s="47"/>
      <c r="B1465" s="48"/>
      <c r="C1465" s="50" t="s">
        <v>772</v>
      </c>
      <c r="D1465" s="48"/>
      <c r="E1465" s="48"/>
      <c r="F1465" s="48"/>
      <c r="G1465" s="195">
        <v>0.0</v>
      </c>
      <c r="H1465" s="195">
        <v>0.0</v>
      </c>
      <c r="I1465" s="195" t="s">
        <v>772</v>
      </c>
      <c r="J1465" s="196" t="s">
        <v>772</v>
      </c>
    </row>
    <row r="1466" ht="26.25" customHeight="1">
      <c r="A1466" s="11"/>
      <c r="B1466" s="13"/>
      <c r="C1466" s="16" t="s">
        <v>772</v>
      </c>
      <c r="D1466" s="13"/>
      <c r="E1466" s="13"/>
      <c r="F1466" s="13"/>
      <c r="G1466" s="193">
        <v>0.0</v>
      </c>
      <c r="H1466" s="193">
        <v>0.0</v>
      </c>
      <c r="I1466" s="193" t="s">
        <v>772</v>
      </c>
      <c r="J1466" s="194" t="s">
        <v>772</v>
      </c>
    </row>
    <row r="1467" ht="26.25" customHeight="1">
      <c r="A1467" s="47"/>
      <c r="B1467" s="48"/>
      <c r="C1467" s="50" t="s">
        <v>772</v>
      </c>
      <c r="D1467" s="48"/>
      <c r="E1467" s="48"/>
      <c r="F1467" s="48"/>
      <c r="G1467" s="195">
        <v>0.0</v>
      </c>
      <c r="H1467" s="195">
        <v>0.0</v>
      </c>
      <c r="I1467" s="195" t="s">
        <v>772</v>
      </c>
      <c r="J1467" s="196" t="s">
        <v>772</v>
      </c>
    </row>
    <row r="1468" ht="26.25" customHeight="1">
      <c r="A1468" s="11"/>
      <c r="B1468" s="13"/>
      <c r="C1468" s="16" t="s">
        <v>772</v>
      </c>
      <c r="D1468" s="13"/>
      <c r="E1468" s="13"/>
      <c r="F1468" s="13"/>
      <c r="G1468" s="193">
        <v>0.0</v>
      </c>
      <c r="H1468" s="193">
        <v>0.0</v>
      </c>
      <c r="I1468" s="193" t="s">
        <v>772</v>
      </c>
      <c r="J1468" s="194" t="s">
        <v>772</v>
      </c>
    </row>
    <row r="1469" ht="26.25" customHeight="1">
      <c r="A1469" s="47"/>
      <c r="B1469" s="48"/>
      <c r="C1469" s="50" t="s">
        <v>772</v>
      </c>
      <c r="D1469" s="48"/>
      <c r="E1469" s="48"/>
      <c r="F1469" s="48"/>
      <c r="G1469" s="195">
        <v>0.0</v>
      </c>
      <c r="H1469" s="195">
        <v>0.0</v>
      </c>
      <c r="I1469" s="195" t="s">
        <v>772</v>
      </c>
      <c r="J1469" s="196" t="s">
        <v>772</v>
      </c>
    </row>
    <row r="1470" ht="26.25" customHeight="1">
      <c r="A1470" s="11"/>
      <c r="B1470" s="13"/>
      <c r="C1470" s="16" t="s">
        <v>772</v>
      </c>
      <c r="D1470" s="13"/>
      <c r="E1470" s="13"/>
      <c r="F1470" s="13"/>
      <c r="G1470" s="193">
        <v>0.0</v>
      </c>
      <c r="H1470" s="193">
        <v>0.0</v>
      </c>
      <c r="I1470" s="193" t="s">
        <v>772</v>
      </c>
      <c r="J1470" s="194" t="s">
        <v>772</v>
      </c>
    </row>
    <row r="1471" ht="26.25" customHeight="1">
      <c r="A1471" s="47"/>
      <c r="B1471" s="48"/>
      <c r="C1471" s="50" t="s">
        <v>772</v>
      </c>
      <c r="D1471" s="48"/>
      <c r="E1471" s="48"/>
      <c r="F1471" s="48"/>
      <c r="G1471" s="195">
        <v>0.0</v>
      </c>
      <c r="H1471" s="195">
        <v>0.0</v>
      </c>
      <c r="I1471" s="195" t="s">
        <v>772</v>
      </c>
      <c r="J1471" s="196" t="s">
        <v>772</v>
      </c>
    </row>
    <row r="1472" ht="26.25" customHeight="1">
      <c r="A1472" s="11"/>
      <c r="B1472" s="13"/>
      <c r="C1472" s="16" t="s">
        <v>772</v>
      </c>
      <c r="D1472" s="13"/>
      <c r="E1472" s="13"/>
      <c r="F1472" s="13"/>
      <c r="G1472" s="193">
        <v>0.0</v>
      </c>
      <c r="H1472" s="193">
        <v>0.0</v>
      </c>
      <c r="I1472" s="193" t="s">
        <v>772</v>
      </c>
      <c r="J1472" s="194" t="s">
        <v>772</v>
      </c>
    </row>
    <row r="1473" ht="26.25" customHeight="1">
      <c r="A1473" s="47"/>
      <c r="B1473" s="48"/>
      <c r="C1473" s="50" t="s">
        <v>772</v>
      </c>
      <c r="D1473" s="48"/>
      <c r="E1473" s="48"/>
      <c r="F1473" s="48"/>
      <c r="G1473" s="195">
        <v>0.0</v>
      </c>
      <c r="H1473" s="195">
        <v>0.0</v>
      </c>
      <c r="I1473" s="195" t="s">
        <v>772</v>
      </c>
      <c r="J1473" s="196" t="s">
        <v>772</v>
      </c>
    </row>
    <row r="1474" ht="26.25" customHeight="1">
      <c r="A1474" s="11"/>
      <c r="B1474" s="13"/>
      <c r="C1474" s="16" t="s">
        <v>772</v>
      </c>
      <c r="D1474" s="13"/>
      <c r="E1474" s="13"/>
      <c r="F1474" s="13"/>
      <c r="G1474" s="193">
        <v>0.0</v>
      </c>
      <c r="H1474" s="193">
        <v>0.0</v>
      </c>
      <c r="I1474" s="193" t="s">
        <v>772</v>
      </c>
      <c r="J1474" s="194" t="s">
        <v>772</v>
      </c>
    </row>
    <row r="1475" ht="26.25" customHeight="1">
      <c r="A1475" s="47"/>
      <c r="B1475" s="48"/>
      <c r="C1475" s="50" t="s">
        <v>772</v>
      </c>
      <c r="D1475" s="48"/>
      <c r="E1475" s="48"/>
      <c r="F1475" s="48"/>
      <c r="G1475" s="195">
        <v>0.0</v>
      </c>
      <c r="H1475" s="195">
        <v>0.0</v>
      </c>
      <c r="I1475" s="195" t="s">
        <v>772</v>
      </c>
      <c r="J1475" s="196" t="s">
        <v>772</v>
      </c>
    </row>
    <row r="1476" ht="26.25" customHeight="1">
      <c r="A1476" s="11"/>
      <c r="B1476" s="13"/>
      <c r="C1476" s="16" t="s">
        <v>772</v>
      </c>
      <c r="D1476" s="13"/>
      <c r="E1476" s="13"/>
      <c r="F1476" s="13"/>
      <c r="G1476" s="193">
        <v>0.0</v>
      </c>
      <c r="H1476" s="193">
        <v>0.0</v>
      </c>
      <c r="I1476" s="193" t="s">
        <v>772</v>
      </c>
      <c r="J1476" s="194" t="s">
        <v>772</v>
      </c>
    </row>
    <row r="1477" ht="26.25" customHeight="1">
      <c r="A1477" s="47"/>
      <c r="B1477" s="48"/>
      <c r="C1477" s="50" t="s">
        <v>772</v>
      </c>
      <c r="D1477" s="48"/>
      <c r="E1477" s="48"/>
      <c r="F1477" s="48"/>
      <c r="G1477" s="195">
        <v>0.0</v>
      </c>
      <c r="H1477" s="195">
        <v>0.0</v>
      </c>
      <c r="I1477" s="195" t="s">
        <v>772</v>
      </c>
      <c r="J1477" s="196" t="s">
        <v>772</v>
      </c>
    </row>
    <row r="1478" ht="26.25" customHeight="1">
      <c r="A1478" s="11"/>
      <c r="B1478" s="13"/>
      <c r="C1478" s="16" t="s">
        <v>772</v>
      </c>
      <c r="D1478" s="13"/>
      <c r="E1478" s="13"/>
      <c r="F1478" s="13"/>
      <c r="G1478" s="193">
        <v>0.0</v>
      </c>
      <c r="H1478" s="193">
        <v>0.0</v>
      </c>
      <c r="I1478" s="193" t="s">
        <v>772</v>
      </c>
      <c r="J1478" s="194" t="s">
        <v>772</v>
      </c>
    </row>
    <row r="1479" ht="26.25" customHeight="1">
      <c r="A1479" s="47"/>
      <c r="B1479" s="48"/>
      <c r="C1479" s="50" t="s">
        <v>772</v>
      </c>
      <c r="D1479" s="48"/>
      <c r="E1479" s="48"/>
      <c r="F1479" s="48"/>
      <c r="G1479" s="195">
        <v>0.0</v>
      </c>
      <c r="H1479" s="195">
        <v>0.0</v>
      </c>
      <c r="I1479" s="195" t="s">
        <v>772</v>
      </c>
      <c r="J1479" s="196" t="s">
        <v>772</v>
      </c>
    </row>
    <row r="1480" ht="26.25" customHeight="1">
      <c r="A1480" s="11"/>
      <c r="B1480" s="13"/>
      <c r="C1480" s="16" t="s">
        <v>772</v>
      </c>
      <c r="D1480" s="13"/>
      <c r="E1480" s="13"/>
      <c r="F1480" s="13"/>
      <c r="G1480" s="193">
        <v>0.0</v>
      </c>
      <c r="H1480" s="193">
        <v>0.0</v>
      </c>
      <c r="I1480" s="193" t="s">
        <v>772</v>
      </c>
      <c r="J1480" s="194" t="s">
        <v>772</v>
      </c>
    </row>
    <row r="1481" ht="26.25" customHeight="1">
      <c r="A1481" s="47"/>
      <c r="B1481" s="48"/>
      <c r="C1481" s="50" t="s">
        <v>772</v>
      </c>
      <c r="D1481" s="48"/>
      <c r="E1481" s="48"/>
      <c r="F1481" s="48"/>
      <c r="G1481" s="195">
        <v>0.0</v>
      </c>
      <c r="H1481" s="195">
        <v>0.0</v>
      </c>
      <c r="I1481" s="195" t="s">
        <v>772</v>
      </c>
      <c r="J1481" s="196" t="s">
        <v>772</v>
      </c>
    </row>
    <row r="1482" ht="26.25" customHeight="1">
      <c r="A1482" s="11"/>
      <c r="B1482" s="13"/>
      <c r="C1482" s="16" t="s">
        <v>772</v>
      </c>
      <c r="D1482" s="13"/>
      <c r="E1482" s="13"/>
      <c r="F1482" s="13"/>
      <c r="G1482" s="193">
        <v>0.0</v>
      </c>
      <c r="H1482" s="193">
        <v>0.0</v>
      </c>
      <c r="I1482" s="193" t="s">
        <v>772</v>
      </c>
      <c r="J1482" s="194" t="s">
        <v>772</v>
      </c>
    </row>
    <row r="1483" ht="26.25" customHeight="1">
      <c r="A1483" s="47"/>
      <c r="B1483" s="48"/>
      <c r="C1483" s="50" t="s">
        <v>772</v>
      </c>
      <c r="D1483" s="48"/>
      <c r="E1483" s="48"/>
      <c r="F1483" s="48"/>
      <c r="G1483" s="195">
        <v>0.0</v>
      </c>
      <c r="H1483" s="195">
        <v>0.0</v>
      </c>
      <c r="I1483" s="195" t="s">
        <v>772</v>
      </c>
      <c r="J1483" s="196" t="s">
        <v>772</v>
      </c>
    </row>
    <row r="1484" ht="26.25" customHeight="1">
      <c r="A1484" s="11"/>
      <c r="B1484" s="13"/>
      <c r="C1484" s="16" t="s">
        <v>772</v>
      </c>
      <c r="D1484" s="13"/>
      <c r="E1484" s="13"/>
      <c r="F1484" s="13"/>
      <c r="G1484" s="193">
        <v>0.0</v>
      </c>
      <c r="H1484" s="193">
        <v>0.0</v>
      </c>
      <c r="I1484" s="193" t="s">
        <v>772</v>
      </c>
      <c r="J1484" s="194" t="s">
        <v>772</v>
      </c>
    </row>
    <row r="1485" ht="26.25" customHeight="1">
      <c r="A1485" s="47"/>
      <c r="B1485" s="48"/>
      <c r="C1485" s="50" t="s">
        <v>772</v>
      </c>
      <c r="D1485" s="48"/>
      <c r="E1485" s="48"/>
      <c r="F1485" s="48"/>
      <c r="G1485" s="195">
        <v>0.0</v>
      </c>
      <c r="H1485" s="195">
        <v>0.0</v>
      </c>
      <c r="I1485" s="195" t="s">
        <v>772</v>
      </c>
      <c r="J1485" s="196" t="s">
        <v>772</v>
      </c>
    </row>
    <row r="1486" ht="26.25" customHeight="1">
      <c r="A1486" s="11"/>
      <c r="B1486" s="13"/>
      <c r="C1486" s="16" t="s">
        <v>772</v>
      </c>
      <c r="D1486" s="13"/>
      <c r="E1486" s="13"/>
      <c r="F1486" s="13"/>
      <c r="G1486" s="193">
        <v>0.0</v>
      </c>
      <c r="H1486" s="193">
        <v>0.0</v>
      </c>
      <c r="I1486" s="193" t="s">
        <v>772</v>
      </c>
      <c r="J1486" s="194" t="s">
        <v>772</v>
      </c>
    </row>
    <row r="1487" ht="26.25" customHeight="1">
      <c r="A1487" s="47"/>
      <c r="B1487" s="48"/>
      <c r="C1487" s="50" t="s">
        <v>772</v>
      </c>
      <c r="D1487" s="48"/>
      <c r="E1487" s="48"/>
      <c r="F1487" s="48"/>
      <c r="G1487" s="195">
        <v>0.0</v>
      </c>
      <c r="H1487" s="195">
        <v>0.0</v>
      </c>
      <c r="I1487" s="195" t="s">
        <v>772</v>
      </c>
      <c r="J1487" s="196" t="s">
        <v>772</v>
      </c>
    </row>
    <row r="1488" ht="26.25" customHeight="1">
      <c r="A1488" s="11"/>
      <c r="B1488" s="13"/>
      <c r="C1488" s="16" t="s">
        <v>772</v>
      </c>
      <c r="D1488" s="13"/>
      <c r="E1488" s="13"/>
      <c r="F1488" s="13"/>
      <c r="G1488" s="193">
        <v>0.0</v>
      </c>
      <c r="H1488" s="193">
        <v>0.0</v>
      </c>
      <c r="I1488" s="193" t="s">
        <v>772</v>
      </c>
      <c r="J1488" s="194" t="s">
        <v>772</v>
      </c>
    </row>
    <row r="1489" ht="26.25" customHeight="1">
      <c r="A1489" s="47"/>
      <c r="B1489" s="48"/>
      <c r="C1489" s="50" t="s">
        <v>772</v>
      </c>
      <c r="D1489" s="48"/>
      <c r="E1489" s="48"/>
      <c r="F1489" s="48"/>
      <c r="G1489" s="195">
        <v>0.0</v>
      </c>
      <c r="H1489" s="195">
        <v>0.0</v>
      </c>
      <c r="I1489" s="195" t="s">
        <v>772</v>
      </c>
      <c r="J1489" s="196" t="s">
        <v>772</v>
      </c>
    </row>
    <row r="1490" ht="26.25" customHeight="1">
      <c r="A1490" s="11"/>
      <c r="B1490" s="13"/>
      <c r="C1490" s="16" t="s">
        <v>772</v>
      </c>
      <c r="D1490" s="13"/>
      <c r="E1490" s="13"/>
      <c r="F1490" s="13"/>
      <c r="G1490" s="193">
        <v>0.0</v>
      </c>
      <c r="H1490" s="193">
        <v>0.0</v>
      </c>
      <c r="I1490" s="193" t="s">
        <v>772</v>
      </c>
      <c r="J1490" s="194" t="s">
        <v>772</v>
      </c>
    </row>
    <row r="1491" ht="26.25" customHeight="1">
      <c r="A1491" s="47"/>
      <c r="B1491" s="48"/>
      <c r="C1491" s="50" t="s">
        <v>772</v>
      </c>
      <c r="D1491" s="48"/>
      <c r="E1491" s="48"/>
      <c r="F1491" s="48"/>
      <c r="G1491" s="195">
        <v>0.0</v>
      </c>
      <c r="H1491" s="195">
        <v>0.0</v>
      </c>
      <c r="I1491" s="195" t="s">
        <v>772</v>
      </c>
      <c r="J1491" s="196" t="s">
        <v>772</v>
      </c>
    </row>
    <row r="1492" ht="26.25" customHeight="1">
      <c r="A1492" s="11"/>
      <c r="B1492" s="13"/>
      <c r="C1492" s="16" t="s">
        <v>772</v>
      </c>
      <c r="D1492" s="13"/>
      <c r="E1492" s="13"/>
      <c r="F1492" s="13"/>
      <c r="G1492" s="193">
        <v>0.0</v>
      </c>
      <c r="H1492" s="193">
        <v>0.0</v>
      </c>
      <c r="I1492" s="193" t="s">
        <v>772</v>
      </c>
      <c r="J1492" s="194" t="s">
        <v>772</v>
      </c>
    </row>
    <row r="1493" ht="26.25" customHeight="1">
      <c r="A1493" s="47"/>
      <c r="B1493" s="48"/>
      <c r="C1493" s="50" t="s">
        <v>772</v>
      </c>
      <c r="D1493" s="48"/>
      <c r="E1493" s="48"/>
      <c r="F1493" s="48"/>
      <c r="G1493" s="195">
        <v>0.0</v>
      </c>
      <c r="H1493" s="195">
        <v>0.0</v>
      </c>
      <c r="I1493" s="195" t="s">
        <v>772</v>
      </c>
      <c r="J1493" s="196" t="s">
        <v>772</v>
      </c>
    </row>
    <row r="1494" ht="26.25" customHeight="1">
      <c r="A1494" s="11"/>
      <c r="B1494" s="13"/>
      <c r="C1494" s="16" t="s">
        <v>772</v>
      </c>
      <c r="D1494" s="13"/>
      <c r="E1494" s="13"/>
      <c r="F1494" s="13"/>
      <c r="G1494" s="193">
        <v>0.0</v>
      </c>
      <c r="H1494" s="193">
        <v>0.0</v>
      </c>
      <c r="I1494" s="193" t="s">
        <v>772</v>
      </c>
      <c r="J1494" s="194" t="s">
        <v>772</v>
      </c>
    </row>
    <row r="1495" ht="26.25" customHeight="1">
      <c r="A1495" s="47"/>
      <c r="B1495" s="48"/>
      <c r="C1495" s="50" t="s">
        <v>772</v>
      </c>
      <c r="D1495" s="48"/>
      <c r="E1495" s="48"/>
      <c r="F1495" s="48"/>
      <c r="G1495" s="195">
        <v>0.0</v>
      </c>
      <c r="H1495" s="195">
        <v>0.0</v>
      </c>
      <c r="I1495" s="195" t="s">
        <v>772</v>
      </c>
      <c r="J1495" s="196" t="s">
        <v>772</v>
      </c>
    </row>
    <row r="1496" ht="26.25" customHeight="1">
      <c r="A1496" s="11"/>
      <c r="B1496" s="13"/>
      <c r="C1496" s="16" t="s">
        <v>772</v>
      </c>
      <c r="D1496" s="13"/>
      <c r="E1496" s="13"/>
      <c r="F1496" s="13"/>
      <c r="G1496" s="193">
        <v>0.0</v>
      </c>
      <c r="H1496" s="193">
        <v>0.0</v>
      </c>
      <c r="I1496" s="193" t="s">
        <v>772</v>
      </c>
      <c r="J1496" s="194" t="s">
        <v>772</v>
      </c>
    </row>
    <row r="1497" ht="26.25" customHeight="1">
      <c r="A1497" s="47"/>
      <c r="B1497" s="48"/>
      <c r="C1497" s="50" t="s">
        <v>772</v>
      </c>
      <c r="D1497" s="48"/>
      <c r="E1497" s="48"/>
      <c r="F1497" s="48"/>
      <c r="G1497" s="195">
        <v>0.0</v>
      </c>
      <c r="H1497" s="195">
        <v>0.0</v>
      </c>
      <c r="I1497" s="195" t="s">
        <v>772</v>
      </c>
      <c r="J1497" s="196" t="s">
        <v>772</v>
      </c>
    </row>
    <row r="1498" ht="26.25" customHeight="1">
      <c r="A1498" s="11"/>
      <c r="B1498" s="13"/>
      <c r="C1498" s="16" t="s">
        <v>772</v>
      </c>
      <c r="D1498" s="13"/>
      <c r="E1498" s="13"/>
      <c r="F1498" s="13"/>
      <c r="G1498" s="193">
        <v>0.0</v>
      </c>
      <c r="H1498" s="193">
        <v>0.0</v>
      </c>
      <c r="I1498" s="193" t="s">
        <v>772</v>
      </c>
      <c r="J1498" s="194" t="s">
        <v>772</v>
      </c>
    </row>
    <row r="1499" ht="26.25" customHeight="1">
      <c r="A1499" s="47"/>
      <c r="B1499" s="48"/>
      <c r="C1499" s="50" t="s">
        <v>772</v>
      </c>
      <c r="D1499" s="48"/>
      <c r="E1499" s="48"/>
      <c r="F1499" s="48"/>
      <c r="G1499" s="195">
        <v>0.0</v>
      </c>
      <c r="H1499" s="195">
        <v>0.0</v>
      </c>
      <c r="I1499" s="195" t="s">
        <v>772</v>
      </c>
      <c r="J1499" s="196" t="s">
        <v>772</v>
      </c>
    </row>
    <row r="1500" ht="26.25" customHeight="1">
      <c r="A1500" s="11"/>
      <c r="B1500" s="13"/>
      <c r="C1500" s="16" t="s">
        <v>772</v>
      </c>
      <c r="D1500" s="13"/>
      <c r="E1500" s="13"/>
      <c r="F1500" s="13"/>
      <c r="G1500" s="193">
        <v>0.0</v>
      </c>
      <c r="H1500" s="193">
        <v>0.0</v>
      </c>
      <c r="I1500" s="193" t="s">
        <v>772</v>
      </c>
      <c r="J1500" s="194" t="s">
        <v>772</v>
      </c>
    </row>
    <row r="1501" ht="26.25" customHeight="1">
      <c r="A1501" s="47"/>
      <c r="B1501" s="48"/>
      <c r="C1501" s="50" t="s">
        <v>772</v>
      </c>
      <c r="D1501" s="48"/>
      <c r="E1501" s="48"/>
      <c r="F1501" s="48"/>
      <c r="G1501" s="195">
        <v>0.0</v>
      </c>
      <c r="H1501" s="195">
        <v>0.0</v>
      </c>
      <c r="I1501" s="195" t="s">
        <v>772</v>
      </c>
      <c r="J1501" s="196" t="s">
        <v>772</v>
      </c>
    </row>
    <row r="1502" ht="26.25" customHeight="1">
      <c r="A1502" s="11"/>
      <c r="B1502" s="13"/>
      <c r="C1502" s="16" t="s">
        <v>772</v>
      </c>
      <c r="D1502" s="13"/>
      <c r="E1502" s="13"/>
      <c r="F1502" s="13"/>
      <c r="G1502" s="193">
        <v>0.0</v>
      </c>
      <c r="H1502" s="193">
        <v>0.0</v>
      </c>
      <c r="I1502" s="193" t="s">
        <v>772</v>
      </c>
      <c r="J1502" s="194" t="s">
        <v>772</v>
      </c>
    </row>
    <row r="1503" ht="26.25" customHeight="1">
      <c r="A1503" s="47"/>
      <c r="B1503" s="48"/>
      <c r="C1503" s="50" t="s">
        <v>772</v>
      </c>
      <c r="D1503" s="48"/>
      <c r="E1503" s="48"/>
      <c r="F1503" s="48"/>
      <c r="G1503" s="195">
        <v>0.0</v>
      </c>
      <c r="H1503" s="195">
        <v>0.0</v>
      </c>
      <c r="I1503" s="195" t="s">
        <v>772</v>
      </c>
      <c r="J1503" s="196" t="s">
        <v>772</v>
      </c>
    </row>
    <row r="1504" ht="26.25" customHeight="1">
      <c r="A1504" s="11"/>
      <c r="B1504" s="13"/>
      <c r="C1504" s="16" t="s">
        <v>772</v>
      </c>
      <c r="D1504" s="13"/>
      <c r="E1504" s="13"/>
      <c r="F1504" s="13"/>
      <c r="G1504" s="193">
        <v>0.0</v>
      </c>
      <c r="H1504" s="193">
        <v>0.0</v>
      </c>
      <c r="I1504" s="193" t="s">
        <v>772</v>
      </c>
      <c r="J1504" s="194" t="s">
        <v>772</v>
      </c>
    </row>
    <row r="1505" ht="26.25" customHeight="1">
      <c r="A1505" s="47"/>
      <c r="B1505" s="48"/>
      <c r="C1505" s="50" t="s">
        <v>772</v>
      </c>
      <c r="D1505" s="48"/>
      <c r="E1505" s="48"/>
      <c r="F1505" s="48"/>
      <c r="G1505" s="195">
        <v>0.0</v>
      </c>
      <c r="H1505" s="195">
        <v>0.0</v>
      </c>
      <c r="I1505" s="195" t="s">
        <v>772</v>
      </c>
      <c r="J1505" s="196" t="s">
        <v>772</v>
      </c>
    </row>
    <row r="1506" ht="26.25" customHeight="1">
      <c r="A1506" s="11"/>
      <c r="B1506" s="13"/>
      <c r="C1506" s="16" t="s">
        <v>772</v>
      </c>
      <c r="D1506" s="13"/>
      <c r="E1506" s="13"/>
      <c r="F1506" s="13"/>
      <c r="G1506" s="193">
        <v>0.0</v>
      </c>
      <c r="H1506" s="193">
        <v>0.0</v>
      </c>
      <c r="I1506" s="193" t="s">
        <v>772</v>
      </c>
      <c r="J1506" s="194" t="s">
        <v>772</v>
      </c>
    </row>
    <row r="1507" ht="26.25" customHeight="1">
      <c r="A1507" s="47"/>
      <c r="B1507" s="48"/>
      <c r="C1507" s="50" t="s">
        <v>772</v>
      </c>
      <c r="D1507" s="48"/>
      <c r="E1507" s="48"/>
      <c r="F1507" s="48"/>
      <c r="G1507" s="195">
        <v>0.0</v>
      </c>
      <c r="H1507" s="195">
        <v>0.0</v>
      </c>
      <c r="I1507" s="195" t="s">
        <v>772</v>
      </c>
      <c r="J1507" s="196" t="s">
        <v>772</v>
      </c>
    </row>
    <row r="1508" ht="26.25" customHeight="1">
      <c r="A1508" s="11"/>
      <c r="B1508" s="13"/>
      <c r="C1508" s="16" t="s">
        <v>772</v>
      </c>
      <c r="D1508" s="13"/>
      <c r="E1508" s="13"/>
      <c r="F1508" s="13"/>
      <c r="G1508" s="193">
        <v>0.0</v>
      </c>
      <c r="H1508" s="193">
        <v>0.0</v>
      </c>
      <c r="I1508" s="193" t="s">
        <v>772</v>
      </c>
      <c r="J1508" s="194" t="s">
        <v>772</v>
      </c>
    </row>
    <row r="1509" ht="26.25" customHeight="1">
      <c r="A1509" s="47"/>
      <c r="B1509" s="48"/>
      <c r="C1509" s="50" t="s">
        <v>772</v>
      </c>
      <c r="D1509" s="48"/>
      <c r="E1509" s="48"/>
      <c r="F1509" s="48"/>
      <c r="G1509" s="195">
        <v>0.0</v>
      </c>
      <c r="H1509" s="195">
        <v>0.0</v>
      </c>
      <c r="I1509" s="195" t="s">
        <v>772</v>
      </c>
      <c r="J1509" s="196" t="s">
        <v>772</v>
      </c>
    </row>
    <row r="1510" ht="26.25" customHeight="1">
      <c r="A1510" s="11"/>
      <c r="B1510" s="13"/>
      <c r="C1510" s="16" t="s">
        <v>772</v>
      </c>
      <c r="D1510" s="13"/>
      <c r="E1510" s="13"/>
      <c r="F1510" s="13"/>
      <c r="G1510" s="193">
        <v>0.0</v>
      </c>
      <c r="H1510" s="193">
        <v>0.0</v>
      </c>
      <c r="I1510" s="193" t="s">
        <v>772</v>
      </c>
      <c r="J1510" s="194" t="s">
        <v>772</v>
      </c>
    </row>
    <row r="1511" ht="26.25" customHeight="1">
      <c r="A1511" s="47"/>
      <c r="B1511" s="48"/>
      <c r="C1511" s="50" t="s">
        <v>772</v>
      </c>
      <c r="D1511" s="48"/>
      <c r="E1511" s="48"/>
      <c r="F1511" s="48"/>
      <c r="G1511" s="195">
        <v>0.0</v>
      </c>
      <c r="H1511" s="195">
        <v>0.0</v>
      </c>
      <c r="I1511" s="195" t="s">
        <v>772</v>
      </c>
      <c r="J1511" s="196" t="s">
        <v>772</v>
      </c>
    </row>
    <row r="1512" ht="26.25" customHeight="1">
      <c r="A1512" s="11"/>
      <c r="B1512" s="13"/>
      <c r="C1512" s="16" t="s">
        <v>772</v>
      </c>
      <c r="D1512" s="13"/>
      <c r="E1512" s="13"/>
      <c r="F1512" s="13"/>
      <c r="G1512" s="193">
        <v>0.0</v>
      </c>
      <c r="H1512" s="193">
        <v>0.0</v>
      </c>
      <c r="I1512" s="193" t="s">
        <v>772</v>
      </c>
      <c r="J1512" s="194" t="s">
        <v>772</v>
      </c>
    </row>
    <row r="1513" ht="26.25" customHeight="1">
      <c r="A1513" s="47"/>
      <c r="B1513" s="48"/>
      <c r="C1513" s="50" t="s">
        <v>772</v>
      </c>
      <c r="D1513" s="48"/>
      <c r="E1513" s="48"/>
      <c r="F1513" s="48"/>
      <c r="G1513" s="195">
        <v>0.0</v>
      </c>
      <c r="H1513" s="195">
        <v>0.0</v>
      </c>
      <c r="I1513" s="195" t="s">
        <v>772</v>
      </c>
      <c r="J1513" s="196" t="s">
        <v>772</v>
      </c>
    </row>
    <row r="1514" ht="26.25" customHeight="1">
      <c r="A1514" s="11"/>
      <c r="B1514" s="13"/>
      <c r="C1514" s="16" t="s">
        <v>772</v>
      </c>
      <c r="D1514" s="13"/>
      <c r="E1514" s="13"/>
      <c r="F1514" s="13"/>
      <c r="G1514" s="193">
        <v>0.0</v>
      </c>
      <c r="H1514" s="193">
        <v>0.0</v>
      </c>
      <c r="I1514" s="193" t="s">
        <v>772</v>
      </c>
      <c r="J1514" s="194" t="s">
        <v>772</v>
      </c>
    </row>
    <row r="1515" ht="26.25" customHeight="1">
      <c r="A1515" s="47"/>
      <c r="B1515" s="48"/>
      <c r="C1515" s="50" t="s">
        <v>772</v>
      </c>
      <c r="D1515" s="48"/>
      <c r="E1515" s="48"/>
      <c r="F1515" s="48"/>
      <c r="G1515" s="195">
        <v>0.0</v>
      </c>
      <c r="H1515" s="195">
        <v>0.0</v>
      </c>
      <c r="I1515" s="195" t="s">
        <v>772</v>
      </c>
      <c r="J1515" s="196" t="s">
        <v>772</v>
      </c>
    </row>
    <row r="1516" ht="26.25" customHeight="1">
      <c r="A1516" s="11"/>
      <c r="B1516" s="13"/>
      <c r="C1516" s="16" t="s">
        <v>772</v>
      </c>
      <c r="D1516" s="13"/>
      <c r="E1516" s="13"/>
      <c r="F1516" s="13"/>
      <c r="G1516" s="193">
        <v>0.0</v>
      </c>
      <c r="H1516" s="193">
        <v>0.0</v>
      </c>
      <c r="I1516" s="193" t="s">
        <v>772</v>
      </c>
      <c r="J1516" s="194" t="s">
        <v>772</v>
      </c>
    </row>
    <row r="1517" ht="26.25" customHeight="1">
      <c r="A1517" s="47"/>
      <c r="B1517" s="48"/>
      <c r="C1517" s="50" t="s">
        <v>772</v>
      </c>
      <c r="D1517" s="48"/>
      <c r="E1517" s="48"/>
      <c r="F1517" s="48"/>
      <c r="G1517" s="195">
        <v>0.0</v>
      </c>
      <c r="H1517" s="195">
        <v>0.0</v>
      </c>
      <c r="I1517" s="195" t="s">
        <v>772</v>
      </c>
      <c r="J1517" s="196" t="s">
        <v>772</v>
      </c>
    </row>
    <row r="1518" ht="26.25" customHeight="1">
      <c r="A1518" s="11"/>
      <c r="B1518" s="13"/>
      <c r="C1518" s="16" t="s">
        <v>772</v>
      </c>
      <c r="D1518" s="13"/>
      <c r="E1518" s="13"/>
      <c r="F1518" s="13"/>
      <c r="G1518" s="193">
        <v>0.0</v>
      </c>
      <c r="H1518" s="193">
        <v>0.0</v>
      </c>
      <c r="I1518" s="193" t="s">
        <v>772</v>
      </c>
      <c r="J1518" s="194" t="s">
        <v>772</v>
      </c>
    </row>
    <row r="1519" ht="26.25" customHeight="1">
      <c r="A1519" s="47"/>
      <c r="B1519" s="48"/>
      <c r="C1519" s="50" t="s">
        <v>772</v>
      </c>
      <c r="D1519" s="48"/>
      <c r="E1519" s="48"/>
      <c r="F1519" s="48"/>
      <c r="G1519" s="195">
        <v>0.0</v>
      </c>
      <c r="H1519" s="195">
        <v>0.0</v>
      </c>
      <c r="I1519" s="195" t="s">
        <v>772</v>
      </c>
      <c r="J1519" s="196" t="s">
        <v>772</v>
      </c>
    </row>
    <row r="1520" ht="26.25" customHeight="1">
      <c r="A1520" s="11"/>
      <c r="B1520" s="13"/>
      <c r="C1520" s="16" t="s">
        <v>772</v>
      </c>
      <c r="D1520" s="13"/>
      <c r="E1520" s="13"/>
      <c r="F1520" s="13"/>
      <c r="G1520" s="193">
        <v>0.0</v>
      </c>
      <c r="H1520" s="193">
        <v>0.0</v>
      </c>
      <c r="I1520" s="193" t="s">
        <v>772</v>
      </c>
      <c r="J1520" s="194" t="s">
        <v>772</v>
      </c>
    </row>
    <row r="1521" ht="26.25" customHeight="1">
      <c r="A1521" s="47"/>
      <c r="B1521" s="48"/>
      <c r="C1521" s="50" t="s">
        <v>772</v>
      </c>
      <c r="D1521" s="48"/>
      <c r="E1521" s="48"/>
      <c r="F1521" s="48"/>
      <c r="G1521" s="195">
        <v>0.0</v>
      </c>
      <c r="H1521" s="195">
        <v>0.0</v>
      </c>
      <c r="I1521" s="195" t="s">
        <v>772</v>
      </c>
      <c r="J1521" s="196" t="s">
        <v>772</v>
      </c>
    </row>
    <row r="1522" ht="26.25" customHeight="1">
      <c r="A1522" s="11"/>
      <c r="B1522" s="13"/>
      <c r="C1522" s="16" t="s">
        <v>772</v>
      </c>
      <c r="D1522" s="13"/>
      <c r="E1522" s="13"/>
      <c r="F1522" s="13"/>
      <c r="G1522" s="193">
        <v>0.0</v>
      </c>
      <c r="H1522" s="193">
        <v>0.0</v>
      </c>
      <c r="I1522" s="193" t="s">
        <v>772</v>
      </c>
      <c r="J1522" s="194" t="s">
        <v>772</v>
      </c>
    </row>
    <row r="1523" ht="26.25" customHeight="1">
      <c r="A1523" s="47"/>
      <c r="B1523" s="48"/>
      <c r="C1523" s="50" t="s">
        <v>772</v>
      </c>
      <c r="D1523" s="48"/>
      <c r="E1523" s="48"/>
      <c r="F1523" s="48"/>
      <c r="G1523" s="195">
        <v>0.0</v>
      </c>
      <c r="H1523" s="195">
        <v>0.0</v>
      </c>
      <c r="I1523" s="195" t="s">
        <v>772</v>
      </c>
      <c r="J1523" s="196" t="s">
        <v>772</v>
      </c>
    </row>
    <row r="1524" ht="26.25" customHeight="1">
      <c r="A1524" s="11"/>
      <c r="B1524" s="13"/>
      <c r="C1524" s="16" t="s">
        <v>772</v>
      </c>
      <c r="D1524" s="13"/>
      <c r="E1524" s="13"/>
      <c r="F1524" s="13"/>
      <c r="G1524" s="193">
        <v>0.0</v>
      </c>
      <c r="H1524" s="193">
        <v>0.0</v>
      </c>
      <c r="I1524" s="193" t="s">
        <v>772</v>
      </c>
      <c r="J1524" s="194" t="s">
        <v>772</v>
      </c>
    </row>
    <row r="1525" ht="26.25" customHeight="1">
      <c r="A1525" s="47"/>
      <c r="B1525" s="48"/>
      <c r="C1525" s="50" t="s">
        <v>772</v>
      </c>
      <c r="D1525" s="48"/>
      <c r="E1525" s="48"/>
      <c r="F1525" s="48"/>
      <c r="G1525" s="195">
        <v>0.0</v>
      </c>
      <c r="H1525" s="195">
        <v>0.0</v>
      </c>
      <c r="I1525" s="195" t="s">
        <v>772</v>
      </c>
      <c r="J1525" s="196" t="s">
        <v>772</v>
      </c>
    </row>
    <row r="1526" ht="26.25" customHeight="1">
      <c r="A1526" s="11"/>
      <c r="B1526" s="13"/>
      <c r="C1526" s="16" t="s">
        <v>772</v>
      </c>
      <c r="D1526" s="13"/>
      <c r="E1526" s="13"/>
      <c r="F1526" s="13"/>
      <c r="G1526" s="193">
        <v>0.0</v>
      </c>
      <c r="H1526" s="193">
        <v>0.0</v>
      </c>
      <c r="I1526" s="193" t="s">
        <v>772</v>
      </c>
      <c r="J1526" s="194" t="s">
        <v>772</v>
      </c>
    </row>
    <row r="1527" ht="26.25" customHeight="1">
      <c r="A1527" s="47"/>
      <c r="B1527" s="48"/>
      <c r="C1527" s="50" t="s">
        <v>772</v>
      </c>
      <c r="D1527" s="48"/>
      <c r="E1527" s="48"/>
      <c r="F1527" s="48"/>
      <c r="G1527" s="195">
        <v>0.0</v>
      </c>
      <c r="H1527" s="195">
        <v>0.0</v>
      </c>
      <c r="I1527" s="195" t="s">
        <v>772</v>
      </c>
      <c r="J1527" s="196" t="s">
        <v>772</v>
      </c>
    </row>
    <row r="1528" ht="26.25" customHeight="1">
      <c r="A1528" s="11"/>
      <c r="B1528" s="13"/>
      <c r="C1528" s="16" t="s">
        <v>772</v>
      </c>
      <c r="D1528" s="13"/>
      <c r="E1528" s="13"/>
      <c r="F1528" s="13"/>
      <c r="G1528" s="193">
        <v>0.0</v>
      </c>
      <c r="H1528" s="193">
        <v>0.0</v>
      </c>
      <c r="I1528" s="193" t="s">
        <v>772</v>
      </c>
      <c r="J1528" s="194" t="s">
        <v>772</v>
      </c>
    </row>
    <row r="1529" ht="26.25" customHeight="1">
      <c r="A1529" s="47"/>
      <c r="B1529" s="48"/>
      <c r="C1529" s="50" t="s">
        <v>772</v>
      </c>
      <c r="D1529" s="48"/>
      <c r="E1529" s="48"/>
      <c r="F1529" s="48"/>
      <c r="G1529" s="195">
        <v>0.0</v>
      </c>
      <c r="H1529" s="195">
        <v>0.0</v>
      </c>
      <c r="I1529" s="195" t="s">
        <v>772</v>
      </c>
      <c r="J1529" s="196" t="s">
        <v>772</v>
      </c>
    </row>
    <row r="1530" ht="26.25" customHeight="1">
      <c r="A1530" s="11"/>
      <c r="B1530" s="13"/>
      <c r="C1530" s="16" t="s">
        <v>772</v>
      </c>
      <c r="D1530" s="13"/>
      <c r="E1530" s="13"/>
      <c r="F1530" s="13"/>
      <c r="G1530" s="193">
        <v>0.0</v>
      </c>
      <c r="H1530" s="193">
        <v>0.0</v>
      </c>
      <c r="I1530" s="193" t="s">
        <v>772</v>
      </c>
      <c r="J1530" s="194" t="s">
        <v>772</v>
      </c>
    </row>
    <row r="1531" ht="26.25" customHeight="1">
      <c r="A1531" s="47"/>
      <c r="B1531" s="48"/>
      <c r="C1531" s="50" t="s">
        <v>772</v>
      </c>
      <c r="D1531" s="48"/>
      <c r="E1531" s="48"/>
      <c r="F1531" s="48"/>
      <c r="G1531" s="195">
        <v>0.0</v>
      </c>
      <c r="H1531" s="195">
        <v>0.0</v>
      </c>
      <c r="I1531" s="195" t="s">
        <v>772</v>
      </c>
      <c r="J1531" s="196" t="s">
        <v>772</v>
      </c>
    </row>
    <row r="1532" ht="26.25" customHeight="1">
      <c r="A1532" s="11"/>
      <c r="B1532" s="13"/>
      <c r="C1532" s="16" t="s">
        <v>772</v>
      </c>
      <c r="D1532" s="13"/>
      <c r="E1532" s="13"/>
      <c r="F1532" s="13"/>
      <c r="G1532" s="193">
        <v>0.0</v>
      </c>
      <c r="H1532" s="193">
        <v>0.0</v>
      </c>
      <c r="I1532" s="193" t="s">
        <v>772</v>
      </c>
      <c r="J1532" s="194" t="s">
        <v>772</v>
      </c>
    </row>
    <row r="1533" ht="26.25" customHeight="1">
      <c r="A1533" s="47"/>
      <c r="B1533" s="48"/>
      <c r="C1533" s="50" t="s">
        <v>772</v>
      </c>
      <c r="D1533" s="48"/>
      <c r="E1533" s="48"/>
      <c r="F1533" s="48"/>
      <c r="G1533" s="195">
        <v>0.0</v>
      </c>
      <c r="H1533" s="195">
        <v>0.0</v>
      </c>
      <c r="I1533" s="195" t="s">
        <v>772</v>
      </c>
      <c r="J1533" s="196" t="s">
        <v>772</v>
      </c>
    </row>
    <row r="1534" ht="26.25" customHeight="1">
      <c r="A1534" s="11"/>
      <c r="B1534" s="13"/>
      <c r="C1534" s="16" t="s">
        <v>772</v>
      </c>
      <c r="D1534" s="13"/>
      <c r="E1534" s="13"/>
      <c r="F1534" s="13"/>
      <c r="G1534" s="193">
        <v>0.0</v>
      </c>
      <c r="H1534" s="193">
        <v>0.0</v>
      </c>
      <c r="I1534" s="193" t="s">
        <v>772</v>
      </c>
      <c r="J1534" s="194" t="s">
        <v>772</v>
      </c>
    </row>
    <row r="1535" ht="26.25" customHeight="1">
      <c r="A1535" s="47"/>
      <c r="B1535" s="48"/>
      <c r="C1535" s="50" t="s">
        <v>772</v>
      </c>
      <c r="D1535" s="48"/>
      <c r="E1535" s="48"/>
      <c r="F1535" s="48"/>
      <c r="G1535" s="195">
        <v>0.0</v>
      </c>
      <c r="H1535" s="195">
        <v>0.0</v>
      </c>
      <c r="I1535" s="195" t="s">
        <v>772</v>
      </c>
      <c r="J1535" s="196" t="s">
        <v>772</v>
      </c>
    </row>
    <row r="1536" ht="26.25" customHeight="1">
      <c r="A1536" s="11"/>
      <c r="B1536" s="13"/>
      <c r="C1536" s="16" t="s">
        <v>772</v>
      </c>
      <c r="D1536" s="13"/>
      <c r="E1536" s="13"/>
      <c r="F1536" s="13"/>
      <c r="G1536" s="193">
        <v>0.0</v>
      </c>
      <c r="H1536" s="193">
        <v>0.0</v>
      </c>
      <c r="I1536" s="193" t="s">
        <v>772</v>
      </c>
      <c r="J1536" s="194" t="s">
        <v>772</v>
      </c>
    </row>
    <row r="1537" ht="26.25" customHeight="1">
      <c r="A1537" s="47"/>
      <c r="B1537" s="48"/>
      <c r="C1537" s="50" t="s">
        <v>772</v>
      </c>
      <c r="D1537" s="48"/>
      <c r="E1537" s="48"/>
      <c r="F1537" s="48"/>
      <c r="G1537" s="195">
        <v>0.0</v>
      </c>
      <c r="H1537" s="195">
        <v>0.0</v>
      </c>
      <c r="I1537" s="195" t="s">
        <v>772</v>
      </c>
      <c r="J1537" s="196" t="s">
        <v>772</v>
      </c>
    </row>
    <row r="1538" ht="26.25" customHeight="1">
      <c r="A1538" s="11"/>
      <c r="B1538" s="13"/>
      <c r="C1538" s="16" t="s">
        <v>772</v>
      </c>
      <c r="D1538" s="13"/>
      <c r="E1538" s="13"/>
      <c r="F1538" s="13"/>
      <c r="G1538" s="193">
        <v>0.0</v>
      </c>
      <c r="H1538" s="193">
        <v>0.0</v>
      </c>
      <c r="I1538" s="193" t="s">
        <v>772</v>
      </c>
      <c r="J1538" s="194" t="s">
        <v>772</v>
      </c>
    </row>
    <row r="1539" ht="26.25" customHeight="1">
      <c r="A1539" s="47"/>
      <c r="B1539" s="48"/>
      <c r="C1539" s="50" t="s">
        <v>772</v>
      </c>
      <c r="D1539" s="48"/>
      <c r="E1539" s="48"/>
      <c r="F1539" s="48"/>
      <c r="G1539" s="195">
        <v>0.0</v>
      </c>
      <c r="H1539" s="195">
        <v>0.0</v>
      </c>
      <c r="I1539" s="195" t="s">
        <v>772</v>
      </c>
      <c r="J1539" s="196" t="s">
        <v>772</v>
      </c>
    </row>
    <row r="1540" ht="26.25" customHeight="1">
      <c r="A1540" s="11"/>
      <c r="B1540" s="13"/>
      <c r="C1540" s="16" t="s">
        <v>772</v>
      </c>
      <c r="D1540" s="13"/>
      <c r="E1540" s="13"/>
      <c r="F1540" s="13"/>
      <c r="G1540" s="193">
        <v>0.0</v>
      </c>
      <c r="H1540" s="193">
        <v>0.0</v>
      </c>
      <c r="I1540" s="193" t="s">
        <v>772</v>
      </c>
      <c r="J1540" s="194" t="s">
        <v>772</v>
      </c>
    </row>
    <row r="1541" ht="26.25" customHeight="1">
      <c r="A1541" s="47"/>
      <c r="B1541" s="48"/>
      <c r="C1541" s="50" t="s">
        <v>772</v>
      </c>
      <c r="D1541" s="48"/>
      <c r="E1541" s="48"/>
      <c r="F1541" s="48"/>
      <c r="G1541" s="195">
        <v>0.0</v>
      </c>
      <c r="H1541" s="195">
        <v>0.0</v>
      </c>
      <c r="I1541" s="195" t="s">
        <v>772</v>
      </c>
      <c r="J1541" s="196" t="s">
        <v>772</v>
      </c>
    </row>
    <row r="1542" ht="26.25" customHeight="1">
      <c r="A1542" s="11"/>
      <c r="B1542" s="13"/>
      <c r="C1542" s="16" t="s">
        <v>772</v>
      </c>
      <c r="D1542" s="13"/>
      <c r="E1542" s="13"/>
      <c r="F1542" s="13"/>
      <c r="G1542" s="193">
        <v>0.0</v>
      </c>
      <c r="H1542" s="193">
        <v>0.0</v>
      </c>
      <c r="I1542" s="193" t="s">
        <v>772</v>
      </c>
      <c r="J1542" s="194" t="s">
        <v>772</v>
      </c>
    </row>
    <row r="1543" ht="26.25" customHeight="1">
      <c r="A1543" s="47"/>
      <c r="B1543" s="48"/>
      <c r="C1543" s="50" t="s">
        <v>772</v>
      </c>
      <c r="D1543" s="48"/>
      <c r="E1543" s="48"/>
      <c r="F1543" s="48"/>
      <c r="G1543" s="195">
        <v>0.0</v>
      </c>
      <c r="H1543" s="195">
        <v>0.0</v>
      </c>
      <c r="I1543" s="195" t="s">
        <v>772</v>
      </c>
      <c r="J1543" s="196" t="s">
        <v>772</v>
      </c>
    </row>
    <row r="1544" ht="26.25" customHeight="1">
      <c r="A1544" s="11"/>
      <c r="B1544" s="13"/>
      <c r="C1544" s="16" t="s">
        <v>772</v>
      </c>
      <c r="D1544" s="13"/>
      <c r="E1544" s="13"/>
      <c r="F1544" s="13"/>
      <c r="G1544" s="193">
        <v>0.0</v>
      </c>
      <c r="H1544" s="193">
        <v>0.0</v>
      </c>
      <c r="I1544" s="193" t="s">
        <v>772</v>
      </c>
      <c r="J1544" s="194" t="s">
        <v>772</v>
      </c>
    </row>
    <row r="1545" ht="26.25" customHeight="1">
      <c r="A1545" s="47"/>
      <c r="B1545" s="48"/>
      <c r="C1545" s="50" t="s">
        <v>772</v>
      </c>
      <c r="D1545" s="48"/>
      <c r="E1545" s="48"/>
      <c r="F1545" s="48"/>
      <c r="G1545" s="195">
        <v>0.0</v>
      </c>
      <c r="H1545" s="195">
        <v>0.0</v>
      </c>
      <c r="I1545" s="195" t="s">
        <v>772</v>
      </c>
      <c r="J1545" s="196" t="s">
        <v>772</v>
      </c>
    </row>
    <row r="1546" ht="26.25" customHeight="1">
      <c r="A1546" s="11"/>
      <c r="B1546" s="13"/>
      <c r="C1546" s="16" t="s">
        <v>772</v>
      </c>
      <c r="D1546" s="13"/>
      <c r="E1546" s="13"/>
      <c r="F1546" s="13"/>
      <c r="G1546" s="193">
        <v>0.0</v>
      </c>
      <c r="H1546" s="193">
        <v>0.0</v>
      </c>
      <c r="I1546" s="193" t="s">
        <v>772</v>
      </c>
      <c r="J1546" s="194" t="s">
        <v>772</v>
      </c>
    </row>
    <row r="1547" ht="26.25" customHeight="1">
      <c r="A1547" s="47"/>
      <c r="B1547" s="48"/>
      <c r="C1547" s="50" t="s">
        <v>772</v>
      </c>
      <c r="D1547" s="48"/>
      <c r="E1547" s="48"/>
      <c r="F1547" s="48"/>
      <c r="G1547" s="195">
        <v>0.0</v>
      </c>
      <c r="H1547" s="195">
        <v>0.0</v>
      </c>
      <c r="I1547" s="195" t="s">
        <v>772</v>
      </c>
      <c r="J1547" s="196" t="s">
        <v>772</v>
      </c>
    </row>
    <row r="1548" ht="26.25" customHeight="1">
      <c r="A1548" s="11"/>
      <c r="B1548" s="13"/>
      <c r="C1548" s="16" t="s">
        <v>772</v>
      </c>
      <c r="D1548" s="13"/>
      <c r="E1548" s="13"/>
      <c r="F1548" s="13"/>
      <c r="G1548" s="193">
        <v>0.0</v>
      </c>
      <c r="H1548" s="193">
        <v>0.0</v>
      </c>
      <c r="I1548" s="193" t="s">
        <v>772</v>
      </c>
      <c r="J1548" s="194" t="s">
        <v>772</v>
      </c>
    </row>
    <row r="1549" ht="26.25" customHeight="1">
      <c r="A1549" s="47"/>
      <c r="B1549" s="48"/>
      <c r="C1549" s="50" t="s">
        <v>772</v>
      </c>
      <c r="D1549" s="48"/>
      <c r="E1549" s="48"/>
      <c r="F1549" s="48"/>
      <c r="G1549" s="195">
        <v>0.0</v>
      </c>
      <c r="H1549" s="195">
        <v>0.0</v>
      </c>
      <c r="I1549" s="195" t="s">
        <v>772</v>
      </c>
      <c r="J1549" s="196" t="s">
        <v>772</v>
      </c>
    </row>
    <row r="1550" ht="26.25" customHeight="1">
      <c r="A1550" s="11"/>
      <c r="B1550" s="13"/>
      <c r="C1550" s="16" t="s">
        <v>772</v>
      </c>
      <c r="D1550" s="13"/>
      <c r="E1550" s="13"/>
      <c r="F1550" s="13"/>
      <c r="G1550" s="193">
        <v>0.0</v>
      </c>
      <c r="H1550" s="193">
        <v>0.0</v>
      </c>
      <c r="I1550" s="193" t="s">
        <v>772</v>
      </c>
      <c r="J1550" s="194" t="s">
        <v>772</v>
      </c>
    </row>
    <row r="1551" ht="26.25" customHeight="1">
      <c r="A1551" s="47"/>
      <c r="B1551" s="48"/>
      <c r="C1551" s="50" t="s">
        <v>772</v>
      </c>
      <c r="D1551" s="48"/>
      <c r="E1551" s="48"/>
      <c r="F1551" s="48"/>
      <c r="G1551" s="195">
        <v>0.0</v>
      </c>
      <c r="H1551" s="195">
        <v>0.0</v>
      </c>
      <c r="I1551" s="195" t="s">
        <v>772</v>
      </c>
      <c r="J1551" s="196" t="s">
        <v>772</v>
      </c>
    </row>
    <row r="1552" ht="26.25" customHeight="1">
      <c r="A1552" s="11"/>
      <c r="B1552" s="13"/>
      <c r="C1552" s="16" t="s">
        <v>772</v>
      </c>
      <c r="D1552" s="13"/>
      <c r="E1552" s="13"/>
      <c r="F1552" s="13"/>
      <c r="G1552" s="193">
        <v>0.0</v>
      </c>
      <c r="H1552" s="193">
        <v>0.0</v>
      </c>
      <c r="I1552" s="193" t="s">
        <v>772</v>
      </c>
      <c r="J1552" s="194" t="s">
        <v>772</v>
      </c>
    </row>
    <row r="1553" ht="26.25" customHeight="1">
      <c r="A1553" s="47"/>
      <c r="B1553" s="48"/>
      <c r="C1553" s="50" t="s">
        <v>772</v>
      </c>
      <c r="D1553" s="48"/>
      <c r="E1553" s="48"/>
      <c r="F1553" s="48"/>
      <c r="G1553" s="195">
        <v>0.0</v>
      </c>
      <c r="H1553" s="195">
        <v>0.0</v>
      </c>
      <c r="I1553" s="195" t="s">
        <v>772</v>
      </c>
      <c r="J1553" s="196" t="s">
        <v>772</v>
      </c>
    </row>
    <row r="1554" ht="26.25" customHeight="1">
      <c r="A1554" s="11"/>
      <c r="B1554" s="13"/>
      <c r="C1554" s="16" t="s">
        <v>772</v>
      </c>
      <c r="D1554" s="13"/>
      <c r="E1554" s="13"/>
      <c r="F1554" s="13"/>
      <c r="G1554" s="193">
        <v>0.0</v>
      </c>
      <c r="H1554" s="193">
        <v>0.0</v>
      </c>
      <c r="I1554" s="193" t="s">
        <v>772</v>
      </c>
      <c r="J1554" s="194" t="s">
        <v>772</v>
      </c>
    </row>
    <row r="1555" ht="26.25" customHeight="1">
      <c r="A1555" s="47"/>
      <c r="B1555" s="48"/>
      <c r="C1555" s="50" t="s">
        <v>772</v>
      </c>
      <c r="D1555" s="48"/>
      <c r="E1555" s="48"/>
      <c r="F1555" s="48"/>
      <c r="G1555" s="195">
        <v>0.0</v>
      </c>
      <c r="H1555" s="195">
        <v>0.0</v>
      </c>
      <c r="I1555" s="195" t="s">
        <v>772</v>
      </c>
      <c r="J1555" s="196" t="s">
        <v>772</v>
      </c>
    </row>
    <row r="1556" ht="26.25" customHeight="1">
      <c r="A1556" s="11"/>
      <c r="B1556" s="13"/>
      <c r="C1556" s="16" t="s">
        <v>772</v>
      </c>
      <c r="D1556" s="13"/>
      <c r="E1556" s="13"/>
      <c r="F1556" s="13"/>
      <c r="G1556" s="193">
        <v>0.0</v>
      </c>
      <c r="H1556" s="193">
        <v>0.0</v>
      </c>
      <c r="I1556" s="193" t="s">
        <v>772</v>
      </c>
      <c r="J1556" s="194" t="s">
        <v>772</v>
      </c>
    </row>
    <row r="1557" ht="26.25" customHeight="1">
      <c r="A1557" s="47"/>
      <c r="B1557" s="48"/>
      <c r="C1557" s="50" t="s">
        <v>772</v>
      </c>
      <c r="D1557" s="48"/>
      <c r="E1557" s="48"/>
      <c r="F1557" s="48"/>
      <c r="G1557" s="195">
        <v>0.0</v>
      </c>
      <c r="H1557" s="195">
        <v>0.0</v>
      </c>
      <c r="I1557" s="195" t="s">
        <v>772</v>
      </c>
      <c r="J1557" s="196" t="s">
        <v>772</v>
      </c>
    </row>
    <row r="1558" ht="26.25" customHeight="1">
      <c r="A1558" s="11"/>
      <c r="B1558" s="13"/>
      <c r="C1558" s="16" t="s">
        <v>772</v>
      </c>
      <c r="D1558" s="13"/>
      <c r="E1558" s="13"/>
      <c r="F1558" s="13"/>
      <c r="G1558" s="193">
        <v>0.0</v>
      </c>
      <c r="H1558" s="193">
        <v>0.0</v>
      </c>
      <c r="I1558" s="193" t="s">
        <v>772</v>
      </c>
      <c r="J1558" s="194" t="s">
        <v>772</v>
      </c>
    </row>
    <row r="1559" ht="26.25" customHeight="1">
      <c r="A1559" s="47"/>
      <c r="B1559" s="48"/>
      <c r="C1559" s="50" t="s">
        <v>772</v>
      </c>
      <c r="D1559" s="48"/>
      <c r="E1559" s="48"/>
      <c r="F1559" s="48"/>
      <c r="G1559" s="195">
        <v>0.0</v>
      </c>
      <c r="H1559" s="195">
        <v>0.0</v>
      </c>
      <c r="I1559" s="195" t="s">
        <v>772</v>
      </c>
      <c r="J1559" s="196" t="s">
        <v>772</v>
      </c>
    </row>
    <row r="1560" ht="26.25" customHeight="1">
      <c r="A1560" s="11"/>
      <c r="B1560" s="13"/>
      <c r="C1560" s="16" t="s">
        <v>772</v>
      </c>
      <c r="D1560" s="13"/>
      <c r="E1560" s="13"/>
      <c r="F1560" s="13"/>
      <c r="G1560" s="193">
        <v>0.0</v>
      </c>
      <c r="H1560" s="193">
        <v>0.0</v>
      </c>
      <c r="I1560" s="193" t="s">
        <v>772</v>
      </c>
      <c r="J1560" s="194" t="s">
        <v>772</v>
      </c>
    </row>
    <row r="1561" ht="26.25" customHeight="1">
      <c r="A1561" s="47"/>
      <c r="B1561" s="48"/>
      <c r="C1561" s="50" t="s">
        <v>772</v>
      </c>
      <c r="D1561" s="48"/>
      <c r="E1561" s="48"/>
      <c r="F1561" s="48"/>
      <c r="G1561" s="195">
        <v>0.0</v>
      </c>
      <c r="H1561" s="195">
        <v>0.0</v>
      </c>
      <c r="I1561" s="195" t="s">
        <v>772</v>
      </c>
      <c r="J1561" s="196" t="s">
        <v>772</v>
      </c>
    </row>
    <row r="1562" ht="26.25" customHeight="1">
      <c r="A1562" s="11"/>
      <c r="B1562" s="13"/>
      <c r="C1562" s="16" t="s">
        <v>772</v>
      </c>
      <c r="D1562" s="13"/>
      <c r="E1562" s="13"/>
      <c r="F1562" s="13"/>
      <c r="G1562" s="193">
        <v>0.0</v>
      </c>
      <c r="H1562" s="193">
        <v>0.0</v>
      </c>
      <c r="I1562" s="193" t="s">
        <v>772</v>
      </c>
      <c r="J1562" s="194" t="s">
        <v>772</v>
      </c>
    </row>
    <row r="1563" ht="26.25" customHeight="1">
      <c r="A1563" s="47"/>
      <c r="B1563" s="48"/>
      <c r="C1563" s="50" t="s">
        <v>772</v>
      </c>
      <c r="D1563" s="48"/>
      <c r="E1563" s="48"/>
      <c r="F1563" s="48"/>
      <c r="G1563" s="195">
        <v>0.0</v>
      </c>
      <c r="H1563" s="195">
        <v>0.0</v>
      </c>
      <c r="I1563" s="195" t="s">
        <v>772</v>
      </c>
      <c r="J1563" s="196" t="s">
        <v>772</v>
      </c>
    </row>
    <row r="1564" ht="26.25" customHeight="1">
      <c r="A1564" s="11"/>
      <c r="B1564" s="13"/>
      <c r="C1564" s="16" t="s">
        <v>772</v>
      </c>
      <c r="D1564" s="13"/>
      <c r="E1564" s="13"/>
      <c r="F1564" s="13"/>
      <c r="G1564" s="193">
        <v>0.0</v>
      </c>
      <c r="H1564" s="193">
        <v>0.0</v>
      </c>
      <c r="I1564" s="193" t="s">
        <v>772</v>
      </c>
      <c r="J1564" s="194" t="s">
        <v>772</v>
      </c>
    </row>
    <row r="1565" ht="26.25" customHeight="1">
      <c r="A1565" s="47"/>
      <c r="B1565" s="48"/>
      <c r="C1565" s="50" t="s">
        <v>772</v>
      </c>
      <c r="D1565" s="48"/>
      <c r="E1565" s="48"/>
      <c r="F1565" s="48"/>
      <c r="G1565" s="195">
        <v>0.0</v>
      </c>
      <c r="H1565" s="195">
        <v>0.0</v>
      </c>
      <c r="I1565" s="195" t="s">
        <v>772</v>
      </c>
      <c r="J1565" s="196" t="s">
        <v>772</v>
      </c>
    </row>
    <row r="1566" ht="26.25" customHeight="1">
      <c r="A1566" s="11"/>
      <c r="B1566" s="13"/>
      <c r="C1566" s="16" t="s">
        <v>772</v>
      </c>
      <c r="D1566" s="13"/>
      <c r="E1566" s="13"/>
      <c r="F1566" s="13"/>
      <c r="G1566" s="193">
        <v>0.0</v>
      </c>
      <c r="H1566" s="193">
        <v>0.0</v>
      </c>
      <c r="I1566" s="193" t="s">
        <v>772</v>
      </c>
      <c r="J1566" s="194" t="s">
        <v>772</v>
      </c>
    </row>
    <row r="1567" ht="26.25" customHeight="1">
      <c r="A1567" s="47"/>
      <c r="B1567" s="48"/>
      <c r="C1567" s="50" t="s">
        <v>772</v>
      </c>
      <c r="D1567" s="48"/>
      <c r="E1567" s="48"/>
      <c r="F1567" s="48"/>
      <c r="G1567" s="195">
        <v>0.0</v>
      </c>
      <c r="H1567" s="195">
        <v>0.0</v>
      </c>
      <c r="I1567" s="195" t="s">
        <v>772</v>
      </c>
      <c r="J1567" s="196" t="s">
        <v>772</v>
      </c>
    </row>
    <row r="1568" ht="26.25" customHeight="1">
      <c r="A1568" s="11"/>
      <c r="B1568" s="13"/>
      <c r="C1568" s="16" t="s">
        <v>772</v>
      </c>
      <c r="D1568" s="13"/>
      <c r="E1568" s="13"/>
      <c r="F1568" s="13"/>
      <c r="G1568" s="193">
        <v>0.0</v>
      </c>
      <c r="H1568" s="193">
        <v>0.0</v>
      </c>
      <c r="I1568" s="193" t="s">
        <v>772</v>
      </c>
      <c r="J1568" s="194" t="s">
        <v>772</v>
      </c>
    </row>
    <row r="1569" ht="26.25" customHeight="1">
      <c r="A1569" s="47"/>
      <c r="B1569" s="48"/>
      <c r="C1569" s="50" t="s">
        <v>772</v>
      </c>
      <c r="D1569" s="48"/>
      <c r="E1569" s="48"/>
      <c r="F1569" s="48"/>
      <c r="G1569" s="195">
        <v>0.0</v>
      </c>
      <c r="H1569" s="195">
        <v>0.0</v>
      </c>
      <c r="I1569" s="195" t="s">
        <v>772</v>
      </c>
      <c r="J1569" s="196" t="s">
        <v>772</v>
      </c>
    </row>
    <row r="1570" ht="26.25" customHeight="1">
      <c r="A1570" s="11"/>
      <c r="B1570" s="13"/>
      <c r="C1570" s="16" t="s">
        <v>772</v>
      </c>
      <c r="D1570" s="13"/>
      <c r="E1570" s="13"/>
      <c r="F1570" s="13"/>
      <c r="G1570" s="193">
        <v>0.0</v>
      </c>
      <c r="H1570" s="193">
        <v>0.0</v>
      </c>
      <c r="I1570" s="193" t="s">
        <v>772</v>
      </c>
      <c r="J1570" s="194" t="s">
        <v>772</v>
      </c>
    </row>
    <row r="1571" ht="26.25" customHeight="1">
      <c r="A1571" s="47"/>
      <c r="B1571" s="48"/>
      <c r="C1571" s="50" t="s">
        <v>772</v>
      </c>
      <c r="D1571" s="48"/>
      <c r="E1571" s="48"/>
      <c r="F1571" s="48"/>
      <c r="G1571" s="195">
        <v>0.0</v>
      </c>
      <c r="H1571" s="195">
        <v>0.0</v>
      </c>
      <c r="I1571" s="195" t="s">
        <v>772</v>
      </c>
      <c r="J1571" s="196" t="s">
        <v>772</v>
      </c>
    </row>
    <row r="1572" ht="26.25" customHeight="1">
      <c r="A1572" s="11"/>
      <c r="B1572" s="13"/>
      <c r="C1572" s="16" t="s">
        <v>772</v>
      </c>
      <c r="D1572" s="13"/>
      <c r="E1572" s="13"/>
      <c r="F1572" s="13"/>
      <c r="G1572" s="193">
        <v>0.0</v>
      </c>
      <c r="H1572" s="193">
        <v>0.0</v>
      </c>
      <c r="I1572" s="193" t="s">
        <v>772</v>
      </c>
      <c r="J1572" s="194" t="s">
        <v>772</v>
      </c>
    </row>
    <row r="1573" ht="26.25" customHeight="1">
      <c r="A1573" s="47"/>
      <c r="B1573" s="48"/>
      <c r="C1573" s="50" t="s">
        <v>772</v>
      </c>
      <c r="D1573" s="48"/>
      <c r="E1573" s="48"/>
      <c r="F1573" s="48"/>
      <c r="G1573" s="195">
        <v>0.0</v>
      </c>
      <c r="H1573" s="195">
        <v>0.0</v>
      </c>
      <c r="I1573" s="195" t="s">
        <v>772</v>
      </c>
      <c r="J1573" s="196" t="s">
        <v>772</v>
      </c>
    </row>
    <row r="1574" ht="26.25" customHeight="1">
      <c r="A1574" s="11"/>
      <c r="B1574" s="13"/>
      <c r="C1574" s="16" t="s">
        <v>772</v>
      </c>
      <c r="D1574" s="13"/>
      <c r="E1574" s="13"/>
      <c r="F1574" s="13"/>
      <c r="G1574" s="193">
        <v>0.0</v>
      </c>
      <c r="H1574" s="193">
        <v>0.0</v>
      </c>
      <c r="I1574" s="193" t="s">
        <v>772</v>
      </c>
      <c r="J1574" s="194" t="s">
        <v>772</v>
      </c>
    </row>
    <row r="1575" ht="26.25" customHeight="1">
      <c r="A1575" s="47"/>
      <c r="B1575" s="48"/>
      <c r="C1575" s="50" t="s">
        <v>772</v>
      </c>
      <c r="D1575" s="48"/>
      <c r="E1575" s="48"/>
      <c r="F1575" s="48"/>
      <c r="G1575" s="195">
        <v>0.0</v>
      </c>
      <c r="H1575" s="195">
        <v>0.0</v>
      </c>
      <c r="I1575" s="195" t="s">
        <v>772</v>
      </c>
      <c r="J1575" s="196" t="s">
        <v>772</v>
      </c>
    </row>
    <row r="1576" ht="26.25" customHeight="1">
      <c r="A1576" s="11"/>
      <c r="B1576" s="13"/>
      <c r="C1576" s="16" t="s">
        <v>772</v>
      </c>
      <c r="D1576" s="13"/>
      <c r="E1576" s="13"/>
      <c r="F1576" s="13"/>
      <c r="G1576" s="193">
        <v>0.0</v>
      </c>
      <c r="H1576" s="193">
        <v>0.0</v>
      </c>
      <c r="I1576" s="193" t="s">
        <v>772</v>
      </c>
      <c r="J1576" s="194" t="s">
        <v>772</v>
      </c>
    </row>
    <row r="1577" ht="26.25" customHeight="1">
      <c r="A1577" s="47"/>
      <c r="B1577" s="48"/>
      <c r="C1577" s="50" t="s">
        <v>772</v>
      </c>
      <c r="D1577" s="48"/>
      <c r="E1577" s="48"/>
      <c r="F1577" s="48"/>
      <c r="G1577" s="195">
        <v>0.0</v>
      </c>
      <c r="H1577" s="195">
        <v>0.0</v>
      </c>
      <c r="I1577" s="195" t="s">
        <v>772</v>
      </c>
      <c r="J1577" s="196" t="s">
        <v>772</v>
      </c>
    </row>
    <row r="1578" ht="26.25" customHeight="1">
      <c r="A1578" s="11"/>
      <c r="B1578" s="13"/>
      <c r="C1578" s="16" t="s">
        <v>772</v>
      </c>
      <c r="D1578" s="13"/>
      <c r="E1578" s="13"/>
      <c r="F1578" s="13"/>
      <c r="G1578" s="193">
        <v>0.0</v>
      </c>
      <c r="H1578" s="193">
        <v>0.0</v>
      </c>
      <c r="I1578" s="193" t="s">
        <v>772</v>
      </c>
      <c r="J1578" s="194" t="s">
        <v>772</v>
      </c>
    </row>
    <row r="1579" ht="26.25" customHeight="1">
      <c r="A1579" s="47"/>
      <c r="B1579" s="48"/>
      <c r="C1579" s="50" t="s">
        <v>772</v>
      </c>
      <c r="D1579" s="48"/>
      <c r="E1579" s="48"/>
      <c r="F1579" s="48"/>
      <c r="G1579" s="195">
        <v>0.0</v>
      </c>
      <c r="H1579" s="195">
        <v>0.0</v>
      </c>
      <c r="I1579" s="195" t="s">
        <v>772</v>
      </c>
      <c r="J1579" s="196" t="s">
        <v>772</v>
      </c>
    </row>
    <row r="1580" ht="26.25" customHeight="1">
      <c r="A1580" s="11"/>
      <c r="B1580" s="13"/>
      <c r="C1580" s="16" t="s">
        <v>772</v>
      </c>
      <c r="D1580" s="13"/>
      <c r="E1580" s="13"/>
      <c r="F1580" s="13"/>
      <c r="G1580" s="193">
        <v>0.0</v>
      </c>
      <c r="H1580" s="193">
        <v>0.0</v>
      </c>
      <c r="I1580" s="193" t="s">
        <v>772</v>
      </c>
      <c r="J1580" s="194" t="s">
        <v>772</v>
      </c>
    </row>
    <row r="1581" ht="26.25" customHeight="1">
      <c r="A1581" s="47"/>
      <c r="B1581" s="48"/>
      <c r="C1581" s="50" t="s">
        <v>772</v>
      </c>
      <c r="D1581" s="48"/>
      <c r="E1581" s="48"/>
      <c r="F1581" s="48"/>
      <c r="G1581" s="195">
        <v>0.0</v>
      </c>
      <c r="H1581" s="195">
        <v>0.0</v>
      </c>
      <c r="I1581" s="195" t="s">
        <v>772</v>
      </c>
      <c r="J1581" s="196" t="s">
        <v>772</v>
      </c>
    </row>
    <row r="1582" ht="26.25" customHeight="1">
      <c r="A1582" s="11"/>
      <c r="B1582" s="13"/>
      <c r="C1582" s="16" t="s">
        <v>772</v>
      </c>
      <c r="D1582" s="13"/>
      <c r="E1582" s="13"/>
      <c r="F1582" s="13"/>
      <c r="G1582" s="193">
        <v>0.0</v>
      </c>
      <c r="H1582" s="193">
        <v>0.0</v>
      </c>
      <c r="I1582" s="193" t="s">
        <v>772</v>
      </c>
      <c r="J1582" s="194" t="s">
        <v>772</v>
      </c>
    </row>
    <row r="1583" ht="26.25" customHeight="1">
      <c r="A1583" s="47"/>
      <c r="B1583" s="48"/>
      <c r="C1583" s="50" t="s">
        <v>772</v>
      </c>
      <c r="D1583" s="48"/>
      <c r="E1583" s="48"/>
      <c r="F1583" s="48"/>
      <c r="G1583" s="195">
        <v>0.0</v>
      </c>
      <c r="H1583" s="195">
        <v>0.0</v>
      </c>
      <c r="I1583" s="195" t="s">
        <v>772</v>
      </c>
      <c r="J1583" s="196" t="s">
        <v>772</v>
      </c>
    </row>
    <row r="1584" ht="26.25" customHeight="1">
      <c r="A1584" s="11"/>
      <c r="B1584" s="13"/>
      <c r="C1584" s="16" t="s">
        <v>772</v>
      </c>
      <c r="D1584" s="13"/>
      <c r="E1584" s="13"/>
      <c r="F1584" s="13"/>
      <c r="G1584" s="193">
        <v>0.0</v>
      </c>
      <c r="H1584" s="193">
        <v>0.0</v>
      </c>
      <c r="I1584" s="193" t="s">
        <v>772</v>
      </c>
      <c r="J1584" s="194" t="s">
        <v>772</v>
      </c>
    </row>
    <row r="1585" ht="26.25" customHeight="1">
      <c r="A1585" s="47"/>
      <c r="B1585" s="48"/>
      <c r="C1585" s="50" t="s">
        <v>772</v>
      </c>
      <c r="D1585" s="48"/>
      <c r="E1585" s="48"/>
      <c r="F1585" s="48"/>
      <c r="G1585" s="195">
        <v>0.0</v>
      </c>
      <c r="H1585" s="195">
        <v>0.0</v>
      </c>
      <c r="I1585" s="195" t="s">
        <v>772</v>
      </c>
      <c r="J1585" s="196" t="s">
        <v>772</v>
      </c>
    </row>
    <row r="1586" ht="26.25" customHeight="1">
      <c r="A1586" s="11"/>
      <c r="B1586" s="13"/>
      <c r="C1586" s="16" t="s">
        <v>772</v>
      </c>
      <c r="D1586" s="13"/>
      <c r="E1586" s="13"/>
      <c r="F1586" s="13"/>
      <c r="G1586" s="193">
        <v>0.0</v>
      </c>
      <c r="H1586" s="193">
        <v>0.0</v>
      </c>
      <c r="I1586" s="193" t="s">
        <v>772</v>
      </c>
      <c r="J1586" s="194" t="s">
        <v>772</v>
      </c>
    </row>
    <row r="1587" ht="26.25" customHeight="1">
      <c r="A1587" s="47"/>
      <c r="B1587" s="48"/>
      <c r="C1587" s="50" t="s">
        <v>772</v>
      </c>
      <c r="D1587" s="48"/>
      <c r="E1587" s="48"/>
      <c r="F1587" s="48"/>
      <c r="G1587" s="195">
        <v>0.0</v>
      </c>
      <c r="H1587" s="195">
        <v>0.0</v>
      </c>
      <c r="I1587" s="195" t="s">
        <v>772</v>
      </c>
      <c r="J1587" s="196" t="s">
        <v>772</v>
      </c>
    </row>
    <row r="1588" ht="26.25" customHeight="1">
      <c r="A1588" s="11"/>
      <c r="B1588" s="13"/>
      <c r="C1588" s="16" t="s">
        <v>772</v>
      </c>
      <c r="D1588" s="13"/>
      <c r="E1588" s="13"/>
      <c r="F1588" s="13"/>
      <c r="G1588" s="193">
        <v>0.0</v>
      </c>
      <c r="H1588" s="193">
        <v>0.0</v>
      </c>
      <c r="I1588" s="193" t="s">
        <v>772</v>
      </c>
      <c r="J1588" s="194" t="s">
        <v>772</v>
      </c>
    </row>
    <row r="1589" ht="26.25" customHeight="1">
      <c r="A1589" s="47"/>
      <c r="B1589" s="48"/>
      <c r="C1589" s="50" t="s">
        <v>772</v>
      </c>
      <c r="D1589" s="48"/>
      <c r="E1589" s="48"/>
      <c r="F1589" s="48"/>
      <c r="G1589" s="195">
        <v>0.0</v>
      </c>
      <c r="H1589" s="195">
        <v>0.0</v>
      </c>
      <c r="I1589" s="195" t="s">
        <v>772</v>
      </c>
      <c r="J1589" s="196" t="s">
        <v>772</v>
      </c>
    </row>
    <row r="1590" ht="26.25" customHeight="1">
      <c r="A1590" s="11"/>
      <c r="B1590" s="13"/>
      <c r="C1590" s="16" t="s">
        <v>772</v>
      </c>
      <c r="D1590" s="13"/>
      <c r="E1590" s="13"/>
      <c r="F1590" s="13"/>
      <c r="G1590" s="193">
        <v>0.0</v>
      </c>
      <c r="H1590" s="193">
        <v>0.0</v>
      </c>
      <c r="I1590" s="193" t="s">
        <v>772</v>
      </c>
      <c r="J1590" s="194" t="s">
        <v>772</v>
      </c>
    </row>
    <row r="1591" ht="26.25" customHeight="1">
      <c r="A1591" s="47"/>
      <c r="B1591" s="48"/>
      <c r="C1591" s="50" t="s">
        <v>772</v>
      </c>
      <c r="D1591" s="48"/>
      <c r="E1591" s="48"/>
      <c r="F1591" s="48"/>
      <c r="G1591" s="195">
        <v>0.0</v>
      </c>
      <c r="H1591" s="195">
        <v>0.0</v>
      </c>
      <c r="I1591" s="195" t="s">
        <v>772</v>
      </c>
      <c r="J1591" s="196" t="s">
        <v>772</v>
      </c>
    </row>
    <row r="1592" ht="26.25" customHeight="1">
      <c r="A1592" s="11"/>
      <c r="B1592" s="13"/>
      <c r="C1592" s="16" t="s">
        <v>772</v>
      </c>
      <c r="D1592" s="13"/>
      <c r="E1592" s="13"/>
      <c r="F1592" s="13"/>
      <c r="G1592" s="193">
        <v>0.0</v>
      </c>
      <c r="H1592" s="193">
        <v>0.0</v>
      </c>
      <c r="I1592" s="193" t="s">
        <v>772</v>
      </c>
      <c r="J1592" s="194" t="s">
        <v>772</v>
      </c>
    </row>
    <row r="1593" ht="26.25" customHeight="1">
      <c r="A1593" s="47"/>
      <c r="B1593" s="48"/>
      <c r="C1593" s="50" t="s">
        <v>772</v>
      </c>
      <c r="D1593" s="48"/>
      <c r="E1593" s="48"/>
      <c r="F1593" s="48"/>
      <c r="G1593" s="195">
        <v>0.0</v>
      </c>
      <c r="H1593" s="195">
        <v>0.0</v>
      </c>
      <c r="I1593" s="195" t="s">
        <v>772</v>
      </c>
      <c r="J1593" s="196" t="s">
        <v>772</v>
      </c>
    </row>
    <row r="1594" ht="26.25" customHeight="1">
      <c r="A1594" s="11"/>
      <c r="B1594" s="13"/>
      <c r="C1594" s="16" t="s">
        <v>772</v>
      </c>
      <c r="D1594" s="13"/>
      <c r="E1594" s="13"/>
      <c r="F1594" s="13"/>
      <c r="G1594" s="193">
        <v>0.0</v>
      </c>
      <c r="H1594" s="193">
        <v>0.0</v>
      </c>
      <c r="I1594" s="193" t="s">
        <v>772</v>
      </c>
      <c r="J1594" s="194" t="s">
        <v>772</v>
      </c>
    </row>
    <row r="1595" ht="26.25" customHeight="1">
      <c r="A1595" s="47"/>
      <c r="B1595" s="48"/>
      <c r="C1595" s="50" t="s">
        <v>772</v>
      </c>
      <c r="D1595" s="48"/>
      <c r="E1595" s="48"/>
      <c r="F1595" s="48"/>
      <c r="G1595" s="195">
        <v>0.0</v>
      </c>
      <c r="H1595" s="195">
        <v>0.0</v>
      </c>
      <c r="I1595" s="195" t="s">
        <v>772</v>
      </c>
      <c r="J1595" s="196" t="s">
        <v>772</v>
      </c>
    </row>
    <row r="1596" ht="26.25" customHeight="1">
      <c r="A1596" s="11"/>
      <c r="B1596" s="13"/>
      <c r="C1596" s="16" t="s">
        <v>772</v>
      </c>
      <c r="D1596" s="13"/>
      <c r="E1596" s="13"/>
      <c r="F1596" s="13"/>
      <c r="G1596" s="193">
        <v>0.0</v>
      </c>
      <c r="H1596" s="193">
        <v>0.0</v>
      </c>
      <c r="I1596" s="193" t="s">
        <v>772</v>
      </c>
      <c r="J1596" s="194" t="s">
        <v>772</v>
      </c>
    </row>
    <row r="1597" ht="26.25" customHeight="1">
      <c r="A1597" s="47"/>
      <c r="B1597" s="48"/>
      <c r="C1597" s="50" t="s">
        <v>772</v>
      </c>
      <c r="D1597" s="48"/>
      <c r="E1597" s="48"/>
      <c r="F1597" s="48"/>
      <c r="G1597" s="195">
        <v>0.0</v>
      </c>
      <c r="H1597" s="195">
        <v>0.0</v>
      </c>
      <c r="I1597" s="195" t="s">
        <v>772</v>
      </c>
      <c r="J1597" s="196" t="s">
        <v>772</v>
      </c>
    </row>
    <row r="1598" ht="26.25" customHeight="1">
      <c r="A1598" s="11"/>
      <c r="B1598" s="13"/>
      <c r="C1598" s="16" t="s">
        <v>772</v>
      </c>
      <c r="D1598" s="13"/>
      <c r="E1598" s="13"/>
      <c r="F1598" s="13"/>
      <c r="G1598" s="193">
        <v>0.0</v>
      </c>
      <c r="H1598" s="193">
        <v>0.0</v>
      </c>
      <c r="I1598" s="193" t="s">
        <v>772</v>
      </c>
      <c r="J1598" s="194" t="s">
        <v>772</v>
      </c>
    </row>
    <row r="1599" ht="26.25" customHeight="1">
      <c r="A1599" s="47"/>
      <c r="B1599" s="48"/>
      <c r="C1599" s="50" t="s">
        <v>772</v>
      </c>
      <c r="D1599" s="48"/>
      <c r="E1599" s="48"/>
      <c r="F1599" s="48"/>
      <c r="G1599" s="195">
        <v>0.0</v>
      </c>
      <c r="H1599" s="195">
        <v>0.0</v>
      </c>
      <c r="I1599" s="195" t="s">
        <v>772</v>
      </c>
      <c r="J1599" s="196" t="s">
        <v>772</v>
      </c>
    </row>
    <row r="1600" ht="26.25" customHeight="1">
      <c r="A1600" s="11"/>
      <c r="B1600" s="13"/>
      <c r="C1600" s="16" t="s">
        <v>772</v>
      </c>
      <c r="D1600" s="13"/>
      <c r="E1600" s="13"/>
      <c r="F1600" s="13"/>
      <c r="G1600" s="193">
        <v>0.0</v>
      </c>
      <c r="H1600" s="193">
        <v>0.0</v>
      </c>
      <c r="I1600" s="193" t="s">
        <v>772</v>
      </c>
      <c r="J1600" s="194" t="s">
        <v>772</v>
      </c>
    </row>
    <row r="1601" ht="26.25" customHeight="1">
      <c r="A1601" s="47"/>
      <c r="B1601" s="48"/>
      <c r="C1601" s="50" t="s">
        <v>772</v>
      </c>
      <c r="D1601" s="48"/>
      <c r="E1601" s="48"/>
      <c r="F1601" s="48"/>
      <c r="G1601" s="195">
        <v>0.0</v>
      </c>
      <c r="H1601" s="195">
        <v>0.0</v>
      </c>
      <c r="I1601" s="195" t="s">
        <v>772</v>
      </c>
      <c r="J1601" s="196" t="s">
        <v>772</v>
      </c>
    </row>
    <row r="1602" ht="26.25" customHeight="1">
      <c r="A1602" s="11"/>
      <c r="B1602" s="13"/>
      <c r="C1602" s="16" t="s">
        <v>772</v>
      </c>
      <c r="D1602" s="13"/>
      <c r="E1602" s="13"/>
      <c r="F1602" s="13"/>
      <c r="G1602" s="193">
        <v>0.0</v>
      </c>
      <c r="H1602" s="193">
        <v>0.0</v>
      </c>
      <c r="I1602" s="193" t="s">
        <v>772</v>
      </c>
      <c r="J1602" s="194" t="s">
        <v>772</v>
      </c>
    </row>
    <row r="1603" ht="26.25" customHeight="1">
      <c r="A1603" s="47"/>
      <c r="B1603" s="48"/>
      <c r="C1603" s="50" t="s">
        <v>772</v>
      </c>
      <c r="D1603" s="48"/>
      <c r="E1603" s="48"/>
      <c r="F1603" s="48"/>
      <c r="G1603" s="195">
        <v>0.0</v>
      </c>
      <c r="H1603" s="195">
        <v>0.0</v>
      </c>
      <c r="I1603" s="195" t="s">
        <v>772</v>
      </c>
      <c r="J1603" s="196" t="s">
        <v>772</v>
      </c>
    </row>
    <row r="1604" ht="26.25" customHeight="1">
      <c r="A1604" s="11"/>
      <c r="B1604" s="13"/>
      <c r="C1604" s="16" t="s">
        <v>772</v>
      </c>
      <c r="D1604" s="13"/>
      <c r="E1604" s="13"/>
      <c r="F1604" s="13"/>
      <c r="G1604" s="193">
        <v>0.0</v>
      </c>
      <c r="H1604" s="193">
        <v>0.0</v>
      </c>
      <c r="I1604" s="193" t="s">
        <v>772</v>
      </c>
      <c r="J1604" s="194" t="s">
        <v>772</v>
      </c>
    </row>
    <row r="1605" ht="26.25" customHeight="1">
      <c r="A1605" s="47"/>
      <c r="B1605" s="48"/>
      <c r="C1605" s="50" t="s">
        <v>772</v>
      </c>
      <c r="D1605" s="48"/>
      <c r="E1605" s="48"/>
      <c r="F1605" s="48"/>
      <c r="G1605" s="195">
        <v>0.0</v>
      </c>
      <c r="H1605" s="195">
        <v>0.0</v>
      </c>
      <c r="I1605" s="195" t="s">
        <v>772</v>
      </c>
      <c r="J1605" s="196" t="s">
        <v>772</v>
      </c>
    </row>
    <row r="1606" ht="26.25" customHeight="1">
      <c r="A1606" s="11"/>
      <c r="B1606" s="13"/>
      <c r="C1606" s="16" t="s">
        <v>772</v>
      </c>
      <c r="D1606" s="13"/>
      <c r="E1606" s="13"/>
      <c r="F1606" s="13"/>
      <c r="G1606" s="193">
        <v>0.0</v>
      </c>
      <c r="H1606" s="193">
        <v>0.0</v>
      </c>
      <c r="I1606" s="193" t="s">
        <v>772</v>
      </c>
      <c r="J1606" s="194" t="s">
        <v>772</v>
      </c>
    </row>
    <row r="1607" ht="26.25" customHeight="1">
      <c r="A1607" s="47"/>
      <c r="B1607" s="48"/>
      <c r="C1607" s="50" t="s">
        <v>772</v>
      </c>
      <c r="D1607" s="48"/>
      <c r="E1607" s="48"/>
      <c r="F1607" s="48"/>
      <c r="G1607" s="195">
        <v>0.0</v>
      </c>
      <c r="H1607" s="195">
        <v>0.0</v>
      </c>
      <c r="I1607" s="195" t="s">
        <v>772</v>
      </c>
      <c r="J1607" s="196" t="s">
        <v>772</v>
      </c>
    </row>
    <row r="1608" ht="26.25" customHeight="1">
      <c r="A1608" s="11"/>
      <c r="B1608" s="13"/>
      <c r="C1608" s="16" t="s">
        <v>772</v>
      </c>
      <c r="D1608" s="13"/>
      <c r="E1608" s="13"/>
      <c r="F1608" s="13"/>
      <c r="G1608" s="193">
        <v>0.0</v>
      </c>
      <c r="H1608" s="193">
        <v>0.0</v>
      </c>
      <c r="I1608" s="193" t="s">
        <v>772</v>
      </c>
      <c r="J1608" s="194" t="s">
        <v>772</v>
      </c>
    </row>
    <row r="1609" ht="26.25" customHeight="1">
      <c r="A1609" s="47"/>
      <c r="B1609" s="48"/>
      <c r="C1609" s="50" t="s">
        <v>772</v>
      </c>
      <c r="D1609" s="48"/>
      <c r="E1609" s="48"/>
      <c r="F1609" s="48"/>
      <c r="G1609" s="195">
        <v>0.0</v>
      </c>
      <c r="H1609" s="195">
        <v>0.0</v>
      </c>
      <c r="I1609" s="195" t="s">
        <v>772</v>
      </c>
      <c r="J1609" s="196" t="s">
        <v>772</v>
      </c>
    </row>
    <row r="1610" ht="26.25" customHeight="1">
      <c r="A1610" s="11"/>
      <c r="B1610" s="13"/>
      <c r="C1610" s="16" t="s">
        <v>772</v>
      </c>
      <c r="D1610" s="13"/>
      <c r="E1610" s="13"/>
      <c r="F1610" s="13"/>
      <c r="G1610" s="193">
        <v>0.0</v>
      </c>
      <c r="H1610" s="193">
        <v>0.0</v>
      </c>
      <c r="I1610" s="193" t="s">
        <v>772</v>
      </c>
      <c r="J1610" s="194" t="s">
        <v>772</v>
      </c>
    </row>
    <row r="1611" ht="26.25" customHeight="1">
      <c r="A1611" s="47"/>
      <c r="B1611" s="48"/>
      <c r="C1611" s="50" t="s">
        <v>772</v>
      </c>
      <c r="D1611" s="48"/>
      <c r="E1611" s="48"/>
      <c r="F1611" s="48"/>
      <c r="G1611" s="195">
        <v>0.0</v>
      </c>
      <c r="H1611" s="195">
        <v>0.0</v>
      </c>
      <c r="I1611" s="195" t="s">
        <v>772</v>
      </c>
      <c r="J1611" s="196" t="s">
        <v>772</v>
      </c>
    </row>
    <row r="1612" ht="26.25" customHeight="1">
      <c r="A1612" s="11"/>
      <c r="B1612" s="13"/>
      <c r="C1612" s="16" t="s">
        <v>772</v>
      </c>
      <c r="D1612" s="13"/>
      <c r="E1612" s="13"/>
      <c r="F1612" s="13"/>
      <c r="G1612" s="193">
        <v>0.0</v>
      </c>
      <c r="H1612" s="193">
        <v>0.0</v>
      </c>
      <c r="I1612" s="193" t="s">
        <v>772</v>
      </c>
      <c r="J1612" s="194" t="s">
        <v>772</v>
      </c>
    </row>
    <row r="1613" ht="26.25" customHeight="1">
      <c r="A1613" s="47"/>
      <c r="B1613" s="48"/>
      <c r="C1613" s="50" t="s">
        <v>772</v>
      </c>
      <c r="D1613" s="48"/>
      <c r="E1613" s="48"/>
      <c r="F1613" s="48"/>
      <c r="G1613" s="195">
        <v>0.0</v>
      </c>
      <c r="H1613" s="195">
        <v>0.0</v>
      </c>
      <c r="I1613" s="195" t="s">
        <v>772</v>
      </c>
      <c r="J1613" s="196" t="s">
        <v>772</v>
      </c>
    </row>
    <row r="1614" ht="26.25" customHeight="1">
      <c r="A1614" s="11"/>
      <c r="B1614" s="13"/>
      <c r="C1614" s="16" t="s">
        <v>772</v>
      </c>
      <c r="D1614" s="13"/>
      <c r="E1614" s="13"/>
      <c r="F1614" s="13"/>
      <c r="G1614" s="193">
        <v>0.0</v>
      </c>
      <c r="H1614" s="193">
        <v>0.0</v>
      </c>
      <c r="I1614" s="193" t="s">
        <v>772</v>
      </c>
      <c r="J1614" s="194" t="s">
        <v>772</v>
      </c>
    </row>
    <row r="1615" ht="26.25" customHeight="1">
      <c r="A1615" s="47"/>
      <c r="B1615" s="48"/>
      <c r="C1615" s="50" t="s">
        <v>772</v>
      </c>
      <c r="D1615" s="48"/>
      <c r="E1615" s="48"/>
      <c r="F1615" s="48"/>
      <c r="G1615" s="195">
        <v>0.0</v>
      </c>
      <c r="H1615" s="195">
        <v>0.0</v>
      </c>
      <c r="I1615" s="195" t="s">
        <v>772</v>
      </c>
      <c r="J1615" s="196" t="s">
        <v>772</v>
      </c>
    </row>
    <row r="1616" ht="26.25" customHeight="1">
      <c r="A1616" s="11"/>
      <c r="B1616" s="13"/>
      <c r="C1616" s="16" t="s">
        <v>772</v>
      </c>
      <c r="D1616" s="13"/>
      <c r="E1616" s="13"/>
      <c r="F1616" s="13"/>
      <c r="G1616" s="193">
        <v>0.0</v>
      </c>
      <c r="H1616" s="193">
        <v>0.0</v>
      </c>
      <c r="I1616" s="193" t="s">
        <v>772</v>
      </c>
      <c r="J1616" s="194" t="s">
        <v>772</v>
      </c>
    </row>
    <row r="1617" ht="26.25" customHeight="1">
      <c r="A1617" s="47"/>
      <c r="B1617" s="48"/>
      <c r="C1617" s="50" t="s">
        <v>772</v>
      </c>
      <c r="D1617" s="48"/>
      <c r="E1617" s="48"/>
      <c r="F1617" s="48"/>
      <c r="G1617" s="195">
        <v>0.0</v>
      </c>
      <c r="H1617" s="195">
        <v>0.0</v>
      </c>
      <c r="I1617" s="195" t="s">
        <v>772</v>
      </c>
      <c r="J1617" s="196" t="s">
        <v>772</v>
      </c>
    </row>
    <row r="1618" ht="26.25" customHeight="1">
      <c r="A1618" s="11"/>
      <c r="B1618" s="13"/>
      <c r="C1618" s="16" t="s">
        <v>772</v>
      </c>
      <c r="D1618" s="13"/>
      <c r="E1618" s="13"/>
      <c r="F1618" s="13"/>
      <c r="G1618" s="193">
        <v>0.0</v>
      </c>
      <c r="H1618" s="193">
        <v>0.0</v>
      </c>
      <c r="I1618" s="193" t="s">
        <v>772</v>
      </c>
      <c r="J1618" s="194" t="s">
        <v>772</v>
      </c>
    </row>
    <row r="1619" ht="26.25" customHeight="1">
      <c r="A1619" s="47"/>
      <c r="B1619" s="48"/>
      <c r="C1619" s="50" t="s">
        <v>772</v>
      </c>
      <c r="D1619" s="48"/>
      <c r="E1619" s="48"/>
      <c r="F1619" s="48"/>
      <c r="G1619" s="195">
        <v>0.0</v>
      </c>
      <c r="H1619" s="195">
        <v>0.0</v>
      </c>
      <c r="I1619" s="195" t="s">
        <v>772</v>
      </c>
      <c r="J1619" s="196" t="s">
        <v>772</v>
      </c>
    </row>
    <row r="1620" ht="26.25" customHeight="1">
      <c r="A1620" s="11"/>
      <c r="B1620" s="13"/>
      <c r="C1620" s="16" t="s">
        <v>772</v>
      </c>
      <c r="D1620" s="13"/>
      <c r="E1620" s="13"/>
      <c r="F1620" s="13"/>
      <c r="G1620" s="193">
        <v>0.0</v>
      </c>
      <c r="H1620" s="193">
        <v>0.0</v>
      </c>
      <c r="I1620" s="193" t="s">
        <v>772</v>
      </c>
      <c r="J1620" s="194" t="s">
        <v>772</v>
      </c>
    </row>
    <row r="1621" ht="26.25" customHeight="1">
      <c r="A1621" s="47"/>
      <c r="B1621" s="48"/>
      <c r="C1621" s="50" t="s">
        <v>772</v>
      </c>
      <c r="D1621" s="48"/>
      <c r="E1621" s="48"/>
      <c r="F1621" s="48"/>
      <c r="G1621" s="195">
        <v>0.0</v>
      </c>
      <c r="H1621" s="195">
        <v>0.0</v>
      </c>
      <c r="I1621" s="195" t="s">
        <v>772</v>
      </c>
      <c r="J1621" s="196" t="s">
        <v>772</v>
      </c>
    </row>
    <row r="1622" ht="26.25" customHeight="1">
      <c r="A1622" s="11"/>
      <c r="B1622" s="13"/>
      <c r="C1622" s="16" t="s">
        <v>772</v>
      </c>
      <c r="D1622" s="13"/>
      <c r="E1622" s="13"/>
      <c r="F1622" s="13"/>
      <c r="G1622" s="193">
        <v>0.0</v>
      </c>
      <c r="H1622" s="193">
        <v>0.0</v>
      </c>
      <c r="I1622" s="193" t="s">
        <v>772</v>
      </c>
      <c r="J1622" s="194" t="s">
        <v>772</v>
      </c>
    </row>
    <row r="1623" ht="26.25" customHeight="1">
      <c r="A1623" s="47"/>
      <c r="B1623" s="48"/>
      <c r="C1623" s="50" t="s">
        <v>772</v>
      </c>
      <c r="D1623" s="48"/>
      <c r="E1623" s="48"/>
      <c r="F1623" s="48"/>
      <c r="G1623" s="195">
        <v>0.0</v>
      </c>
      <c r="H1623" s="195">
        <v>0.0</v>
      </c>
      <c r="I1623" s="195" t="s">
        <v>772</v>
      </c>
      <c r="J1623" s="196" t="s">
        <v>772</v>
      </c>
    </row>
    <row r="1624" ht="26.25" customHeight="1">
      <c r="A1624" s="11"/>
      <c r="B1624" s="13"/>
      <c r="C1624" s="16" t="s">
        <v>772</v>
      </c>
      <c r="D1624" s="13"/>
      <c r="E1624" s="13"/>
      <c r="F1624" s="13"/>
      <c r="G1624" s="193">
        <v>0.0</v>
      </c>
      <c r="H1624" s="193">
        <v>0.0</v>
      </c>
      <c r="I1624" s="193" t="s">
        <v>772</v>
      </c>
      <c r="J1624" s="194" t="s">
        <v>772</v>
      </c>
    </row>
    <row r="1625" ht="26.25" customHeight="1">
      <c r="A1625" s="47"/>
      <c r="B1625" s="48"/>
      <c r="C1625" s="50" t="s">
        <v>772</v>
      </c>
      <c r="D1625" s="48"/>
      <c r="E1625" s="48"/>
      <c r="F1625" s="48"/>
      <c r="G1625" s="195">
        <v>0.0</v>
      </c>
      <c r="H1625" s="195">
        <v>0.0</v>
      </c>
      <c r="I1625" s="195" t="s">
        <v>772</v>
      </c>
      <c r="J1625" s="196" t="s">
        <v>772</v>
      </c>
    </row>
    <row r="1626" ht="26.25" customHeight="1">
      <c r="A1626" s="11"/>
      <c r="B1626" s="13"/>
      <c r="C1626" s="16" t="s">
        <v>772</v>
      </c>
      <c r="D1626" s="13"/>
      <c r="E1626" s="13"/>
      <c r="F1626" s="13"/>
      <c r="G1626" s="193">
        <v>0.0</v>
      </c>
      <c r="H1626" s="193">
        <v>0.0</v>
      </c>
      <c r="I1626" s="193" t="s">
        <v>772</v>
      </c>
      <c r="J1626" s="194" t="s">
        <v>772</v>
      </c>
    </row>
    <row r="1627" ht="26.25" customHeight="1">
      <c r="A1627" s="47"/>
      <c r="B1627" s="48"/>
      <c r="C1627" s="50" t="s">
        <v>772</v>
      </c>
      <c r="D1627" s="48"/>
      <c r="E1627" s="48"/>
      <c r="F1627" s="48"/>
      <c r="G1627" s="195">
        <v>0.0</v>
      </c>
      <c r="H1627" s="195">
        <v>0.0</v>
      </c>
      <c r="I1627" s="195" t="s">
        <v>772</v>
      </c>
      <c r="J1627" s="196" t="s">
        <v>772</v>
      </c>
    </row>
    <row r="1628" ht="26.25" customHeight="1">
      <c r="A1628" s="11"/>
      <c r="B1628" s="13"/>
      <c r="C1628" s="16" t="s">
        <v>772</v>
      </c>
      <c r="D1628" s="13"/>
      <c r="E1628" s="13"/>
      <c r="F1628" s="13"/>
      <c r="G1628" s="193">
        <v>0.0</v>
      </c>
      <c r="H1628" s="193">
        <v>0.0</v>
      </c>
      <c r="I1628" s="193" t="s">
        <v>772</v>
      </c>
      <c r="J1628" s="194" t="s">
        <v>772</v>
      </c>
    </row>
    <row r="1629" ht="26.25" customHeight="1">
      <c r="A1629" s="47"/>
      <c r="B1629" s="48"/>
      <c r="C1629" s="50" t="s">
        <v>772</v>
      </c>
      <c r="D1629" s="48"/>
      <c r="E1629" s="48"/>
      <c r="F1629" s="48"/>
      <c r="G1629" s="195">
        <v>0.0</v>
      </c>
      <c r="H1629" s="195">
        <v>0.0</v>
      </c>
      <c r="I1629" s="195" t="s">
        <v>772</v>
      </c>
      <c r="J1629" s="196" t="s">
        <v>772</v>
      </c>
    </row>
    <row r="1630" ht="26.25" customHeight="1">
      <c r="A1630" s="11"/>
      <c r="B1630" s="13"/>
      <c r="C1630" s="16" t="s">
        <v>772</v>
      </c>
      <c r="D1630" s="13"/>
      <c r="E1630" s="13"/>
      <c r="F1630" s="13"/>
      <c r="G1630" s="193">
        <v>0.0</v>
      </c>
      <c r="H1630" s="193">
        <v>0.0</v>
      </c>
      <c r="I1630" s="193" t="s">
        <v>772</v>
      </c>
      <c r="J1630" s="194" t="s">
        <v>772</v>
      </c>
    </row>
    <row r="1631" ht="26.25" customHeight="1">
      <c r="A1631" s="47"/>
      <c r="B1631" s="48"/>
      <c r="C1631" s="50" t="s">
        <v>772</v>
      </c>
      <c r="D1631" s="48"/>
      <c r="E1631" s="48"/>
      <c r="F1631" s="48"/>
      <c r="G1631" s="195">
        <v>0.0</v>
      </c>
      <c r="H1631" s="195">
        <v>0.0</v>
      </c>
      <c r="I1631" s="195" t="s">
        <v>772</v>
      </c>
      <c r="J1631" s="196" t="s">
        <v>772</v>
      </c>
    </row>
    <row r="1632" ht="26.25" customHeight="1">
      <c r="A1632" s="11"/>
      <c r="B1632" s="13"/>
      <c r="C1632" s="16" t="s">
        <v>772</v>
      </c>
      <c r="D1632" s="13"/>
      <c r="E1632" s="13"/>
      <c r="F1632" s="13"/>
      <c r="G1632" s="193">
        <v>0.0</v>
      </c>
      <c r="H1632" s="193">
        <v>0.0</v>
      </c>
      <c r="I1632" s="193" t="s">
        <v>772</v>
      </c>
      <c r="J1632" s="194" t="s">
        <v>772</v>
      </c>
    </row>
    <row r="1633" ht="26.25" customHeight="1">
      <c r="A1633" s="47"/>
      <c r="B1633" s="48"/>
      <c r="C1633" s="50" t="s">
        <v>772</v>
      </c>
      <c r="D1633" s="48"/>
      <c r="E1633" s="48"/>
      <c r="F1633" s="48"/>
      <c r="G1633" s="195">
        <v>0.0</v>
      </c>
      <c r="H1633" s="195">
        <v>0.0</v>
      </c>
      <c r="I1633" s="195" t="s">
        <v>772</v>
      </c>
      <c r="J1633" s="196" t="s">
        <v>772</v>
      </c>
    </row>
    <row r="1634" ht="26.25" customHeight="1">
      <c r="A1634" s="11"/>
      <c r="B1634" s="13"/>
      <c r="C1634" s="16" t="s">
        <v>772</v>
      </c>
      <c r="D1634" s="13"/>
      <c r="E1634" s="13"/>
      <c r="F1634" s="13"/>
      <c r="G1634" s="193">
        <v>0.0</v>
      </c>
      <c r="H1634" s="193">
        <v>0.0</v>
      </c>
      <c r="I1634" s="193" t="s">
        <v>772</v>
      </c>
      <c r="J1634" s="194" t="s">
        <v>772</v>
      </c>
    </row>
    <row r="1635" ht="26.25" customHeight="1">
      <c r="A1635" s="47"/>
      <c r="B1635" s="48"/>
      <c r="C1635" s="50" t="s">
        <v>772</v>
      </c>
      <c r="D1635" s="48"/>
      <c r="E1635" s="48"/>
      <c r="F1635" s="48"/>
      <c r="G1635" s="195">
        <v>0.0</v>
      </c>
      <c r="H1635" s="195">
        <v>0.0</v>
      </c>
      <c r="I1635" s="195" t="s">
        <v>772</v>
      </c>
      <c r="J1635" s="196" t="s">
        <v>772</v>
      </c>
    </row>
    <row r="1636" ht="26.25" customHeight="1">
      <c r="A1636" s="11"/>
      <c r="B1636" s="13"/>
      <c r="C1636" s="16" t="s">
        <v>772</v>
      </c>
      <c r="D1636" s="13"/>
      <c r="E1636" s="13"/>
      <c r="F1636" s="13"/>
      <c r="G1636" s="193">
        <v>0.0</v>
      </c>
      <c r="H1636" s="193">
        <v>0.0</v>
      </c>
      <c r="I1636" s="193" t="s">
        <v>772</v>
      </c>
      <c r="J1636" s="194" t="s">
        <v>772</v>
      </c>
    </row>
    <row r="1637" ht="26.25" customHeight="1">
      <c r="A1637" s="47"/>
      <c r="B1637" s="48"/>
      <c r="C1637" s="50" t="s">
        <v>772</v>
      </c>
      <c r="D1637" s="48"/>
      <c r="E1637" s="48"/>
      <c r="F1637" s="48"/>
      <c r="G1637" s="195">
        <v>0.0</v>
      </c>
      <c r="H1637" s="195">
        <v>0.0</v>
      </c>
      <c r="I1637" s="195" t="s">
        <v>772</v>
      </c>
      <c r="J1637" s="196" t="s">
        <v>772</v>
      </c>
    </row>
    <row r="1638" ht="26.25" customHeight="1">
      <c r="A1638" s="11"/>
      <c r="B1638" s="13"/>
      <c r="C1638" s="16" t="s">
        <v>772</v>
      </c>
      <c r="D1638" s="13"/>
      <c r="E1638" s="13"/>
      <c r="F1638" s="13"/>
      <c r="G1638" s="193">
        <v>0.0</v>
      </c>
      <c r="H1638" s="193">
        <v>0.0</v>
      </c>
      <c r="I1638" s="193" t="s">
        <v>772</v>
      </c>
      <c r="J1638" s="194" t="s">
        <v>772</v>
      </c>
    </row>
    <row r="1639" ht="26.25" customHeight="1">
      <c r="A1639" s="47"/>
      <c r="B1639" s="48"/>
      <c r="C1639" s="50" t="s">
        <v>772</v>
      </c>
      <c r="D1639" s="48"/>
      <c r="E1639" s="48"/>
      <c r="F1639" s="48"/>
      <c r="G1639" s="195">
        <v>0.0</v>
      </c>
      <c r="H1639" s="195">
        <v>0.0</v>
      </c>
      <c r="I1639" s="195" t="s">
        <v>772</v>
      </c>
      <c r="J1639" s="196" t="s">
        <v>772</v>
      </c>
    </row>
    <row r="1640" ht="26.25" customHeight="1">
      <c r="A1640" s="11"/>
      <c r="B1640" s="13"/>
      <c r="C1640" s="16" t="s">
        <v>772</v>
      </c>
      <c r="D1640" s="13"/>
      <c r="E1640" s="13"/>
      <c r="F1640" s="13"/>
      <c r="G1640" s="193">
        <v>0.0</v>
      </c>
      <c r="H1640" s="193">
        <v>0.0</v>
      </c>
      <c r="I1640" s="193" t="s">
        <v>772</v>
      </c>
      <c r="J1640" s="194" t="s">
        <v>772</v>
      </c>
    </row>
    <row r="1641" ht="26.25" customHeight="1">
      <c r="A1641" s="47"/>
      <c r="B1641" s="48"/>
      <c r="C1641" s="50" t="s">
        <v>772</v>
      </c>
      <c r="D1641" s="48"/>
      <c r="E1641" s="48"/>
      <c r="F1641" s="48"/>
      <c r="G1641" s="195">
        <v>0.0</v>
      </c>
      <c r="H1641" s="195">
        <v>0.0</v>
      </c>
      <c r="I1641" s="195" t="s">
        <v>772</v>
      </c>
      <c r="J1641" s="196" t="s">
        <v>772</v>
      </c>
    </row>
    <row r="1642" ht="26.25" customHeight="1">
      <c r="A1642" s="11"/>
      <c r="B1642" s="13"/>
      <c r="C1642" s="16" t="s">
        <v>772</v>
      </c>
      <c r="D1642" s="13"/>
      <c r="E1642" s="13"/>
      <c r="F1642" s="13"/>
      <c r="G1642" s="193">
        <v>0.0</v>
      </c>
      <c r="H1642" s="193">
        <v>0.0</v>
      </c>
      <c r="I1642" s="193" t="s">
        <v>772</v>
      </c>
      <c r="J1642" s="194" t="s">
        <v>772</v>
      </c>
    </row>
    <row r="1643" ht="26.25" customHeight="1">
      <c r="A1643" s="47"/>
      <c r="B1643" s="48"/>
      <c r="C1643" s="50" t="s">
        <v>772</v>
      </c>
      <c r="D1643" s="48"/>
      <c r="E1643" s="48"/>
      <c r="F1643" s="48"/>
      <c r="G1643" s="195">
        <v>0.0</v>
      </c>
      <c r="H1643" s="195">
        <v>0.0</v>
      </c>
      <c r="I1643" s="195" t="s">
        <v>772</v>
      </c>
      <c r="J1643" s="196" t="s">
        <v>772</v>
      </c>
    </row>
    <row r="1644" ht="26.25" customHeight="1">
      <c r="A1644" s="11"/>
      <c r="B1644" s="13"/>
      <c r="C1644" s="16" t="s">
        <v>772</v>
      </c>
      <c r="D1644" s="13"/>
      <c r="E1644" s="13"/>
      <c r="F1644" s="13"/>
      <c r="G1644" s="193">
        <v>0.0</v>
      </c>
      <c r="H1644" s="193">
        <v>0.0</v>
      </c>
      <c r="I1644" s="193" t="s">
        <v>772</v>
      </c>
      <c r="J1644" s="194" t="s">
        <v>772</v>
      </c>
    </row>
    <row r="1645" ht="26.25" customHeight="1">
      <c r="A1645" s="47"/>
      <c r="B1645" s="48"/>
      <c r="C1645" s="50" t="s">
        <v>772</v>
      </c>
      <c r="D1645" s="48"/>
      <c r="E1645" s="48"/>
      <c r="F1645" s="48"/>
      <c r="G1645" s="195">
        <v>0.0</v>
      </c>
      <c r="H1645" s="195">
        <v>0.0</v>
      </c>
      <c r="I1645" s="195" t="s">
        <v>772</v>
      </c>
      <c r="J1645" s="196" t="s">
        <v>772</v>
      </c>
    </row>
    <row r="1646" ht="26.25" customHeight="1">
      <c r="A1646" s="11"/>
      <c r="B1646" s="13"/>
      <c r="C1646" s="16" t="s">
        <v>772</v>
      </c>
      <c r="D1646" s="13"/>
      <c r="E1646" s="13"/>
      <c r="F1646" s="13"/>
      <c r="G1646" s="193">
        <v>0.0</v>
      </c>
      <c r="H1646" s="193">
        <v>0.0</v>
      </c>
      <c r="I1646" s="193" t="s">
        <v>772</v>
      </c>
      <c r="J1646" s="194" t="s">
        <v>772</v>
      </c>
    </row>
    <row r="1647" ht="26.25" customHeight="1">
      <c r="A1647" s="47"/>
      <c r="B1647" s="48"/>
      <c r="C1647" s="50" t="s">
        <v>772</v>
      </c>
      <c r="D1647" s="48"/>
      <c r="E1647" s="48"/>
      <c r="F1647" s="48"/>
      <c r="G1647" s="195">
        <v>0.0</v>
      </c>
      <c r="H1647" s="195">
        <v>0.0</v>
      </c>
      <c r="I1647" s="195" t="s">
        <v>772</v>
      </c>
      <c r="J1647" s="196" t="s">
        <v>772</v>
      </c>
    </row>
    <row r="1648" ht="26.25" customHeight="1">
      <c r="A1648" s="11"/>
      <c r="B1648" s="13"/>
      <c r="C1648" s="16" t="s">
        <v>772</v>
      </c>
      <c r="D1648" s="13"/>
      <c r="E1648" s="13"/>
      <c r="F1648" s="13"/>
      <c r="G1648" s="193">
        <v>0.0</v>
      </c>
      <c r="H1648" s="193">
        <v>0.0</v>
      </c>
      <c r="I1648" s="193" t="s">
        <v>772</v>
      </c>
      <c r="J1648" s="194" t="s">
        <v>772</v>
      </c>
    </row>
    <row r="1649" ht="26.25" customHeight="1">
      <c r="A1649" s="47"/>
      <c r="B1649" s="48"/>
      <c r="C1649" s="50" t="s">
        <v>772</v>
      </c>
      <c r="D1649" s="48"/>
      <c r="E1649" s="48"/>
      <c r="F1649" s="48"/>
      <c r="G1649" s="195">
        <v>0.0</v>
      </c>
      <c r="H1649" s="195">
        <v>0.0</v>
      </c>
      <c r="I1649" s="195" t="s">
        <v>772</v>
      </c>
      <c r="J1649" s="196" t="s">
        <v>772</v>
      </c>
    </row>
    <row r="1650" ht="26.25" customHeight="1">
      <c r="A1650" s="11"/>
      <c r="B1650" s="13"/>
      <c r="C1650" s="16" t="s">
        <v>772</v>
      </c>
      <c r="D1650" s="13"/>
      <c r="E1650" s="13"/>
      <c r="F1650" s="13"/>
      <c r="G1650" s="193">
        <v>0.0</v>
      </c>
      <c r="H1650" s="193">
        <v>0.0</v>
      </c>
      <c r="I1650" s="193" t="s">
        <v>772</v>
      </c>
      <c r="J1650" s="194" t="s">
        <v>772</v>
      </c>
    </row>
    <row r="1651" ht="26.25" customHeight="1">
      <c r="A1651" s="47"/>
      <c r="B1651" s="48"/>
      <c r="C1651" s="50" t="s">
        <v>772</v>
      </c>
      <c r="D1651" s="48"/>
      <c r="E1651" s="48"/>
      <c r="F1651" s="48"/>
      <c r="G1651" s="195">
        <v>0.0</v>
      </c>
      <c r="H1651" s="195">
        <v>0.0</v>
      </c>
      <c r="I1651" s="195" t="s">
        <v>772</v>
      </c>
      <c r="J1651" s="196" t="s">
        <v>772</v>
      </c>
    </row>
    <row r="1652" ht="26.25" customHeight="1">
      <c r="A1652" s="11"/>
      <c r="B1652" s="13"/>
      <c r="C1652" s="16" t="s">
        <v>772</v>
      </c>
      <c r="D1652" s="13"/>
      <c r="E1652" s="13"/>
      <c r="F1652" s="13"/>
      <c r="G1652" s="193">
        <v>0.0</v>
      </c>
      <c r="H1652" s="193">
        <v>0.0</v>
      </c>
      <c r="I1652" s="193" t="s">
        <v>772</v>
      </c>
      <c r="J1652" s="194" t="s">
        <v>772</v>
      </c>
    </row>
    <row r="1653" ht="26.25" customHeight="1">
      <c r="A1653" s="47"/>
      <c r="B1653" s="48"/>
      <c r="C1653" s="50" t="s">
        <v>772</v>
      </c>
      <c r="D1653" s="48"/>
      <c r="E1653" s="48"/>
      <c r="F1653" s="48"/>
      <c r="G1653" s="195">
        <v>0.0</v>
      </c>
      <c r="H1653" s="195">
        <v>0.0</v>
      </c>
      <c r="I1653" s="195" t="s">
        <v>772</v>
      </c>
      <c r="J1653" s="196" t="s">
        <v>772</v>
      </c>
    </row>
    <row r="1654" ht="26.25" customHeight="1">
      <c r="A1654" s="11"/>
      <c r="B1654" s="13"/>
      <c r="C1654" s="16" t="s">
        <v>772</v>
      </c>
      <c r="D1654" s="13"/>
      <c r="E1654" s="13"/>
      <c r="F1654" s="13"/>
      <c r="G1654" s="193">
        <v>0.0</v>
      </c>
      <c r="H1654" s="193">
        <v>0.0</v>
      </c>
      <c r="I1654" s="193" t="s">
        <v>772</v>
      </c>
      <c r="J1654" s="194" t="s">
        <v>772</v>
      </c>
    </row>
    <row r="1655" ht="26.25" customHeight="1">
      <c r="A1655" s="47"/>
      <c r="B1655" s="48"/>
      <c r="C1655" s="50" t="s">
        <v>772</v>
      </c>
      <c r="D1655" s="48"/>
      <c r="E1655" s="48"/>
      <c r="F1655" s="48"/>
      <c r="G1655" s="195">
        <v>0.0</v>
      </c>
      <c r="H1655" s="195">
        <v>0.0</v>
      </c>
      <c r="I1655" s="195" t="s">
        <v>772</v>
      </c>
      <c r="J1655" s="196" t="s">
        <v>772</v>
      </c>
    </row>
    <row r="1656" ht="26.25" customHeight="1">
      <c r="A1656" s="11"/>
      <c r="B1656" s="13"/>
      <c r="C1656" s="16" t="s">
        <v>772</v>
      </c>
      <c r="D1656" s="13"/>
      <c r="E1656" s="13"/>
      <c r="F1656" s="13"/>
      <c r="G1656" s="193">
        <v>0.0</v>
      </c>
      <c r="H1656" s="193">
        <v>0.0</v>
      </c>
      <c r="I1656" s="193" t="s">
        <v>772</v>
      </c>
      <c r="J1656" s="194" t="s">
        <v>772</v>
      </c>
    </row>
    <row r="1657" ht="26.25" customHeight="1">
      <c r="A1657" s="47"/>
      <c r="B1657" s="48"/>
      <c r="C1657" s="50" t="s">
        <v>772</v>
      </c>
      <c r="D1657" s="48"/>
      <c r="E1657" s="48"/>
      <c r="F1657" s="48"/>
      <c r="G1657" s="195">
        <v>0.0</v>
      </c>
      <c r="H1657" s="195">
        <v>0.0</v>
      </c>
      <c r="I1657" s="195" t="s">
        <v>772</v>
      </c>
      <c r="J1657" s="196" t="s">
        <v>772</v>
      </c>
    </row>
    <row r="1658" ht="26.25" customHeight="1">
      <c r="A1658" s="11"/>
      <c r="B1658" s="13"/>
      <c r="C1658" s="16" t="s">
        <v>772</v>
      </c>
      <c r="D1658" s="13"/>
      <c r="E1658" s="13"/>
      <c r="F1658" s="13"/>
      <c r="G1658" s="193">
        <v>0.0</v>
      </c>
      <c r="H1658" s="193">
        <v>0.0</v>
      </c>
      <c r="I1658" s="193" t="s">
        <v>772</v>
      </c>
      <c r="J1658" s="194" t="s">
        <v>772</v>
      </c>
    </row>
    <row r="1659" ht="26.25" customHeight="1">
      <c r="A1659" s="47"/>
      <c r="B1659" s="48"/>
      <c r="C1659" s="50" t="s">
        <v>772</v>
      </c>
      <c r="D1659" s="48"/>
      <c r="E1659" s="48"/>
      <c r="F1659" s="48"/>
      <c r="G1659" s="195">
        <v>0.0</v>
      </c>
      <c r="H1659" s="195">
        <v>0.0</v>
      </c>
      <c r="I1659" s="195" t="s">
        <v>772</v>
      </c>
      <c r="J1659" s="196" t="s">
        <v>772</v>
      </c>
    </row>
    <row r="1660" ht="26.25" customHeight="1">
      <c r="A1660" s="11"/>
      <c r="B1660" s="13"/>
      <c r="C1660" s="16" t="s">
        <v>772</v>
      </c>
      <c r="D1660" s="13"/>
      <c r="E1660" s="13"/>
      <c r="F1660" s="13"/>
      <c r="G1660" s="193">
        <v>0.0</v>
      </c>
      <c r="H1660" s="193">
        <v>0.0</v>
      </c>
      <c r="I1660" s="193" t="s">
        <v>772</v>
      </c>
      <c r="J1660" s="194" t="s">
        <v>772</v>
      </c>
    </row>
    <row r="1661" ht="26.25" customHeight="1">
      <c r="A1661" s="47"/>
      <c r="B1661" s="48"/>
      <c r="C1661" s="50" t="s">
        <v>772</v>
      </c>
      <c r="D1661" s="48"/>
      <c r="E1661" s="48"/>
      <c r="F1661" s="48"/>
      <c r="G1661" s="195">
        <v>0.0</v>
      </c>
      <c r="H1661" s="195">
        <v>0.0</v>
      </c>
      <c r="I1661" s="195" t="s">
        <v>772</v>
      </c>
      <c r="J1661" s="196" t="s">
        <v>772</v>
      </c>
    </row>
    <row r="1662" ht="26.25" customHeight="1">
      <c r="A1662" s="11"/>
      <c r="B1662" s="13"/>
      <c r="C1662" s="16" t="s">
        <v>772</v>
      </c>
      <c r="D1662" s="13"/>
      <c r="E1662" s="13"/>
      <c r="F1662" s="13"/>
      <c r="G1662" s="193">
        <v>0.0</v>
      </c>
      <c r="H1662" s="193">
        <v>0.0</v>
      </c>
      <c r="I1662" s="193" t="s">
        <v>772</v>
      </c>
      <c r="J1662" s="194" t="s">
        <v>772</v>
      </c>
    </row>
    <row r="1663" ht="26.25" customHeight="1">
      <c r="A1663" s="47"/>
      <c r="B1663" s="48"/>
      <c r="C1663" s="50" t="s">
        <v>772</v>
      </c>
      <c r="D1663" s="48"/>
      <c r="E1663" s="48"/>
      <c r="F1663" s="48"/>
      <c r="G1663" s="195">
        <v>0.0</v>
      </c>
      <c r="H1663" s="195">
        <v>0.0</v>
      </c>
      <c r="I1663" s="195" t="s">
        <v>772</v>
      </c>
      <c r="J1663" s="196" t="s">
        <v>772</v>
      </c>
    </row>
    <row r="1664" ht="26.25" customHeight="1">
      <c r="A1664" s="11"/>
      <c r="B1664" s="13"/>
      <c r="C1664" s="16" t="s">
        <v>772</v>
      </c>
      <c r="D1664" s="13"/>
      <c r="E1664" s="13"/>
      <c r="F1664" s="13"/>
      <c r="G1664" s="193">
        <v>0.0</v>
      </c>
      <c r="H1664" s="193">
        <v>0.0</v>
      </c>
      <c r="I1664" s="193" t="s">
        <v>772</v>
      </c>
      <c r="J1664" s="194" t="s">
        <v>772</v>
      </c>
    </row>
    <row r="1665" ht="26.25" customHeight="1">
      <c r="A1665" s="47"/>
      <c r="B1665" s="48"/>
      <c r="C1665" s="50" t="s">
        <v>772</v>
      </c>
      <c r="D1665" s="48"/>
      <c r="E1665" s="48"/>
      <c r="F1665" s="48"/>
      <c r="G1665" s="195">
        <v>0.0</v>
      </c>
      <c r="H1665" s="195">
        <v>0.0</v>
      </c>
      <c r="I1665" s="195" t="s">
        <v>772</v>
      </c>
      <c r="J1665" s="196" t="s">
        <v>772</v>
      </c>
    </row>
    <row r="1666" ht="26.25" customHeight="1">
      <c r="A1666" s="11"/>
      <c r="B1666" s="13"/>
      <c r="C1666" s="16" t="s">
        <v>772</v>
      </c>
      <c r="D1666" s="13"/>
      <c r="E1666" s="13"/>
      <c r="F1666" s="13"/>
      <c r="G1666" s="193">
        <v>0.0</v>
      </c>
      <c r="H1666" s="193">
        <v>0.0</v>
      </c>
      <c r="I1666" s="193" t="s">
        <v>772</v>
      </c>
      <c r="J1666" s="194" t="s">
        <v>772</v>
      </c>
    </row>
    <row r="1667" ht="26.25" customHeight="1">
      <c r="A1667" s="47"/>
      <c r="B1667" s="48"/>
      <c r="C1667" s="50" t="s">
        <v>772</v>
      </c>
      <c r="D1667" s="48"/>
      <c r="E1667" s="48"/>
      <c r="F1667" s="48"/>
      <c r="G1667" s="195">
        <v>0.0</v>
      </c>
      <c r="H1667" s="195">
        <v>0.0</v>
      </c>
      <c r="I1667" s="195" t="s">
        <v>772</v>
      </c>
      <c r="J1667" s="196" t="s">
        <v>772</v>
      </c>
    </row>
    <row r="1668" ht="26.25" customHeight="1">
      <c r="A1668" s="11"/>
      <c r="B1668" s="13"/>
      <c r="C1668" s="16" t="s">
        <v>772</v>
      </c>
      <c r="D1668" s="13"/>
      <c r="E1668" s="13"/>
      <c r="F1668" s="13"/>
      <c r="G1668" s="193">
        <v>0.0</v>
      </c>
      <c r="H1668" s="193">
        <v>0.0</v>
      </c>
      <c r="I1668" s="193" t="s">
        <v>772</v>
      </c>
      <c r="J1668" s="194" t="s">
        <v>772</v>
      </c>
    </row>
    <row r="1669" ht="26.25" customHeight="1">
      <c r="A1669" s="47"/>
      <c r="B1669" s="48"/>
      <c r="C1669" s="50" t="s">
        <v>772</v>
      </c>
      <c r="D1669" s="48"/>
      <c r="E1669" s="48"/>
      <c r="F1669" s="48"/>
      <c r="G1669" s="195">
        <v>0.0</v>
      </c>
      <c r="H1669" s="195">
        <v>0.0</v>
      </c>
      <c r="I1669" s="195" t="s">
        <v>772</v>
      </c>
      <c r="J1669" s="196" t="s">
        <v>772</v>
      </c>
    </row>
    <row r="1670" ht="26.25" customHeight="1">
      <c r="A1670" s="11"/>
      <c r="B1670" s="13"/>
      <c r="C1670" s="16" t="s">
        <v>772</v>
      </c>
      <c r="D1670" s="13"/>
      <c r="E1670" s="13"/>
      <c r="F1670" s="13"/>
      <c r="G1670" s="193">
        <v>0.0</v>
      </c>
      <c r="H1670" s="193">
        <v>0.0</v>
      </c>
      <c r="I1670" s="193" t="s">
        <v>772</v>
      </c>
      <c r="J1670" s="194" t="s">
        <v>772</v>
      </c>
    </row>
    <row r="1671" ht="26.25" customHeight="1">
      <c r="A1671" s="47"/>
      <c r="B1671" s="48"/>
      <c r="C1671" s="50" t="s">
        <v>772</v>
      </c>
      <c r="D1671" s="48"/>
      <c r="E1671" s="48"/>
      <c r="F1671" s="48"/>
      <c r="G1671" s="195">
        <v>0.0</v>
      </c>
      <c r="H1671" s="195">
        <v>0.0</v>
      </c>
      <c r="I1671" s="195" t="s">
        <v>772</v>
      </c>
      <c r="J1671" s="196" t="s">
        <v>772</v>
      </c>
    </row>
    <row r="1672" ht="26.25" customHeight="1">
      <c r="A1672" s="11"/>
      <c r="B1672" s="13"/>
      <c r="C1672" s="16" t="s">
        <v>772</v>
      </c>
      <c r="D1672" s="13"/>
      <c r="E1672" s="13"/>
      <c r="F1672" s="13"/>
      <c r="G1672" s="193">
        <v>0.0</v>
      </c>
      <c r="H1672" s="193">
        <v>0.0</v>
      </c>
      <c r="I1672" s="193" t="s">
        <v>772</v>
      </c>
      <c r="J1672" s="194" t="s">
        <v>772</v>
      </c>
    </row>
    <row r="1673" ht="26.25" customHeight="1">
      <c r="A1673" s="47"/>
      <c r="B1673" s="48"/>
      <c r="C1673" s="50" t="s">
        <v>772</v>
      </c>
      <c r="D1673" s="48"/>
      <c r="E1673" s="48"/>
      <c r="F1673" s="48"/>
      <c r="G1673" s="195">
        <v>0.0</v>
      </c>
      <c r="H1673" s="195">
        <v>0.0</v>
      </c>
      <c r="I1673" s="195" t="s">
        <v>772</v>
      </c>
      <c r="J1673" s="196" t="s">
        <v>772</v>
      </c>
    </row>
    <row r="1674" ht="26.25" customHeight="1">
      <c r="A1674" s="11"/>
      <c r="B1674" s="13"/>
      <c r="C1674" s="16" t="s">
        <v>772</v>
      </c>
      <c r="D1674" s="13"/>
      <c r="E1674" s="13"/>
      <c r="F1674" s="13"/>
      <c r="G1674" s="193">
        <v>0.0</v>
      </c>
      <c r="H1674" s="193">
        <v>0.0</v>
      </c>
      <c r="I1674" s="193" t="s">
        <v>772</v>
      </c>
      <c r="J1674" s="194" t="s">
        <v>772</v>
      </c>
    </row>
    <row r="1675" ht="26.25" customHeight="1">
      <c r="A1675" s="47"/>
      <c r="B1675" s="48"/>
      <c r="C1675" s="50" t="s">
        <v>772</v>
      </c>
      <c r="D1675" s="48"/>
      <c r="E1675" s="48"/>
      <c r="F1675" s="48"/>
      <c r="G1675" s="195">
        <v>0.0</v>
      </c>
      <c r="H1675" s="195">
        <v>0.0</v>
      </c>
      <c r="I1675" s="195" t="s">
        <v>772</v>
      </c>
      <c r="J1675" s="196" t="s">
        <v>772</v>
      </c>
    </row>
    <row r="1676" ht="26.25" customHeight="1">
      <c r="A1676" s="11"/>
      <c r="B1676" s="13"/>
      <c r="C1676" s="16" t="s">
        <v>772</v>
      </c>
      <c r="D1676" s="13"/>
      <c r="E1676" s="13"/>
      <c r="F1676" s="13"/>
      <c r="G1676" s="193">
        <v>0.0</v>
      </c>
      <c r="H1676" s="193">
        <v>0.0</v>
      </c>
      <c r="I1676" s="193" t="s">
        <v>772</v>
      </c>
      <c r="J1676" s="194" t="s">
        <v>772</v>
      </c>
    </row>
    <row r="1677" ht="26.25" customHeight="1">
      <c r="A1677" s="47"/>
      <c r="B1677" s="48"/>
      <c r="C1677" s="50" t="s">
        <v>772</v>
      </c>
      <c r="D1677" s="48"/>
      <c r="E1677" s="48"/>
      <c r="F1677" s="48"/>
      <c r="G1677" s="195">
        <v>0.0</v>
      </c>
      <c r="H1677" s="195">
        <v>0.0</v>
      </c>
      <c r="I1677" s="195" t="s">
        <v>772</v>
      </c>
      <c r="J1677" s="196" t="s">
        <v>772</v>
      </c>
    </row>
    <row r="1678" ht="26.25" customHeight="1">
      <c r="A1678" s="11"/>
      <c r="B1678" s="13"/>
      <c r="C1678" s="16" t="s">
        <v>772</v>
      </c>
      <c r="D1678" s="13"/>
      <c r="E1678" s="13"/>
      <c r="F1678" s="13"/>
      <c r="G1678" s="193">
        <v>0.0</v>
      </c>
      <c r="H1678" s="193">
        <v>0.0</v>
      </c>
      <c r="I1678" s="193" t="s">
        <v>772</v>
      </c>
      <c r="J1678" s="194" t="s">
        <v>772</v>
      </c>
    </row>
    <row r="1679" ht="26.25" customHeight="1">
      <c r="A1679" s="47"/>
      <c r="B1679" s="48"/>
      <c r="C1679" s="50" t="s">
        <v>772</v>
      </c>
      <c r="D1679" s="48"/>
      <c r="E1679" s="48"/>
      <c r="F1679" s="48"/>
      <c r="G1679" s="195">
        <v>0.0</v>
      </c>
      <c r="H1679" s="195">
        <v>0.0</v>
      </c>
      <c r="I1679" s="195" t="s">
        <v>772</v>
      </c>
      <c r="J1679" s="196" t="s">
        <v>772</v>
      </c>
    </row>
    <row r="1680" ht="26.25" customHeight="1">
      <c r="A1680" s="11"/>
      <c r="B1680" s="13"/>
      <c r="C1680" s="16" t="s">
        <v>772</v>
      </c>
      <c r="D1680" s="13"/>
      <c r="E1680" s="13"/>
      <c r="F1680" s="13"/>
      <c r="G1680" s="193">
        <v>0.0</v>
      </c>
      <c r="H1680" s="193">
        <v>0.0</v>
      </c>
      <c r="I1680" s="193" t="s">
        <v>772</v>
      </c>
      <c r="J1680" s="194" t="s">
        <v>772</v>
      </c>
    </row>
    <row r="1681" ht="26.25" customHeight="1">
      <c r="A1681" s="47"/>
      <c r="B1681" s="48"/>
      <c r="C1681" s="50" t="s">
        <v>772</v>
      </c>
      <c r="D1681" s="48"/>
      <c r="E1681" s="48"/>
      <c r="F1681" s="48"/>
      <c r="G1681" s="195">
        <v>0.0</v>
      </c>
      <c r="H1681" s="195">
        <v>0.0</v>
      </c>
      <c r="I1681" s="195" t="s">
        <v>772</v>
      </c>
      <c r="J1681" s="196" t="s">
        <v>772</v>
      </c>
    </row>
    <row r="1682" ht="26.25" customHeight="1">
      <c r="A1682" s="11"/>
      <c r="B1682" s="13"/>
      <c r="C1682" s="16" t="s">
        <v>772</v>
      </c>
      <c r="D1682" s="13"/>
      <c r="E1682" s="13"/>
      <c r="F1682" s="13"/>
      <c r="G1682" s="193">
        <v>0.0</v>
      </c>
      <c r="H1682" s="193">
        <v>0.0</v>
      </c>
      <c r="I1682" s="193" t="s">
        <v>772</v>
      </c>
      <c r="J1682" s="194" t="s">
        <v>772</v>
      </c>
    </row>
    <row r="1683" ht="26.25" customHeight="1">
      <c r="A1683" s="47"/>
      <c r="B1683" s="48"/>
      <c r="C1683" s="50" t="s">
        <v>772</v>
      </c>
      <c r="D1683" s="48"/>
      <c r="E1683" s="48"/>
      <c r="F1683" s="48"/>
      <c r="G1683" s="195">
        <v>0.0</v>
      </c>
      <c r="H1683" s="195">
        <v>0.0</v>
      </c>
      <c r="I1683" s="195" t="s">
        <v>772</v>
      </c>
      <c r="J1683" s="196" t="s">
        <v>772</v>
      </c>
    </row>
    <row r="1684" ht="26.25" customHeight="1">
      <c r="A1684" s="11"/>
      <c r="B1684" s="13"/>
      <c r="C1684" s="16" t="s">
        <v>772</v>
      </c>
      <c r="D1684" s="13"/>
      <c r="E1684" s="13"/>
      <c r="F1684" s="13"/>
      <c r="G1684" s="193">
        <v>0.0</v>
      </c>
      <c r="H1684" s="193">
        <v>0.0</v>
      </c>
      <c r="I1684" s="193" t="s">
        <v>772</v>
      </c>
      <c r="J1684" s="194" t="s">
        <v>772</v>
      </c>
    </row>
    <row r="1685" ht="26.25" customHeight="1">
      <c r="A1685" s="47"/>
      <c r="B1685" s="48"/>
      <c r="C1685" s="50" t="s">
        <v>772</v>
      </c>
      <c r="D1685" s="48"/>
      <c r="E1685" s="48"/>
      <c r="F1685" s="48"/>
      <c r="G1685" s="195">
        <v>0.0</v>
      </c>
      <c r="H1685" s="195">
        <v>0.0</v>
      </c>
      <c r="I1685" s="195" t="s">
        <v>772</v>
      </c>
      <c r="J1685" s="196" t="s">
        <v>772</v>
      </c>
    </row>
    <row r="1686" ht="26.25" customHeight="1">
      <c r="A1686" s="11"/>
      <c r="B1686" s="13"/>
      <c r="C1686" s="16" t="s">
        <v>772</v>
      </c>
      <c r="D1686" s="13"/>
      <c r="E1686" s="13"/>
      <c r="F1686" s="13"/>
      <c r="G1686" s="193">
        <v>0.0</v>
      </c>
      <c r="H1686" s="193">
        <v>0.0</v>
      </c>
      <c r="I1686" s="193" t="s">
        <v>772</v>
      </c>
      <c r="J1686" s="194" t="s">
        <v>772</v>
      </c>
    </row>
    <row r="1687" ht="26.25" customHeight="1">
      <c r="A1687" s="47"/>
      <c r="B1687" s="48"/>
      <c r="C1687" s="50" t="s">
        <v>772</v>
      </c>
      <c r="D1687" s="48"/>
      <c r="E1687" s="48"/>
      <c r="F1687" s="48"/>
      <c r="G1687" s="195">
        <v>0.0</v>
      </c>
      <c r="H1687" s="195">
        <v>0.0</v>
      </c>
      <c r="I1687" s="195" t="s">
        <v>772</v>
      </c>
      <c r="J1687" s="196" t="s">
        <v>772</v>
      </c>
    </row>
    <row r="1688" ht="26.25" customHeight="1">
      <c r="A1688" s="11"/>
      <c r="B1688" s="13"/>
      <c r="C1688" s="16" t="s">
        <v>772</v>
      </c>
      <c r="D1688" s="13"/>
      <c r="E1688" s="13"/>
      <c r="F1688" s="13"/>
      <c r="G1688" s="193">
        <v>0.0</v>
      </c>
      <c r="H1688" s="193">
        <v>0.0</v>
      </c>
      <c r="I1688" s="193" t="s">
        <v>772</v>
      </c>
      <c r="J1688" s="194" t="s">
        <v>772</v>
      </c>
    </row>
    <row r="1689" ht="26.25" customHeight="1">
      <c r="A1689" s="47"/>
      <c r="B1689" s="48"/>
      <c r="C1689" s="50" t="s">
        <v>772</v>
      </c>
      <c r="D1689" s="48"/>
      <c r="E1689" s="48"/>
      <c r="F1689" s="48"/>
      <c r="G1689" s="195">
        <v>0.0</v>
      </c>
      <c r="H1689" s="195">
        <v>0.0</v>
      </c>
      <c r="I1689" s="195" t="s">
        <v>772</v>
      </c>
      <c r="J1689" s="196" t="s">
        <v>772</v>
      </c>
    </row>
    <row r="1690" ht="26.25" customHeight="1">
      <c r="A1690" s="11"/>
      <c r="B1690" s="13"/>
      <c r="C1690" s="16" t="s">
        <v>772</v>
      </c>
      <c r="D1690" s="13"/>
      <c r="E1690" s="13"/>
      <c r="F1690" s="13"/>
      <c r="G1690" s="193">
        <v>0.0</v>
      </c>
      <c r="H1690" s="193">
        <v>0.0</v>
      </c>
      <c r="I1690" s="193" t="s">
        <v>772</v>
      </c>
      <c r="J1690" s="194" t="s">
        <v>772</v>
      </c>
    </row>
    <row r="1691" ht="26.25" customHeight="1">
      <c r="A1691" s="47"/>
      <c r="B1691" s="48"/>
      <c r="C1691" s="50" t="s">
        <v>772</v>
      </c>
      <c r="D1691" s="48"/>
      <c r="E1691" s="48"/>
      <c r="F1691" s="48"/>
      <c r="G1691" s="195">
        <v>0.0</v>
      </c>
      <c r="H1691" s="195">
        <v>0.0</v>
      </c>
      <c r="I1691" s="195" t="s">
        <v>772</v>
      </c>
      <c r="J1691" s="196" t="s">
        <v>772</v>
      </c>
    </row>
    <row r="1692" ht="26.25" customHeight="1">
      <c r="A1692" s="11"/>
      <c r="B1692" s="13"/>
      <c r="C1692" s="16" t="s">
        <v>772</v>
      </c>
      <c r="D1692" s="13"/>
      <c r="E1692" s="13"/>
      <c r="F1692" s="13"/>
      <c r="G1692" s="193">
        <v>0.0</v>
      </c>
      <c r="H1692" s="193">
        <v>0.0</v>
      </c>
      <c r="I1692" s="193" t="s">
        <v>772</v>
      </c>
      <c r="J1692" s="194" t="s">
        <v>772</v>
      </c>
    </row>
    <row r="1693" ht="26.25" customHeight="1">
      <c r="A1693" s="47"/>
      <c r="B1693" s="48"/>
      <c r="C1693" s="50" t="s">
        <v>772</v>
      </c>
      <c r="D1693" s="48"/>
      <c r="E1693" s="48"/>
      <c r="F1693" s="48"/>
      <c r="G1693" s="195">
        <v>0.0</v>
      </c>
      <c r="H1693" s="195">
        <v>0.0</v>
      </c>
      <c r="I1693" s="195" t="s">
        <v>772</v>
      </c>
      <c r="J1693" s="196" t="s">
        <v>772</v>
      </c>
    </row>
    <row r="1694" ht="26.25" customHeight="1">
      <c r="A1694" s="11"/>
      <c r="B1694" s="13"/>
      <c r="C1694" s="16" t="s">
        <v>772</v>
      </c>
      <c r="D1694" s="13"/>
      <c r="E1694" s="13"/>
      <c r="F1694" s="13"/>
      <c r="G1694" s="193">
        <v>0.0</v>
      </c>
      <c r="H1694" s="193">
        <v>0.0</v>
      </c>
      <c r="I1694" s="193" t="s">
        <v>772</v>
      </c>
      <c r="J1694" s="194" t="s">
        <v>772</v>
      </c>
    </row>
    <row r="1695" ht="26.25" customHeight="1">
      <c r="A1695" s="47"/>
      <c r="B1695" s="48"/>
      <c r="C1695" s="50" t="s">
        <v>772</v>
      </c>
      <c r="D1695" s="48"/>
      <c r="E1695" s="48"/>
      <c r="F1695" s="48"/>
      <c r="G1695" s="195">
        <v>0.0</v>
      </c>
      <c r="H1695" s="195">
        <v>0.0</v>
      </c>
      <c r="I1695" s="195" t="s">
        <v>772</v>
      </c>
      <c r="J1695" s="196" t="s">
        <v>772</v>
      </c>
    </row>
    <row r="1696" ht="26.25" customHeight="1">
      <c r="A1696" s="11"/>
      <c r="B1696" s="13"/>
      <c r="C1696" s="16" t="s">
        <v>772</v>
      </c>
      <c r="D1696" s="13"/>
      <c r="E1696" s="13"/>
      <c r="F1696" s="13"/>
      <c r="G1696" s="193">
        <v>0.0</v>
      </c>
      <c r="H1696" s="193">
        <v>0.0</v>
      </c>
      <c r="I1696" s="193" t="s">
        <v>772</v>
      </c>
      <c r="J1696" s="194" t="s">
        <v>772</v>
      </c>
    </row>
    <row r="1697" ht="26.25" customHeight="1">
      <c r="A1697" s="47"/>
      <c r="B1697" s="48"/>
      <c r="C1697" s="50" t="s">
        <v>772</v>
      </c>
      <c r="D1697" s="48"/>
      <c r="E1697" s="48"/>
      <c r="F1697" s="48"/>
      <c r="G1697" s="195">
        <v>0.0</v>
      </c>
      <c r="H1697" s="195">
        <v>0.0</v>
      </c>
      <c r="I1697" s="195" t="s">
        <v>772</v>
      </c>
      <c r="J1697" s="196" t="s">
        <v>772</v>
      </c>
    </row>
    <row r="1698" ht="26.25" customHeight="1">
      <c r="A1698" s="11"/>
      <c r="B1698" s="13"/>
      <c r="C1698" s="16" t="s">
        <v>772</v>
      </c>
      <c r="D1698" s="13"/>
      <c r="E1698" s="13"/>
      <c r="F1698" s="13"/>
      <c r="G1698" s="193">
        <v>0.0</v>
      </c>
      <c r="H1698" s="193">
        <v>0.0</v>
      </c>
      <c r="I1698" s="193" t="s">
        <v>772</v>
      </c>
      <c r="J1698" s="194" t="s">
        <v>772</v>
      </c>
    </row>
    <row r="1699" ht="26.25" customHeight="1">
      <c r="A1699" s="47"/>
      <c r="B1699" s="48"/>
      <c r="C1699" s="50" t="s">
        <v>772</v>
      </c>
      <c r="D1699" s="48"/>
      <c r="E1699" s="48"/>
      <c r="F1699" s="48"/>
      <c r="G1699" s="195">
        <v>0.0</v>
      </c>
      <c r="H1699" s="195">
        <v>0.0</v>
      </c>
      <c r="I1699" s="195" t="s">
        <v>772</v>
      </c>
      <c r="J1699" s="196" t="s">
        <v>772</v>
      </c>
    </row>
    <row r="1700" ht="26.25" customHeight="1">
      <c r="A1700" s="11"/>
      <c r="B1700" s="13"/>
      <c r="C1700" s="16" t="s">
        <v>772</v>
      </c>
      <c r="D1700" s="13"/>
      <c r="E1700" s="13"/>
      <c r="F1700" s="13"/>
      <c r="G1700" s="193">
        <v>0.0</v>
      </c>
      <c r="H1700" s="193">
        <v>0.0</v>
      </c>
      <c r="I1700" s="193" t="s">
        <v>772</v>
      </c>
      <c r="J1700" s="194" t="s">
        <v>772</v>
      </c>
    </row>
    <row r="1701" ht="26.25" customHeight="1">
      <c r="A1701" s="47"/>
      <c r="B1701" s="48"/>
      <c r="C1701" s="50" t="s">
        <v>772</v>
      </c>
      <c r="D1701" s="48"/>
      <c r="E1701" s="48"/>
      <c r="F1701" s="48"/>
      <c r="G1701" s="195">
        <v>0.0</v>
      </c>
      <c r="H1701" s="195">
        <v>0.0</v>
      </c>
      <c r="I1701" s="195" t="s">
        <v>772</v>
      </c>
      <c r="J1701" s="196" t="s">
        <v>772</v>
      </c>
    </row>
    <row r="1702" ht="26.25" customHeight="1">
      <c r="A1702" s="11"/>
      <c r="B1702" s="13"/>
      <c r="C1702" s="16" t="s">
        <v>772</v>
      </c>
      <c r="D1702" s="13"/>
      <c r="E1702" s="13"/>
      <c r="F1702" s="13"/>
      <c r="G1702" s="193">
        <v>0.0</v>
      </c>
      <c r="H1702" s="193">
        <v>0.0</v>
      </c>
      <c r="I1702" s="193" t="s">
        <v>772</v>
      </c>
      <c r="J1702" s="194" t="s">
        <v>772</v>
      </c>
    </row>
    <row r="1703" ht="26.25" customHeight="1">
      <c r="A1703" s="47"/>
      <c r="B1703" s="48"/>
      <c r="C1703" s="50" t="s">
        <v>772</v>
      </c>
      <c r="D1703" s="48"/>
      <c r="E1703" s="48"/>
      <c r="F1703" s="48"/>
      <c r="G1703" s="195">
        <v>0.0</v>
      </c>
      <c r="H1703" s="195">
        <v>0.0</v>
      </c>
      <c r="I1703" s="195" t="s">
        <v>772</v>
      </c>
      <c r="J1703" s="196" t="s">
        <v>772</v>
      </c>
    </row>
    <row r="1704" ht="26.25" customHeight="1">
      <c r="A1704" s="11"/>
      <c r="B1704" s="13"/>
      <c r="C1704" s="16" t="s">
        <v>772</v>
      </c>
      <c r="D1704" s="13"/>
      <c r="E1704" s="13"/>
      <c r="F1704" s="13"/>
      <c r="G1704" s="193">
        <v>0.0</v>
      </c>
      <c r="H1704" s="193">
        <v>0.0</v>
      </c>
      <c r="I1704" s="193" t="s">
        <v>772</v>
      </c>
      <c r="J1704" s="194" t="s">
        <v>772</v>
      </c>
    </row>
    <row r="1705" ht="26.25" customHeight="1">
      <c r="A1705" s="47"/>
      <c r="B1705" s="48"/>
      <c r="C1705" s="50" t="s">
        <v>772</v>
      </c>
      <c r="D1705" s="48"/>
      <c r="E1705" s="48"/>
      <c r="F1705" s="48"/>
      <c r="G1705" s="195">
        <v>0.0</v>
      </c>
      <c r="H1705" s="195">
        <v>0.0</v>
      </c>
      <c r="I1705" s="195" t="s">
        <v>772</v>
      </c>
      <c r="J1705" s="196" t="s">
        <v>772</v>
      </c>
    </row>
    <row r="1706" ht="26.25" customHeight="1">
      <c r="A1706" s="11"/>
      <c r="B1706" s="13"/>
      <c r="C1706" s="16" t="s">
        <v>772</v>
      </c>
      <c r="D1706" s="13"/>
      <c r="E1706" s="13"/>
      <c r="F1706" s="13"/>
      <c r="G1706" s="193">
        <v>0.0</v>
      </c>
      <c r="H1706" s="193">
        <v>0.0</v>
      </c>
      <c r="I1706" s="193" t="s">
        <v>772</v>
      </c>
      <c r="J1706" s="194" t="s">
        <v>772</v>
      </c>
    </row>
    <row r="1707" ht="26.25" customHeight="1">
      <c r="A1707" s="47"/>
      <c r="B1707" s="48"/>
      <c r="C1707" s="50" t="s">
        <v>772</v>
      </c>
      <c r="D1707" s="48"/>
      <c r="E1707" s="48"/>
      <c r="F1707" s="48"/>
      <c r="G1707" s="195">
        <v>0.0</v>
      </c>
      <c r="H1707" s="195">
        <v>0.0</v>
      </c>
      <c r="I1707" s="195" t="s">
        <v>772</v>
      </c>
      <c r="J1707" s="196" t="s">
        <v>772</v>
      </c>
    </row>
    <row r="1708" ht="26.25" customHeight="1">
      <c r="A1708" s="11"/>
      <c r="B1708" s="13"/>
      <c r="C1708" s="16" t="s">
        <v>772</v>
      </c>
      <c r="D1708" s="13"/>
      <c r="E1708" s="13"/>
      <c r="F1708" s="13"/>
      <c r="G1708" s="193">
        <v>0.0</v>
      </c>
      <c r="H1708" s="193">
        <v>0.0</v>
      </c>
      <c r="I1708" s="193" t="s">
        <v>772</v>
      </c>
      <c r="J1708" s="194" t="s">
        <v>772</v>
      </c>
    </row>
    <row r="1709" ht="26.25" customHeight="1">
      <c r="A1709" s="47"/>
      <c r="B1709" s="48"/>
      <c r="C1709" s="50" t="s">
        <v>772</v>
      </c>
      <c r="D1709" s="48"/>
      <c r="E1709" s="48"/>
      <c r="F1709" s="48"/>
      <c r="G1709" s="195">
        <v>0.0</v>
      </c>
      <c r="H1709" s="195">
        <v>0.0</v>
      </c>
      <c r="I1709" s="195" t="s">
        <v>772</v>
      </c>
      <c r="J1709" s="196" t="s">
        <v>772</v>
      </c>
    </row>
    <row r="1710" ht="26.25" customHeight="1">
      <c r="A1710" s="11"/>
      <c r="B1710" s="13"/>
      <c r="C1710" s="16" t="s">
        <v>772</v>
      </c>
      <c r="D1710" s="13"/>
      <c r="E1710" s="13"/>
      <c r="F1710" s="13"/>
      <c r="G1710" s="193">
        <v>0.0</v>
      </c>
      <c r="H1710" s="193">
        <v>0.0</v>
      </c>
      <c r="I1710" s="193" t="s">
        <v>772</v>
      </c>
      <c r="J1710" s="194" t="s">
        <v>772</v>
      </c>
    </row>
    <row r="1711" ht="26.25" customHeight="1">
      <c r="A1711" s="47"/>
      <c r="B1711" s="48"/>
      <c r="C1711" s="50" t="s">
        <v>772</v>
      </c>
      <c r="D1711" s="48"/>
      <c r="E1711" s="48"/>
      <c r="F1711" s="48"/>
      <c r="G1711" s="195">
        <v>0.0</v>
      </c>
      <c r="H1711" s="195">
        <v>0.0</v>
      </c>
      <c r="I1711" s="195" t="s">
        <v>772</v>
      </c>
      <c r="J1711" s="196" t="s">
        <v>772</v>
      </c>
    </row>
    <row r="1712" ht="26.25" customHeight="1">
      <c r="A1712" s="11"/>
      <c r="B1712" s="13"/>
      <c r="C1712" s="16" t="s">
        <v>772</v>
      </c>
      <c r="D1712" s="13"/>
      <c r="E1712" s="13"/>
      <c r="F1712" s="13"/>
      <c r="G1712" s="193">
        <v>0.0</v>
      </c>
      <c r="H1712" s="193">
        <v>0.0</v>
      </c>
      <c r="I1712" s="193" t="s">
        <v>772</v>
      </c>
      <c r="J1712" s="194" t="s">
        <v>772</v>
      </c>
    </row>
    <row r="1713" ht="26.25" customHeight="1">
      <c r="A1713" s="47"/>
      <c r="B1713" s="48"/>
      <c r="C1713" s="50" t="s">
        <v>772</v>
      </c>
      <c r="D1713" s="48"/>
      <c r="E1713" s="48"/>
      <c r="F1713" s="48"/>
      <c r="G1713" s="195">
        <v>0.0</v>
      </c>
      <c r="H1713" s="195">
        <v>0.0</v>
      </c>
      <c r="I1713" s="195" t="s">
        <v>772</v>
      </c>
      <c r="J1713" s="196" t="s">
        <v>772</v>
      </c>
    </row>
    <row r="1714" ht="26.25" customHeight="1">
      <c r="A1714" s="11"/>
      <c r="B1714" s="13"/>
      <c r="C1714" s="16" t="s">
        <v>772</v>
      </c>
      <c r="D1714" s="13"/>
      <c r="E1714" s="13"/>
      <c r="F1714" s="13"/>
      <c r="G1714" s="193">
        <v>0.0</v>
      </c>
      <c r="H1714" s="193">
        <v>0.0</v>
      </c>
      <c r="I1714" s="193" t="s">
        <v>772</v>
      </c>
      <c r="J1714" s="194" t="s">
        <v>772</v>
      </c>
    </row>
    <row r="1715" ht="26.25" customHeight="1">
      <c r="A1715" s="47"/>
      <c r="B1715" s="48"/>
      <c r="C1715" s="50" t="s">
        <v>772</v>
      </c>
      <c r="D1715" s="48"/>
      <c r="E1715" s="48"/>
      <c r="F1715" s="48"/>
      <c r="G1715" s="195">
        <v>0.0</v>
      </c>
      <c r="H1715" s="195">
        <v>0.0</v>
      </c>
      <c r="I1715" s="195" t="s">
        <v>772</v>
      </c>
      <c r="J1715" s="196" t="s">
        <v>772</v>
      </c>
    </row>
    <row r="1716" ht="26.25" customHeight="1">
      <c r="A1716" s="11"/>
      <c r="B1716" s="13"/>
      <c r="C1716" s="16" t="s">
        <v>772</v>
      </c>
      <c r="D1716" s="13"/>
      <c r="E1716" s="13"/>
      <c r="F1716" s="13"/>
      <c r="G1716" s="193">
        <v>0.0</v>
      </c>
      <c r="H1716" s="193">
        <v>0.0</v>
      </c>
      <c r="I1716" s="193" t="s">
        <v>772</v>
      </c>
      <c r="J1716" s="194" t="s">
        <v>772</v>
      </c>
    </row>
    <row r="1717" ht="26.25" customHeight="1">
      <c r="A1717" s="47"/>
      <c r="B1717" s="48"/>
      <c r="C1717" s="50" t="s">
        <v>772</v>
      </c>
      <c r="D1717" s="48"/>
      <c r="E1717" s="48"/>
      <c r="F1717" s="48"/>
      <c r="G1717" s="195">
        <v>0.0</v>
      </c>
      <c r="H1717" s="195">
        <v>0.0</v>
      </c>
      <c r="I1717" s="195" t="s">
        <v>772</v>
      </c>
      <c r="J1717" s="196" t="s">
        <v>772</v>
      </c>
    </row>
    <row r="1718" ht="26.25" customHeight="1">
      <c r="A1718" s="11"/>
      <c r="B1718" s="13"/>
      <c r="C1718" s="16" t="s">
        <v>772</v>
      </c>
      <c r="D1718" s="13"/>
      <c r="E1718" s="13"/>
      <c r="F1718" s="13"/>
      <c r="G1718" s="193">
        <v>0.0</v>
      </c>
      <c r="H1718" s="193">
        <v>0.0</v>
      </c>
      <c r="I1718" s="193" t="s">
        <v>772</v>
      </c>
      <c r="J1718" s="194" t="s">
        <v>772</v>
      </c>
    </row>
    <row r="1719" ht="26.25" customHeight="1">
      <c r="A1719" s="47"/>
      <c r="B1719" s="48"/>
      <c r="C1719" s="50" t="s">
        <v>772</v>
      </c>
      <c r="D1719" s="48"/>
      <c r="E1719" s="48"/>
      <c r="F1719" s="48"/>
      <c r="G1719" s="195">
        <v>0.0</v>
      </c>
      <c r="H1719" s="195">
        <v>0.0</v>
      </c>
      <c r="I1719" s="195" t="s">
        <v>772</v>
      </c>
      <c r="J1719" s="196" t="s">
        <v>772</v>
      </c>
    </row>
    <row r="1720" ht="26.25" customHeight="1">
      <c r="A1720" s="11"/>
      <c r="B1720" s="13"/>
      <c r="C1720" s="16" t="s">
        <v>772</v>
      </c>
      <c r="D1720" s="13"/>
      <c r="E1720" s="13"/>
      <c r="F1720" s="13"/>
      <c r="G1720" s="193">
        <v>0.0</v>
      </c>
      <c r="H1720" s="193">
        <v>0.0</v>
      </c>
      <c r="I1720" s="193" t="s">
        <v>772</v>
      </c>
      <c r="J1720" s="194" t="s">
        <v>772</v>
      </c>
    </row>
    <row r="1721" ht="26.25" customHeight="1">
      <c r="A1721" s="47"/>
      <c r="B1721" s="48"/>
      <c r="C1721" s="50" t="s">
        <v>772</v>
      </c>
      <c r="D1721" s="48"/>
      <c r="E1721" s="48"/>
      <c r="F1721" s="48"/>
      <c r="G1721" s="195">
        <v>0.0</v>
      </c>
      <c r="H1721" s="195">
        <v>0.0</v>
      </c>
      <c r="I1721" s="195" t="s">
        <v>772</v>
      </c>
      <c r="J1721" s="196" t="s">
        <v>772</v>
      </c>
    </row>
    <row r="1722" ht="26.25" customHeight="1">
      <c r="A1722" s="11"/>
      <c r="B1722" s="13"/>
      <c r="C1722" s="16" t="s">
        <v>772</v>
      </c>
      <c r="D1722" s="13"/>
      <c r="E1722" s="13"/>
      <c r="F1722" s="13"/>
      <c r="G1722" s="193">
        <v>0.0</v>
      </c>
      <c r="H1722" s="193">
        <v>0.0</v>
      </c>
      <c r="I1722" s="193" t="s">
        <v>772</v>
      </c>
      <c r="J1722" s="194" t="s">
        <v>772</v>
      </c>
    </row>
    <row r="1723" ht="26.25" customHeight="1">
      <c r="A1723" s="47"/>
      <c r="B1723" s="48"/>
      <c r="C1723" s="50" t="s">
        <v>772</v>
      </c>
      <c r="D1723" s="48"/>
      <c r="E1723" s="48"/>
      <c r="F1723" s="48"/>
      <c r="G1723" s="195">
        <v>0.0</v>
      </c>
      <c r="H1723" s="195">
        <v>0.0</v>
      </c>
      <c r="I1723" s="195" t="s">
        <v>772</v>
      </c>
      <c r="J1723" s="196" t="s">
        <v>772</v>
      </c>
    </row>
    <row r="1724" ht="26.25" customHeight="1">
      <c r="A1724" s="11"/>
      <c r="B1724" s="13"/>
      <c r="C1724" s="16" t="s">
        <v>772</v>
      </c>
      <c r="D1724" s="13"/>
      <c r="E1724" s="13"/>
      <c r="F1724" s="13"/>
      <c r="G1724" s="193">
        <v>0.0</v>
      </c>
      <c r="H1724" s="193">
        <v>0.0</v>
      </c>
      <c r="I1724" s="193" t="s">
        <v>772</v>
      </c>
      <c r="J1724" s="194" t="s">
        <v>772</v>
      </c>
    </row>
    <row r="1725" ht="26.25" customHeight="1">
      <c r="A1725" s="47"/>
      <c r="B1725" s="48"/>
      <c r="C1725" s="50" t="s">
        <v>772</v>
      </c>
      <c r="D1725" s="48"/>
      <c r="E1725" s="48"/>
      <c r="F1725" s="48"/>
      <c r="G1725" s="195">
        <v>0.0</v>
      </c>
      <c r="H1725" s="195">
        <v>0.0</v>
      </c>
      <c r="I1725" s="195" t="s">
        <v>772</v>
      </c>
      <c r="J1725" s="196" t="s">
        <v>772</v>
      </c>
    </row>
    <row r="1726" ht="26.25" customHeight="1">
      <c r="A1726" s="11"/>
      <c r="B1726" s="13"/>
      <c r="C1726" s="16" t="s">
        <v>772</v>
      </c>
      <c r="D1726" s="13"/>
      <c r="E1726" s="13"/>
      <c r="F1726" s="13"/>
      <c r="G1726" s="193">
        <v>0.0</v>
      </c>
      <c r="H1726" s="193">
        <v>0.0</v>
      </c>
      <c r="I1726" s="193" t="s">
        <v>772</v>
      </c>
      <c r="J1726" s="194" t="s">
        <v>772</v>
      </c>
    </row>
    <row r="1727" ht="26.25" customHeight="1">
      <c r="A1727" s="47"/>
      <c r="B1727" s="48"/>
      <c r="C1727" s="50" t="s">
        <v>772</v>
      </c>
      <c r="D1727" s="48"/>
      <c r="E1727" s="48"/>
      <c r="F1727" s="48"/>
      <c r="G1727" s="195">
        <v>0.0</v>
      </c>
      <c r="H1727" s="195">
        <v>0.0</v>
      </c>
      <c r="I1727" s="195" t="s">
        <v>772</v>
      </c>
      <c r="J1727" s="196" t="s">
        <v>772</v>
      </c>
    </row>
    <row r="1728" ht="26.25" customHeight="1">
      <c r="A1728" s="11"/>
      <c r="B1728" s="13"/>
      <c r="C1728" s="16" t="s">
        <v>772</v>
      </c>
      <c r="D1728" s="13"/>
      <c r="E1728" s="13"/>
      <c r="F1728" s="13"/>
      <c r="G1728" s="193">
        <v>0.0</v>
      </c>
      <c r="H1728" s="193">
        <v>0.0</v>
      </c>
      <c r="I1728" s="193" t="s">
        <v>772</v>
      </c>
      <c r="J1728" s="194" t="s">
        <v>772</v>
      </c>
    </row>
    <row r="1729" ht="26.25" customHeight="1">
      <c r="A1729" s="47"/>
      <c r="B1729" s="48"/>
      <c r="C1729" s="50" t="s">
        <v>772</v>
      </c>
      <c r="D1729" s="48"/>
      <c r="E1729" s="48"/>
      <c r="F1729" s="48"/>
      <c r="G1729" s="195">
        <v>0.0</v>
      </c>
      <c r="H1729" s="195">
        <v>0.0</v>
      </c>
      <c r="I1729" s="195" t="s">
        <v>772</v>
      </c>
      <c r="J1729" s="196" t="s">
        <v>772</v>
      </c>
    </row>
    <row r="1730" ht="26.25" customHeight="1">
      <c r="A1730" s="11"/>
      <c r="B1730" s="13"/>
      <c r="C1730" s="16" t="s">
        <v>772</v>
      </c>
      <c r="D1730" s="13"/>
      <c r="E1730" s="13"/>
      <c r="F1730" s="13"/>
      <c r="G1730" s="193">
        <v>0.0</v>
      </c>
      <c r="H1730" s="193">
        <v>0.0</v>
      </c>
      <c r="I1730" s="193" t="s">
        <v>772</v>
      </c>
      <c r="J1730" s="194" t="s">
        <v>772</v>
      </c>
    </row>
    <row r="1731" ht="26.25" customHeight="1">
      <c r="A1731" s="47"/>
      <c r="B1731" s="48"/>
      <c r="C1731" s="50" t="s">
        <v>772</v>
      </c>
      <c r="D1731" s="48"/>
      <c r="E1731" s="48"/>
      <c r="F1731" s="48"/>
      <c r="G1731" s="195">
        <v>0.0</v>
      </c>
      <c r="H1731" s="195">
        <v>0.0</v>
      </c>
      <c r="I1731" s="195" t="s">
        <v>772</v>
      </c>
      <c r="J1731" s="196" t="s">
        <v>772</v>
      </c>
    </row>
    <row r="1732" ht="26.25" customHeight="1">
      <c r="A1732" s="11"/>
      <c r="B1732" s="13"/>
      <c r="C1732" s="16" t="s">
        <v>772</v>
      </c>
      <c r="D1732" s="13"/>
      <c r="E1732" s="13"/>
      <c r="F1732" s="13"/>
      <c r="G1732" s="193">
        <v>0.0</v>
      </c>
      <c r="H1732" s="193">
        <v>0.0</v>
      </c>
      <c r="I1732" s="193" t="s">
        <v>772</v>
      </c>
      <c r="J1732" s="194" t="s">
        <v>772</v>
      </c>
    </row>
    <row r="1733" ht="26.25" customHeight="1">
      <c r="A1733" s="47"/>
      <c r="B1733" s="48"/>
      <c r="C1733" s="50" t="s">
        <v>772</v>
      </c>
      <c r="D1733" s="48"/>
      <c r="E1733" s="48"/>
      <c r="F1733" s="48"/>
      <c r="G1733" s="195">
        <v>0.0</v>
      </c>
      <c r="H1733" s="195">
        <v>0.0</v>
      </c>
      <c r="I1733" s="195" t="s">
        <v>772</v>
      </c>
      <c r="J1733" s="196" t="s">
        <v>772</v>
      </c>
    </row>
    <row r="1734" ht="26.25" customHeight="1">
      <c r="A1734" s="11"/>
      <c r="B1734" s="13"/>
      <c r="C1734" s="16" t="s">
        <v>772</v>
      </c>
      <c r="D1734" s="13"/>
      <c r="E1734" s="13"/>
      <c r="F1734" s="13"/>
      <c r="G1734" s="193">
        <v>0.0</v>
      </c>
      <c r="H1734" s="193">
        <v>0.0</v>
      </c>
      <c r="I1734" s="193" t="s">
        <v>772</v>
      </c>
      <c r="J1734" s="194" t="s">
        <v>772</v>
      </c>
    </row>
    <row r="1735" ht="26.25" customHeight="1">
      <c r="A1735" s="47"/>
      <c r="B1735" s="48"/>
      <c r="C1735" s="50" t="s">
        <v>772</v>
      </c>
      <c r="D1735" s="48"/>
      <c r="E1735" s="48"/>
      <c r="F1735" s="48"/>
      <c r="G1735" s="195">
        <v>0.0</v>
      </c>
      <c r="H1735" s="195">
        <v>0.0</v>
      </c>
      <c r="I1735" s="195" t="s">
        <v>772</v>
      </c>
      <c r="J1735" s="196" t="s">
        <v>772</v>
      </c>
    </row>
    <row r="1736" ht="26.25" customHeight="1">
      <c r="A1736" s="11"/>
      <c r="B1736" s="13"/>
      <c r="C1736" s="16" t="s">
        <v>772</v>
      </c>
      <c r="D1736" s="13"/>
      <c r="E1736" s="13"/>
      <c r="F1736" s="13"/>
      <c r="G1736" s="193">
        <v>0.0</v>
      </c>
      <c r="H1736" s="193">
        <v>0.0</v>
      </c>
      <c r="I1736" s="193" t="s">
        <v>772</v>
      </c>
      <c r="J1736" s="194" t="s">
        <v>772</v>
      </c>
    </row>
    <row r="1737" ht="26.25" customHeight="1">
      <c r="A1737" s="47"/>
      <c r="B1737" s="48"/>
      <c r="C1737" s="50" t="s">
        <v>772</v>
      </c>
      <c r="D1737" s="48"/>
      <c r="E1737" s="48"/>
      <c r="F1737" s="48"/>
      <c r="G1737" s="195">
        <v>0.0</v>
      </c>
      <c r="H1737" s="195">
        <v>0.0</v>
      </c>
      <c r="I1737" s="195" t="s">
        <v>772</v>
      </c>
      <c r="J1737" s="196" t="s">
        <v>772</v>
      </c>
    </row>
    <row r="1738" ht="26.25" customHeight="1">
      <c r="A1738" s="11"/>
      <c r="B1738" s="13"/>
      <c r="C1738" s="16" t="s">
        <v>772</v>
      </c>
      <c r="D1738" s="13"/>
      <c r="E1738" s="13"/>
      <c r="F1738" s="13"/>
      <c r="G1738" s="193">
        <v>0.0</v>
      </c>
      <c r="H1738" s="193">
        <v>0.0</v>
      </c>
      <c r="I1738" s="193" t="s">
        <v>772</v>
      </c>
      <c r="J1738" s="194" t="s">
        <v>772</v>
      </c>
    </row>
    <row r="1739" ht="26.25" customHeight="1">
      <c r="A1739" s="47"/>
      <c r="B1739" s="48"/>
      <c r="C1739" s="50" t="s">
        <v>772</v>
      </c>
      <c r="D1739" s="48"/>
      <c r="E1739" s="48"/>
      <c r="F1739" s="48"/>
      <c r="G1739" s="195">
        <v>0.0</v>
      </c>
      <c r="H1739" s="195">
        <v>0.0</v>
      </c>
      <c r="I1739" s="195" t="s">
        <v>772</v>
      </c>
      <c r="J1739" s="196" t="s">
        <v>772</v>
      </c>
    </row>
    <row r="1740" ht="26.25" customHeight="1">
      <c r="A1740" s="11"/>
      <c r="B1740" s="13"/>
      <c r="C1740" s="16" t="s">
        <v>772</v>
      </c>
      <c r="D1740" s="13"/>
      <c r="E1740" s="13"/>
      <c r="F1740" s="13"/>
      <c r="G1740" s="193">
        <v>0.0</v>
      </c>
      <c r="H1740" s="193">
        <v>0.0</v>
      </c>
      <c r="I1740" s="193" t="s">
        <v>772</v>
      </c>
      <c r="J1740" s="194" t="s">
        <v>772</v>
      </c>
    </row>
    <row r="1741" ht="26.25" customHeight="1">
      <c r="A1741" s="47"/>
      <c r="B1741" s="48"/>
      <c r="C1741" s="50" t="s">
        <v>772</v>
      </c>
      <c r="D1741" s="48"/>
      <c r="E1741" s="48"/>
      <c r="F1741" s="48"/>
      <c r="G1741" s="195">
        <v>0.0</v>
      </c>
      <c r="H1741" s="195">
        <v>0.0</v>
      </c>
      <c r="I1741" s="195" t="s">
        <v>772</v>
      </c>
      <c r="J1741" s="196" t="s">
        <v>772</v>
      </c>
    </row>
    <row r="1742" ht="26.25" customHeight="1">
      <c r="A1742" s="11"/>
      <c r="B1742" s="13"/>
      <c r="C1742" s="16" t="s">
        <v>772</v>
      </c>
      <c r="D1742" s="13"/>
      <c r="E1742" s="13"/>
      <c r="F1742" s="13"/>
      <c r="G1742" s="193">
        <v>0.0</v>
      </c>
      <c r="H1742" s="193">
        <v>0.0</v>
      </c>
      <c r="I1742" s="193" t="s">
        <v>772</v>
      </c>
      <c r="J1742" s="194" t="s">
        <v>772</v>
      </c>
    </row>
    <row r="1743" ht="26.25" customHeight="1">
      <c r="A1743" s="47"/>
      <c r="B1743" s="48"/>
      <c r="C1743" s="50" t="s">
        <v>772</v>
      </c>
      <c r="D1743" s="48"/>
      <c r="E1743" s="48"/>
      <c r="F1743" s="48"/>
      <c r="G1743" s="195">
        <v>0.0</v>
      </c>
      <c r="H1743" s="195">
        <v>0.0</v>
      </c>
      <c r="I1743" s="195" t="s">
        <v>772</v>
      </c>
      <c r="J1743" s="196" t="s">
        <v>772</v>
      </c>
    </row>
    <row r="1744" ht="26.25" customHeight="1">
      <c r="A1744" s="11"/>
      <c r="B1744" s="13"/>
      <c r="C1744" s="16" t="s">
        <v>772</v>
      </c>
      <c r="D1744" s="13"/>
      <c r="E1744" s="13"/>
      <c r="F1744" s="13"/>
      <c r="G1744" s="193">
        <v>0.0</v>
      </c>
      <c r="H1744" s="193">
        <v>0.0</v>
      </c>
      <c r="I1744" s="193" t="s">
        <v>772</v>
      </c>
      <c r="J1744" s="194" t="s">
        <v>772</v>
      </c>
    </row>
    <row r="1745" ht="26.25" customHeight="1">
      <c r="A1745" s="47"/>
      <c r="B1745" s="48"/>
      <c r="C1745" s="50" t="s">
        <v>772</v>
      </c>
      <c r="D1745" s="48"/>
      <c r="E1745" s="48"/>
      <c r="F1745" s="48"/>
      <c r="G1745" s="195">
        <v>0.0</v>
      </c>
      <c r="H1745" s="195">
        <v>0.0</v>
      </c>
      <c r="I1745" s="195" t="s">
        <v>772</v>
      </c>
      <c r="J1745" s="196" t="s">
        <v>772</v>
      </c>
    </row>
    <row r="1746" ht="26.25" customHeight="1">
      <c r="A1746" s="11"/>
      <c r="B1746" s="13"/>
      <c r="C1746" s="16" t="s">
        <v>772</v>
      </c>
      <c r="D1746" s="13"/>
      <c r="E1746" s="13"/>
      <c r="F1746" s="13"/>
      <c r="G1746" s="193">
        <v>0.0</v>
      </c>
      <c r="H1746" s="193">
        <v>0.0</v>
      </c>
      <c r="I1746" s="193" t="s">
        <v>772</v>
      </c>
      <c r="J1746" s="194" t="s">
        <v>772</v>
      </c>
    </row>
    <row r="1747" ht="26.25" customHeight="1">
      <c r="A1747" s="47"/>
      <c r="B1747" s="48"/>
      <c r="C1747" s="50" t="s">
        <v>772</v>
      </c>
      <c r="D1747" s="48"/>
      <c r="E1747" s="48"/>
      <c r="F1747" s="48"/>
      <c r="G1747" s="195">
        <v>0.0</v>
      </c>
      <c r="H1747" s="195">
        <v>0.0</v>
      </c>
      <c r="I1747" s="195" t="s">
        <v>772</v>
      </c>
      <c r="J1747" s="196" t="s">
        <v>772</v>
      </c>
    </row>
    <row r="1748" ht="26.25" customHeight="1">
      <c r="A1748" s="11"/>
      <c r="B1748" s="13"/>
      <c r="C1748" s="16" t="s">
        <v>772</v>
      </c>
      <c r="D1748" s="13"/>
      <c r="E1748" s="13"/>
      <c r="F1748" s="13"/>
      <c r="G1748" s="193">
        <v>0.0</v>
      </c>
      <c r="H1748" s="193">
        <v>0.0</v>
      </c>
      <c r="I1748" s="193" t="s">
        <v>772</v>
      </c>
      <c r="J1748" s="194" t="s">
        <v>772</v>
      </c>
    </row>
    <row r="1749" ht="26.25" customHeight="1">
      <c r="A1749" s="47"/>
      <c r="B1749" s="48"/>
      <c r="C1749" s="50" t="s">
        <v>772</v>
      </c>
      <c r="D1749" s="48"/>
      <c r="E1749" s="48"/>
      <c r="F1749" s="48"/>
      <c r="G1749" s="195">
        <v>0.0</v>
      </c>
      <c r="H1749" s="195">
        <v>0.0</v>
      </c>
      <c r="I1749" s="195" t="s">
        <v>772</v>
      </c>
      <c r="J1749" s="196" t="s">
        <v>772</v>
      </c>
    </row>
    <row r="1750" ht="26.25" customHeight="1">
      <c r="A1750" s="11"/>
      <c r="B1750" s="13"/>
      <c r="C1750" s="16" t="s">
        <v>772</v>
      </c>
      <c r="D1750" s="13"/>
      <c r="E1750" s="13"/>
      <c r="F1750" s="13"/>
      <c r="G1750" s="193">
        <v>0.0</v>
      </c>
      <c r="H1750" s="193">
        <v>0.0</v>
      </c>
      <c r="I1750" s="193" t="s">
        <v>772</v>
      </c>
      <c r="J1750" s="194" t="s">
        <v>772</v>
      </c>
    </row>
    <row r="1751" ht="26.25" customHeight="1">
      <c r="A1751" s="47"/>
      <c r="B1751" s="48"/>
      <c r="C1751" s="50" t="s">
        <v>772</v>
      </c>
      <c r="D1751" s="48"/>
      <c r="E1751" s="48"/>
      <c r="F1751" s="48"/>
      <c r="G1751" s="195">
        <v>0.0</v>
      </c>
      <c r="H1751" s="195">
        <v>0.0</v>
      </c>
      <c r="I1751" s="195" t="s">
        <v>772</v>
      </c>
      <c r="J1751" s="196" t="s">
        <v>772</v>
      </c>
    </row>
    <row r="1752" ht="26.25" customHeight="1">
      <c r="A1752" s="11"/>
      <c r="B1752" s="13"/>
      <c r="C1752" s="16" t="s">
        <v>772</v>
      </c>
      <c r="D1752" s="13"/>
      <c r="E1752" s="13"/>
      <c r="F1752" s="13"/>
      <c r="G1752" s="193">
        <v>0.0</v>
      </c>
      <c r="H1752" s="193">
        <v>0.0</v>
      </c>
      <c r="I1752" s="193" t="s">
        <v>772</v>
      </c>
      <c r="J1752" s="194" t="s">
        <v>772</v>
      </c>
    </row>
    <row r="1753" ht="26.25" customHeight="1">
      <c r="A1753" s="47"/>
      <c r="B1753" s="48"/>
      <c r="C1753" s="50" t="s">
        <v>772</v>
      </c>
      <c r="D1753" s="48"/>
      <c r="E1753" s="48"/>
      <c r="F1753" s="48"/>
      <c r="G1753" s="195">
        <v>0.0</v>
      </c>
      <c r="H1753" s="195">
        <v>0.0</v>
      </c>
      <c r="I1753" s="195" t="s">
        <v>772</v>
      </c>
      <c r="J1753" s="196" t="s">
        <v>772</v>
      </c>
    </row>
    <row r="1754" ht="26.25" customHeight="1">
      <c r="A1754" s="11"/>
      <c r="B1754" s="13"/>
      <c r="C1754" s="16" t="s">
        <v>772</v>
      </c>
      <c r="D1754" s="13"/>
      <c r="E1754" s="13"/>
      <c r="F1754" s="13"/>
      <c r="G1754" s="193">
        <v>0.0</v>
      </c>
      <c r="H1754" s="193">
        <v>0.0</v>
      </c>
      <c r="I1754" s="193" t="s">
        <v>772</v>
      </c>
      <c r="J1754" s="194" t="s">
        <v>772</v>
      </c>
    </row>
    <row r="1755" ht="26.25" customHeight="1">
      <c r="A1755" s="47"/>
      <c r="B1755" s="48"/>
      <c r="C1755" s="50" t="s">
        <v>772</v>
      </c>
      <c r="D1755" s="48"/>
      <c r="E1755" s="48"/>
      <c r="F1755" s="48"/>
      <c r="G1755" s="195">
        <v>0.0</v>
      </c>
      <c r="H1755" s="195">
        <v>0.0</v>
      </c>
      <c r="I1755" s="195" t="s">
        <v>772</v>
      </c>
      <c r="J1755" s="196" t="s">
        <v>772</v>
      </c>
    </row>
    <row r="1756" ht="26.25" customHeight="1">
      <c r="A1756" s="11"/>
      <c r="B1756" s="13"/>
      <c r="C1756" s="16" t="s">
        <v>772</v>
      </c>
      <c r="D1756" s="13"/>
      <c r="E1756" s="13"/>
      <c r="F1756" s="13"/>
      <c r="G1756" s="193">
        <v>0.0</v>
      </c>
      <c r="H1756" s="193">
        <v>0.0</v>
      </c>
      <c r="I1756" s="193" t="s">
        <v>772</v>
      </c>
      <c r="J1756" s="194" t="s">
        <v>772</v>
      </c>
    </row>
    <row r="1757" ht="26.25" customHeight="1">
      <c r="A1757" s="47"/>
      <c r="B1757" s="48"/>
      <c r="C1757" s="50" t="s">
        <v>772</v>
      </c>
      <c r="D1757" s="48"/>
      <c r="E1757" s="48"/>
      <c r="F1757" s="48"/>
      <c r="G1757" s="195">
        <v>0.0</v>
      </c>
      <c r="H1757" s="195">
        <v>0.0</v>
      </c>
      <c r="I1757" s="195" t="s">
        <v>772</v>
      </c>
      <c r="J1757" s="196" t="s">
        <v>772</v>
      </c>
    </row>
    <row r="1758" ht="26.25" customHeight="1">
      <c r="A1758" s="11"/>
      <c r="B1758" s="13"/>
      <c r="C1758" s="16" t="s">
        <v>772</v>
      </c>
      <c r="D1758" s="13"/>
      <c r="E1758" s="13"/>
      <c r="F1758" s="13"/>
      <c r="G1758" s="193">
        <v>0.0</v>
      </c>
      <c r="H1758" s="193">
        <v>0.0</v>
      </c>
      <c r="I1758" s="193" t="s">
        <v>772</v>
      </c>
      <c r="J1758" s="194" t="s">
        <v>772</v>
      </c>
    </row>
    <row r="1759" ht="26.25" customHeight="1">
      <c r="A1759" s="47"/>
      <c r="B1759" s="48"/>
      <c r="C1759" s="50" t="s">
        <v>772</v>
      </c>
      <c r="D1759" s="48"/>
      <c r="E1759" s="48"/>
      <c r="F1759" s="48"/>
      <c r="G1759" s="195">
        <v>0.0</v>
      </c>
      <c r="H1759" s="195">
        <v>0.0</v>
      </c>
      <c r="I1759" s="195" t="s">
        <v>772</v>
      </c>
      <c r="J1759" s="196" t="s">
        <v>772</v>
      </c>
    </row>
    <row r="1760" ht="26.25" customHeight="1">
      <c r="A1760" s="11"/>
      <c r="B1760" s="13"/>
      <c r="C1760" s="16" t="s">
        <v>772</v>
      </c>
      <c r="D1760" s="13"/>
      <c r="E1760" s="13"/>
      <c r="F1760" s="13"/>
      <c r="G1760" s="193">
        <v>0.0</v>
      </c>
      <c r="H1760" s="193">
        <v>0.0</v>
      </c>
      <c r="I1760" s="193" t="s">
        <v>772</v>
      </c>
      <c r="J1760" s="194" t="s">
        <v>772</v>
      </c>
    </row>
    <row r="1761" ht="26.25" customHeight="1">
      <c r="A1761" s="47"/>
      <c r="B1761" s="48"/>
      <c r="C1761" s="50" t="s">
        <v>772</v>
      </c>
      <c r="D1761" s="48"/>
      <c r="E1761" s="48"/>
      <c r="F1761" s="48"/>
      <c r="G1761" s="195">
        <v>0.0</v>
      </c>
      <c r="H1761" s="195">
        <v>0.0</v>
      </c>
      <c r="I1761" s="195" t="s">
        <v>772</v>
      </c>
      <c r="J1761" s="196" t="s">
        <v>772</v>
      </c>
    </row>
    <row r="1762" ht="26.25" customHeight="1">
      <c r="A1762" s="11"/>
      <c r="B1762" s="13"/>
      <c r="C1762" s="16" t="s">
        <v>772</v>
      </c>
      <c r="D1762" s="13"/>
      <c r="E1762" s="13"/>
      <c r="F1762" s="13"/>
      <c r="G1762" s="193">
        <v>0.0</v>
      </c>
      <c r="H1762" s="193">
        <v>0.0</v>
      </c>
      <c r="I1762" s="193" t="s">
        <v>772</v>
      </c>
      <c r="J1762" s="194" t="s">
        <v>772</v>
      </c>
    </row>
    <row r="1763" ht="26.25" customHeight="1">
      <c r="A1763" s="47"/>
      <c r="B1763" s="48"/>
      <c r="C1763" s="50" t="s">
        <v>772</v>
      </c>
      <c r="D1763" s="48"/>
      <c r="E1763" s="48"/>
      <c r="F1763" s="48"/>
      <c r="G1763" s="195">
        <v>0.0</v>
      </c>
      <c r="H1763" s="195">
        <v>0.0</v>
      </c>
      <c r="I1763" s="195" t="s">
        <v>772</v>
      </c>
      <c r="J1763" s="196" t="s">
        <v>772</v>
      </c>
    </row>
    <row r="1764" ht="26.25" customHeight="1">
      <c r="A1764" s="11"/>
      <c r="B1764" s="13"/>
      <c r="C1764" s="16" t="s">
        <v>772</v>
      </c>
      <c r="D1764" s="13"/>
      <c r="E1764" s="13"/>
      <c r="F1764" s="13"/>
      <c r="G1764" s="193">
        <v>0.0</v>
      </c>
      <c r="H1764" s="193">
        <v>0.0</v>
      </c>
      <c r="I1764" s="193" t="s">
        <v>772</v>
      </c>
      <c r="J1764" s="194" t="s">
        <v>772</v>
      </c>
    </row>
    <row r="1765" ht="26.25" customHeight="1">
      <c r="A1765" s="47"/>
      <c r="B1765" s="48"/>
      <c r="C1765" s="50" t="s">
        <v>772</v>
      </c>
      <c r="D1765" s="48"/>
      <c r="E1765" s="48"/>
      <c r="F1765" s="48"/>
      <c r="G1765" s="195">
        <v>0.0</v>
      </c>
      <c r="H1765" s="195">
        <v>0.0</v>
      </c>
      <c r="I1765" s="195" t="s">
        <v>772</v>
      </c>
      <c r="J1765" s="196" t="s">
        <v>772</v>
      </c>
    </row>
    <row r="1766" ht="26.25" customHeight="1">
      <c r="A1766" s="11"/>
      <c r="B1766" s="13"/>
      <c r="C1766" s="16" t="s">
        <v>772</v>
      </c>
      <c r="D1766" s="13"/>
      <c r="E1766" s="13"/>
      <c r="F1766" s="13"/>
      <c r="G1766" s="193">
        <v>0.0</v>
      </c>
      <c r="H1766" s="193">
        <v>0.0</v>
      </c>
      <c r="I1766" s="193" t="s">
        <v>772</v>
      </c>
      <c r="J1766" s="194" t="s">
        <v>772</v>
      </c>
    </row>
    <row r="1767" ht="26.25" customHeight="1">
      <c r="A1767" s="47"/>
      <c r="B1767" s="48"/>
      <c r="C1767" s="50" t="s">
        <v>772</v>
      </c>
      <c r="D1767" s="48"/>
      <c r="E1767" s="48"/>
      <c r="F1767" s="48"/>
      <c r="G1767" s="195">
        <v>0.0</v>
      </c>
      <c r="H1767" s="195">
        <v>0.0</v>
      </c>
      <c r="I1767" s="195" t="s">
        <v>772</v>
      </c>
      <c r="J1767" s="196" t="s">
        <v>772</v>
      </c>
    </row>
    <row r="1768" ht="26.25" customHeight="1">
      <c r="A1768" s="11"/>
      <c r="B1768" s="13"/>
      <c r="C1768" s="16" t="s">
        <v>772</v>
      </c>
      <c r="D1768" s="13"/>
      <c r="E1768" s="13"/>
      <c r="F1768" s="13"/>
      <c r="G1768" s="193">
        <v>0.0</v>
      </c>
      <c r="H1768" s="193">
        <v>0.0</v>
      </c>
      <c r="I1768" s="193" t="s">
        <v>772</v>
      </c>
      <c r="J1768" s="194" t="s">
        <v>772</v>
      </c>
    </row>
    <row r="1769" ht="26.25" customHeight="1">
      <c r="A1769" s="47"/>
      <c r="B1769" s="48"/>
      <c r="C1769" s="50" t="s">
        <v>772</v>
      </c>
      <c r="D1769" s="48"/>
      <c r="E1769" s="48"/>
      <c r="F1769" s="48"/>
      <c r="G1769" s="195">
        <v>0.0</v>
      </c>
      <c r="H1769" s="195">
        <v>0.0</v>
      </c>
      <c r="I1769" s="195" t="s">
        <v>772</v>
      </c>
      <c r="J1769" s="196" t="s">
        <v>772</v>
      </c>
    </row>
    <row r="1770" ht="26.25" customHeight="1">
      <c r="A1770" s="11"/>
      <c r="B1770" s="13"/>
      <c r="C1770" s="16" t="s">
        <v>772</v>
      </c>
      <c r="D1770" s="13"/>
      <c r="E1770" s="13"/>
      <c r="F1770" s="13"/>
      <c r="G1770" s="193">
        <v>0.0</v>
      </c>
      <c r="H1770" s="193">
        <v>0.0</v>
      </c>
      <c r="I1770" s="193" t="s">
        <v>772</v>
      </c>
      <c r="J1770" s="194" t="s">
        <v>772</v>
      </c>
    </row>
    <row r="1771" ht="26.25" customHeight="1">
      <c r="A1771" s="47"/>
      <c r="B1771" s="48"/>
      <c r="C1771" s="50" t="s">
        <v>772</v>
      </c>
      <c r="D1771" s="48"/>
      <c r="E1771" s="48"/>
      <c r="F1771" s="48"/>
      <c r="G1771" s="195">
        <v>0.0</v>
      </c>
      <c r="H1771" s="195">
        <v>0.0</v>
      </c>
      <c r="I1771" s="195" t="s">
        <v>772</v>
      </c>
      <c r="J1771" s="196" t="s">
        <v>772</v>
      </c>
    </row>
    <row r="1772" ht="26.25" customHeight="1">
      <c r="A1772" s="11"/>
      <c r="B1772" s="13"/>
      <c r="C1772" s="16" t="s">
        <v>772</v>
      </c>
      <c r="D1772" s="13"/>
      <c r="E1772" s="13"/>
      <c r="F1772" s="13"/>
      <c r="G1772" s="193">
        <v>0.0</v>
      </c>
      <c r="H1772" s="193">
        <v>0.0</v>
      </c>
      <c r="I1772" s="193" t="s">
        <v>772</v>
      </c>
      <c r="J1772" s="194" t="s">
        <v>772</v>
      </c>
    </row>
    <row r="1773" ht="26.25" customHeight="1">
      <c r="A1773" s="47"/>
      <c r="B1773" s="48"/>
      <c r="C1773" s="50" t="s">
        <v>772</v>
      </c>
      <c r="D1773" s="48"/>
      <c r="E1773" s="48"/>
      <c r="F1773" s="48"/>
      <c r="G1773" s="195">
        <v>0.0</v>
      </c>
      <c r="H1773" s="195">
        <v>0.0</v>
      </c>
      <c r="I1773" s="195" t="s">
        <v>772</v>
      </c>
      <c r="J1773" s="196" t="s">
        <v>772</v>
      </c>
    </row>
    <row r="1774" ht="26.25" customHeight="1">
      <c r="A1774" s="11"/>
      <c r="B1774" s="13"/>
      <c r="C1774" s="16" t="s">
        <v>772</v>
      </c>
      <c r="D1774" s="13"/>
      <c r="E1774" s="13"/>
      <c r="F1774" s="13"/>
      <c r="G1774" s="193">
        <v>0.0</v>
      </c>
      <c r="H1774" s="193">
        <v>0.0</v>
      </c>
      <c r="I1774" s="193" t="s">
        <v>772</v>
      </c>
      <c r="J1774" s="194" t="s">
        <v>772</v>
      </c>
    </row>
    <row r="1775" ht="26.25" customHeight="1">
      <c r="A1775" s="47"/>
      <c r="B1775" s="48"/>
      <c r="C1775" s="50" t="s">
        <v>772</v>
      </c>
      <c r="D1775" s="48"/>
      <c r="E1775" s="48"/>
      <c r="F1775" s="48"/>
      <c r="G1775" s="195">
        <v>0.0</v>
      </c>
      <c r="H1775" s="195">
        <v>0.0</v>
      </c>
      <c r="I1775" s="195" t="s">
        <v>772</v>
      </c>
      <c r="J1775" s="196" t="s">
        <v>772</v>
      </c>
    </row>
    <row r="1776" ht="26.25" customHeight="1">
      <c r="A1776" s="11"/>
      <c r="B1776" s="13"/>
      <c r="C1776" s="16" t="s">
        <v>772</v>
      </c>
      <c r="D1776" s="13"/>
      <c r="E1776" s="13"/>
      <c r="F1776" s="13"/>
      <c r="G1776" s="193">
        <v>0.0</v>
      </c>
      <c r="H1776" s="193">
        <v>0.0</v>
      </c>
      <c r="I1776" s="193" t="s">
        <v>772</v>
      </c>
      <c r="J1776" s="194" t="s">
        <v>772</v>
      </c>
    </row>
    <row r="1777" ht="26.25" customHeight="1">
      <c r="A1777" s="47"/>
      <c r="B1777" s="48"/>
      <c r="C1777" s="50" t="s">
        <v>772</v>
      </c>
      <c r="D1777" s="48"/>
      <c r="E1777" s="48"/>
      <c r="F1777" s="48"/>
      <c r="G1777" s="195">
        <v>0.0</v>
      </c>
      <c r="H1777" s="195">
        <v>0.0</v>
      </c>
      <c r="I1777" s="195" t="s">
        <v>772</v>
      </c>
      <c r="J1777" s="196" t="s">
        <v>772</v>
      </c>
    </row>
    <row r="1778" ht="26.25" customHeight="1">
      <c r="A1778" s="11"/>
      <c r="B1778" s="13"/>
      <c r="C1778" s="16" t="s">
        <v>772</v>
      </c>
      <c r="D1778" s="13"/>
      <c r="E1778" s="13"/>
      <c r="F1778" s="13"/>
      <c r="G1778" s="193">
        <v>0.0</v>
      </c>
      <c r="H1778" s="193">
        <v>0.0</v>
      </c>
      <c r="I1778" s="193" t="s">
        <v>772</v>
      </c>
      <c r="J1778" s="194" t="s">
        <v>772</v>
      </c>
    </row>
    <row r="1779" ht="26.25" customHeight="1">
      <c r="A1779" s="47"/>
      <c r="B1779" s="48"/>
      <c r="C1779" s="50" t="s">
        <v>772</v>
      </c>
      <c r="D1779" s="48"/>
      <c r="E1779" s="48"/>
      <c r="F1779" s="48"/>
      <c r="G1779" s="195">
        <v>0.0</v>
      </c>
      <c r="H1779" s="195">
        <v>0.0</v>
      </c>
      <c r="I1779" s="195" t="s">
        <v>772</v>
      </c>
      <c r="J1779" s="196" t="s">
        <v>772</v>
      </c>
    </row>
    <row r="1780" ht="26.25" customHeight="1">
      <c r="A1780" s="11"/>
      <c r="B1780" s="13"/>
      <c r="C1780" s="16" t="s">
        <v>772</v>
      </c>
      <c r="D1780" s="13"/>
      <c r="E1780" s="13"/>
      <c r="F1780" s="13"/>
      <c r="G1780" s="193">
        <v>0.0</v>
      </c>
      <c r="H1780" s="193">
        <v>0.0</v>
      </c>
      <c r="I1780" s="193" t="s">
        <v>772</v>
      </c>
      <c r="J1780" s="194" t="s">
        <v>772</v>
      </c>
    </row>
    <row r="1781" ht="26.25" customHeight="1">
      <c r="A1781" s="47"/>
      <c r="B1781" s="48"/>
      <c r="C1781" s="50" t="s">
        <v>772</v>
      </c>
      <c r="D1781" s="48"/>
      <c r="E1781" s="48"/>
      <c r="F1781" s="48"/>
      <c r="G1781" s="195">
        <v>0.0</v>
      </c>
      <c r="H1781" s="195">
        <v>0.0</v>
      </c>
      <c r="I1781" s="195" t="s">
        <v>772</v>
      </c>
      <c r="J1781" s="196" t="s">
        <v>772</v>
      </c>
    </row>
    <row r="1782" ht="26.25" customHeight="1">
      <c r="A1782" s="11"/>
      <c r="B1782" s="13"/>
      <c r="C1782" s="16" t="s">
        <v>772</v>
      </c>
      <c r="D1782" s="13"/>
      <c r="E1782" s="13"/>
      <c r="F1782" s="13"/>
      <c r="G1782" s="193">
        <v>0.0</v>
      </c>
      <c r="H1782" s="193">
        <v>0.0</v>
      </c>
      <c r="I1782" s="193" t="s">
        <v>772</v>
      </c>
      <c r="J1782" s="194" t="s">
        <v>772</v>
      </c>
    </row>
    <row r="1783" ht="26.25" customHeight="1">
      <c r="A1783" s="47"/>
      <c r="B1783" s="48"/>
      <c r="C1783" s="50" t="s">
        <v>772</v>
      </c>
      <c r="D1783" s="48"/>
      <c r="E1783" s="48"/>
      <c r="F1783" s="48"/>
      <c r="G1783" s="195">
        <v>0.0</v>
      </c>
      <c r="H1783" s="195">
        <v>0.0</v>
      </c>
      <c r="I1783" s="195" t="s">
        <v>772</v>
      </c>
      <c r="J1783" s="196" t="s">
        <v>772</v>
      </c>
    </row>
    <row r="1784" ht="26.25" customHeight="1">
      <c r="A1784" s="11"/>
      <c r="B1784" s="13"/>
      <c r="C1784" s="16" t="s">
        <v>772</v>
      </c>
      <c r="D1784" s="13"/>
      <c r="E1784" s="13"/>
      <c r="F1784" s="13"/>
      <c r="G1784" s="193">
        <v>0.0</v>
      </c>
      <c r="H1784" s="193">
        <v>0.0</v>
      </c>
      <c r="I1784" s="193" t="s">
        <v>772</v>
      </c>
      <c r="J1784" s="194" t="s">
        <v>772</v>
      </c>
    </row>
    <row r="1785" ht="26.25" customHeight="1">
      <c r="A1785" s="47"/>
      <c r="B1785" s="48"/>
      <c r="C1785" s="50" t="s">
        <v>772</v>
      </c>
      <c r="D1785" s="48"/>
      <c r="E1785" s="48"/>
      <c r="F1785" s="48"/>
      <c r="G1785" s="195">
        <v>0.0</v>
      </c>
      <c r="H1785" s="195">
        <v>0.0</v>
      </c>
      <c r="I1785" s="195" t="s">
        <v>772</v>
      </c>
      <c r="J1785" s="196" t="s">
        <v>772</v>
      </c>
    </row>
    <row r="1786" ht="26.25" customHeight="1">
      <c r="A1786" s="11"/>
      <c r="B1786" s="13"/>
      <c r="C1786" s="16" t="s">
        <v>772</v>
      </c>
      <c r="D1786" s="13"/>
      <c r="E1786" s="13"/>
      <c r="F1786" s="13"/>
      <c r="G1786" s="193">
        <v>0.0</v>
      </c>
      <c r="H1786" s="193">
        <v>0.0</v>
      </c>
      <c r="I1786" s="193" t="s">
        <v>772</v>
      </c>
      <c r="J1786" s="194" t="s">
        <v>772</v>
      </c>
    </row>
    <row r="1787" ht="26.25" customHeight="1">
      <c r="A1787" s="47"/>
      <c r="B1787" s="48"/>
      <c r="C1787" s="50" t="s">
        <v>772</v>
      </c>
      <c r="D1787" s="48"/>
      <c r="E1787" s="48"/>
      <c r="F1787" s="48"/>
      <c r="G1787" s="195">
        <v>0.0</v>
      </c>
      <c r="H1787" s="195">
        <v>0.0</v>
      </c>
      <c r="I1787" s="195" t="s">
        <v>772</v>
      </c>
      <c r="J1787" s="196" t="s">
        <v>772</v>
      </c>
    </row>
    <row r="1788" ht="26.25" customHeight="1">
      <c r="A1788" s="11"/>
      <c r="B1788" s="13"/>
      <c r="C1788" s="16" t="s">
        <v>772</v>
      </c>
      <c r="D1788" s="13"/>
      <c r="E1788" s="13"/>
      <c r="F1788" s="13"/>
      <c r="G1788" s="193">
        <v>0.0</v>
      </c>
      <c r="H1788" s="193">
        <v>0.0</v>
      </c>
      <c r="I1788" s="193" t="s">
        <v>772</v>
      </c>
      <c r="J1788" s="194" t="s">
        <v>772</v>
      </c>
    </row>
    <row r="1789" ht="26.25" customHeight="1">
      <c r="A1789" s="47"/>
      <c r="B1789" s="48"/>
      <c r="C1789" s="50" t="s">
        <v>772</v>
      </c>
      <c r="D1789" s="48"/>
      <c r="E1789" s="48"/>
      <c r="F1789" s="48"/>
      <c r="G1789" s="195">
        <v>0.0</v>
      </c>
      <c r="H1789" s="195">
        <v>0.0</v>
      </c>
      <c r="I1789" s="195" t="s">
        <v>772</v>
      </c>
      <c r="J1789" s="196" t="s">
        <v>772</v>
      </c>
    </row>
    <row r="1790" ht="26.25" customHeight="1">
      <c r="A1790" s="11"/>
      <c r="B1790" s="13"/>
      <c r="C1790" s="16" t="s">
        <v>772</v>
      </c>
      <c r="D1790" s="13"/>
      <c r="E1790" s="13"/>
      <c r="F1790" s="13"/>
      <c r="G1790" s="193">
        <v>0.0</v>
      </c>
      <c r="H1790" s="193">
        <v>0.0</v>
      </c>
      <c r="I1790" s="193" t="s">
        <v>772</v>
      </c>
      <c r="J1790" s="194" t="s">
        <v>772</v>
      </c>
    </row>
    <row r="1791" ht="26.25" customHeight="1">
      <c r="A1791" s="47"/>
      <c r="B1791" s="48"/>
      <c r="C1791" s="50" t="s">
        <v>772</v>
      </c>
      <c r="D1791" s="48"/>
      <c r="E1791" s="48"/>
      <c r="F1791" s="48"/>
      <c r="G1791" s="195">
        <v>0.0</v>
      </c>
      <c r="H1791" s="195">
        <v>0.0</v>
      </c>
      <c r="I1791" s="195" t="s">
        <v>772</v>
      </c>
      <c r="J1791" s="196" t="s">
        <v>772</v>
      </c>
    </row>
    <row r="1792" ht="26.25" customHeight="1">
      <c r="A1792" s="11"/>
      <c r="B1792" s="13"/>
      <c r="C1792" s="16" t="s">
        <v>772</v>
      </c>
      <c r="D1792" s="13"/>
      <c r="E1792" s="13"/>
      <c r="F1792" s="13"/>
      <c r="G1792" s="193">
        <v>0.0</v>
      </c>
      <c r="H1792" s="193">
        <v>0.0</v>
      </c>
      <c r="I1792" s="193" t="s">
        <v>772</v>
      </c>
      <c r="J1792" s="194" t="s">
        <v>772</v>
      </c>
    </row>
    <row r="1793" ht="26.25" customHeight="1">
      <c r="A1793" s="47"/>
      <c r="B1793" s="48"/>
      <c r="C1793" s="50" t="s">
        <v>772</v>
      </c>
      <c r="D1793" s="48"/>
      <c r="E1793" s="48"/>
      <c r="F1793" s="48"/>
      <c r="G1793" s="195">
        <v>0.0</v>
      </c>
      <c r="H1793" s="195">
        <v>0.0</v>
      </c>
      <c r="I1793" s="195" t="s">
        <v>772</v>
      </c>
      <c r="J1793" s="196" t="s">
        <v>772</v>
      </c>
    </row>
    <row r="1794" ht="26.25" customHeight="1">
      <c r="A1794" s="11"/>
      <c r="B1794" s="13"/>
      <c r="C1794" s="16" t="s">
        <v>772</v>
      </c>
      <c r="D1794" s="13"/>
      <c r="E1794" s="13"/>
      <c r="F1794" s="13"/>
      <c r="G1794" s="193">
        <v>0.0</v>
      </c>
      <c r="H1794" s="193">
        <v>0.0</v>
      </c>
      <c r="I1794" s="193" t="s">
        <v>772</v>
      </c>
      <c r="J1794" s="194" t="s">
        <v>772</v>
      </c>
    </row>
    <row r="1795" ht="26.25" customHeight="1">
      <c r="A1795" s="47"/>
      <c r="B1795" s="48"/>
      <c r="C1795" s="50" t="s">
        <v>772</v>
      </c>
      <c r="D1795" s="48"/>
      <c r="E1795" s="48"/>
      <c r="F1795" s="48"/>
      <c r="G1795" s="195">
        <v>0.0</v>
      </c>
      <c r="H1795" s="195">
        <v>0.0</v>
      </c>
      <c r="I1795" s="195" t="s">
        <v>772</v>
      </c>
      <c r="J1795" s="196" t="s">
        <v>772</v>
      </c>
    </row>
    <row r="1796" ht="26.25" customHeight="1">
      <c r="A1796" s="11"/>
      <c r="B1796" s="13"/>
      <c r="C1796" s="16" t="s">
        <v>772</v>
      </c>
      <c r="D1796" s="13"/>
      <c r="E1796" s="13"/>
      <c r="F1796" s="13"/>
      <c r="G1796" s="193">
        <v>0.0</v>
      </c>
      <c r="H1796" s="193">
        <v>0.0</v>
      </c>
      <c r="I1796" s="193" t="s">
        <v>772</v>
      </c>
      <c r="J1796" s="194" t="s">
        <v>772</v>
      </c>
    </row>
    <row r="1797" ht="26.25" customHeight="1">
      <c r="A1797" s="47"/>
      <c r="B1797" s="48"/>
      <c r="C1797" s="50" t="s">
        <v>772</v>
      </c>
      <c r="D1797" s="48"/>
      <c r="E1797" s="48"/>
      <c r="F1797" s="48"/>
      <c r="G1797" s="195">
        <v>0.0</v>
      </c>
      <c r="H1797" s="195">
        <v>0.0</v>
      </c>
      <c r="I1797" s="195" t="s">
        <v>772</v>
      </c>
      <c r="J1797" s="196" t="s">
        <v>772</v>
      </c>
    </row>
    <row r="1798" ht="26.25" customHeight="1">
      <c r="A1798" s="11"/>
      <c r="B1798" s="13"/>
      <c r="C1798" s="16" t="s">
        <v>772</v>
      </c>
      <c r="D1798" s="13"/>
      <c r="E1798" s="13"/>
      <c r="F1798" s="13"/>
      <c r="G1798" s="193">
        <v>0.0</v>
      </c>
      <c r="H1798" s="193">
        <v>0.0</v>
      </c>
      <c r="I1798" s="193" t="s">
        <v>772</v>
      </c>
      <c r="J1798" s="194" t="s">
        <v>772</v>
      </c>
    </row>
    <row r="1799" ht="26.25" customHeight="1">
      <c r="A1799" s="47"/>
      <c r="B1799" s="48"/>
      <c r="C1799" s="50" t="s">
        <v>772</v>
      </c>
      <c r="D1799" s="48"/>
      <c r="E1799" s="48"/>
      <c r="F1799" s="48"/>
      <c r="G1799" s="195">
        <v>0.0</v>
      </c>
      <c r="H1799" s="195">
        <v>0.0</v>
      </c>
      <c r="I1799" s="195" t="s">
        <v>772</v>
      </c>
      <c r="J1799" s="196" t="s">
        <v>772</v>
      </c>
    </row>
    <row r="1800" ht="26.25" customHeight="1">
      <c r="A1800" s="11"/>
      <c r="B1800" s="13"/>
      <c r="C1800" s="16" t="s">
        <v>772</v>
      </c>
      <c r="D1800" s="13"/>
      <c r="E1800" s="13"/>
      <c r="F1800" s="13"/>
      <c r="G1800" s="193">
        <v>0.0</v>
      </c>
      <c r="H1800" s="193">
        <v>0.0</v>
      </c>
      <c r="I1800" s="193" t="s">
        <v>772</v>
      </c>
      <c r="J1800" s="194" t="s">
        <v>772</v>
      </c>
    </row>
    <row r="1801" ht="26.25" customHeight="1">
      <c r="A1801" s="47"/>
      <c r="B1801" s="48"/>
      <c r="C1801" s="50" t="s">
        <v>772</v>
      </c>
      <c r="D1801" s="48"/>
      <c r="E1801" s="48"/>
      <c r="F1801" s="48"/>
      <c r="G1801" s="195">
        <v>0.0</v>
      </c>
      <c r="H1801" s="195">
        <v>0.0</v>
      </c>
      <c r="I1801" s="195" t="s">
        <v>772</v>
      </c>
      <c r="J1801" s="196" t="s">
        <v>772</v>
      </c>
    </row>
    <row r="1802" ht="26.25" customHeight="1">
      <c r="A1802" s="11"/>
      <c r="B1802" s="13"/>
      <c r="C1802" s="16" t="s">
        <v>772</v>
      </c>
      <c r="D1802" s="13"/>
      <c r="E1802" s="13"/>
      <c r="F1802" s="13"/>
      <c r="G1802" s="193">
        <v>0.0</v>
      </c>
      <c r="H1802" s="193">
        <v>0.0</v>
      </c>
      <c r="I1802" s="193" t="s">
        <v>772</v>
      </c>
      <c r="J1802" s="194" t="s">
        <v>772</v>
      </c>
    </row>
    <row r="1803" ht="26.25" customHeight="1">
      <c r="A1803" s="47"/>
      <c r="B1803" s="48"/>
      <c r="C1803" s="50" t="s">
        <v>772</v>
      </c>
      <c r="D1803" s="48"/>
      <c r="E1803" s="48"/>
      <c r="F1803" s="48"/>
      <c r="G1803" s="195">
        <v>0.0</v>
      </c>
      <c r="H1803" s="195">
        <v>0.0</v>
      </c>
      <c r="I1803" s="195" t="s">
        <v>772</v>
      </c>
      <c r="J1803" s="196" t="s">
        <v>772</v>
      </c>
    </row>
    <row r="1804" ht="26.25" customHeight="1">
      <c r="A1804" s="11"/>
      <c r="B1804" s="13"/>
      <c r="C1804" s="16" t="s">
        <v>772</v>
      </c>
      <c r="D1804" s="13"/>
      <c r="E1804" s="13"/>
      <c r="F1804" s="13"/>
      <c r="G1804" s="193">
        <v>0.0</v>
      </c>
      <c r="H1804" s="193">
        <v>0.0</v>
      </c>
      <c r="I1804" s="193" t="s">
        <v>772</v>
      </c>
      <c r="J1804" s="194" t="s">
        <v>772</v>
      </c>
    </row>
    <row r="1805" ht="26.25" customHeight="1">
      <c r="A1805" s="47"/>
      <c r="B1805" s="48"/>
      <c r="C1805" s="50" t="s">
        <v>772</v>
      </c>
      <c r="D1805" s="48"/>
      <c r="E1805" s="48"/>
      <c r="F1805" s="48"/>
      <c r="G1805" s="195">
        <v>0.0</v>
      </c>
      <c r="H1805" s="195">
        <v>0.0</v>
      </c>
      <c r="I1805" s="195" t="s">
        <v>772</v>
      </c>
      <c r="J1805" s="196" t="s">
        <v>772</v>
      </c>
    </row>
    <row r="1806" ht="26.25" customHeight="1">
      <c r="A1806" s="11"/>
      <c r="B1806" s="13"/>
      <c r="C1806" s="16" t="s">
        <v>772</v>
      </c>
      <c r="D1806" s="13"/>
      <c r="E1806" s="13"/>
      <c r="F1806" s="13"/>
      <c r="G1806" s="193">
        <v>0.0</v>
      </c>
      <c r="H1806" s="193">
        <v>0.0</v>
      </c>
      <c r="I1806" s="193" t="s">
        <v>772</v>
      </c>
      <c r="J1806" s="194" t="s">
        <v>772</v>
      </c>
    </row>
    <row r="1807" ht="26.25" customHeight="1">
      <c r="A1807" s="47"/>
      <c r="B1807" s="48"/>
      <c r="C1807" s="50" t="s">
        <v>772</v>
      </c>
      <c r="D1807" s="48"/>
      <c r="E1807" s="48"/>
      <c r="F1807" s="48"/>
      <c r="G1807" s="195">
        <v>0.0</v>
      </c>
      <c r="H1807" s="195">
        <v>0.0</v>
      </c>
      <c r="I1807" s="195" t="s">
        <v>772</v>
      </c>
      <c r="J1807" s="196" t="s">
        <v>772</v>
      </c>
    </row>
    <row r="1808" ht="26.25" customHeight="1">
      <c r="A1808" s="11"/>
      <c r="B1808" s="13"/>
      <c r="C1808" s="16" t="s">
        <v>772</v>
      </c>
      <c r="D1808" s="13"/>
      <c r="E1808" s="13"/>
      <c r="F1808" s="13"/>
      <c r="G1808" s="193">
        <v>0.0</v>
      </c>
      <c r="H1808" s="193">
        <v>0.0</v>
      </c>
      <c r="I1808" s="193" t="s">
        <v>772</v>
      </c>
      <c r="J1808" s="194" t="s">
        <v>772</v>
      </c>
    </row>
    <row r="1809" ht="26.25" customHeight="1">
      <c r="A1809" s="47"/>
      <c r="B1809" s="48"/>
      <c r="C1809" s="50" t="s">
        <v>772</v>
      </c>
      <c r="D1809" s="48"/>
      <c r="E1809" s="48"/>
      <c r="F1809" s="48"/>
      <c r="G1809" s="195">
        <v>0.0</v>
      </c>
      <c r="H1809" s="195">
        <v>0.0</v>
      </c>
      <c r="I1809" s="195" t="s">
        <v>772</v>
      </c>
      <c r="J1809" s="196" t="s">
        <v>772</v>
      </c>
    </row>
    <row r="1810" ht="26.25" customHeight="1">
      <c r="A1810" s="11"/>
      <c r="B1810" s="13"/>
      <c r="C1810" s="16" t="s">
        <v>772</v>
      </c>
      <c r="D1810" s="13"/>
      <c r="E1810" s="13"/>
      <c r="F1810" s="13"/>
      <c r="G1810" s="193">
        <v>0.0</v>
      </c>
      <c r="H1810" s="193">
        <v>0.0</v>
      </c>
      <c r="I1810" s="193" t="s">
        <v>772</v>
      </c>
      <c r="J1810" s="194" t="s">
        <v>772</v>
      </c>
    </row>
    <row r="1811" ht="26.25" customHeight="1">
      <c r="A1811" s="47"/>
      <c r="B1811" s="48"/>
      <c r="C1811" s="50" t="s">
        <v>772</v>
      </c>
      <c r="D1811" s="48"/>
      <c r="E1811" s="48"/>
      <c r="F1811" s="48"/>
      <c r="G1811" s="195">
        <v>0.0</v>
      </c>
      <c r="H1811" s="195">
        <v>0.0</v>
      </c>
      <c r="I1811" s="195" t="s">
        <v>772</v>
      </c>
      <c r="J1811" s="196" t="s">
        <v>772</v>
      </c>
    </row>
    <row r="1812" ht="26.25" customHeight="1">
      <c r="A1812" s="11"/>
      <c r="B1812" s="13"/>
      <c r="C1812" s="16" t="s">
        <v>772</v>
      </c>
      <c r="D1812" s="13"/>
      <c r="E1812" s="13"/>
      <c r="F1812" s="13"/>
      <c r="G1812" s="193">
        <v>0.0</v>
      </c>
      <c r="H1812" s="193">
        <v>0.0</v>
      </c>
      <c r="I1812" s="193" t="s">
        <v>772</v>
      </c>
      <c r="J1812" s="194" t="s">
        <v>772</v>
      </c>
    </row>
    <row r="1813" ht="26.25" customHeight="1">
      <c r="A1813" s="47"/>
      <c r="B1813" s="48"/>
      <c r="C1813" s="50" t="s">
        <v>772</v>
      </c>
      <c r="D1813" s="48"/>
      <c r="E1813" s="48"/>
      <c r="F1813" s="48"/>
      <c r="G1813" s="195">
        <v>0.0</v>
      </c>
      <c r="H1813" s="195">
        <v>0.0</v>
      </c>
      <c r="I1813" s="195" t="s">
        <v>772</v>
      </c>
      <c r="J1813" s="196" t="s">
        <v>772</v>
      </c>
    </row>
    <row r="1814" ht="26.25" customHeight="1">
      <c r="A1814" s="11"/>
      <c r="B1814" s="13"/>
      <c r="C1814" s="16" t="s">
        <v>772</v>
      </c>
      <c r="D1814" s="13"/>
      <c r="E1814" s="13"/>
      <c r="F1814" s="13"/>
      <c r="G1814" s="193">
        <v>0.0</v>
      </c>
      <c r="H1814" s="193">
        <v>0.0</v>
      </c>
      <c r="I1814" s="193" t="s">
        <v>772</v>
      </c>
      <c r="J1814" s="194" t="s">
        <v>772</v>
      </c>
    </row>
    <row r="1815" ht="26.25" customHeight="1">
      <c r="A1815" s="47"/>
      <c r="B1815" s="48"/>
      <c r="C1815" s="50" t="s">
        <v>772</v>
      </c>
      <c r="D1815" s="48"/>
      <c r="E1815" s="48"/>
      <c r="F1815" s="48"/>
      <c r="G1815" s="195">
        <v>0.0</v>
      </c>
      <c r="H1815" s="195">
        <v>0.0</v>
      </c>
      <c r="I1815" s="195" t="s">
        <v>772</v>
      </c>
      <c r="J1815" s="196" t="s">
        <v>772</v>
      </c>
    </row>
    <row r="1816" ht="26.25" customHeight="1">
      <c r="A1816" s="11"/>
      <c r="B1816" s="13"/>
      <c r="C1816" s="16" t="s">
        <v>772</v>
      </c>
      <c r="D1816" s="13"/>
      <c r="E1816" s="13"/>
      <c r="F1816" s="13"/>
      <c r="G1816" s="193">
        <v>0.0</v>
      </c>
      <c r="H1816" s="193">
        <v>0.0</v>
      </c>
      <c r="I1816" s="193" t="s">
        <v>772</v>
      </c>
      <c r="J1816" s="194" t="s">
        <v>772</v>
      </c>
    </row>
    <row r="1817" ht="26.25" customHeight="1">
      <c r="A1817" s="47"/>
      <c r="B1817" s="48"/>
      <c r="C1817" s="50" t="s">
        <v>772</v>
      </c>
      <c r="D1817" s="48"/>
      <c r="E1817" s="48"/>
      <c r="F1817" s="48"/>
      <c r="G1817" s="195">
        <v>0.0</v>
      </c>
      <c r="H1817" s="195">
        <v>0.0</v>
      </c>
      <c r="I1817" s="195" t="s">
        <v>772</v>
      </c>
      <c r="J1817" s="196" t="s">
        <v>772</v>
      </c>
    </row>
    <row r="1818" ht="26.25" customHeight="1">
      <c r="A1818" s="11"/>
      <c r="B1818" s="13"/>
      <c r="C1818" s="16" t="s">
        <v>772</v>
      </c>
      <c r="D1818" s="13"/>
      <c r="E1818" s="13"/>
      <c r="F1818" s="13"/>
      <c r="G1818" s="193">
        <v>0.0</v>
      </c>
      <c r="H1818" s="193">
        <v>0.0</v>
      </c>
      <c r="I1818" s="193" t="s">
        <v>772</v>
      </c>
      <c r="J1818" s="194" t="s">
        <v>772</v>
      </c>
    </row>
    <row r="1819" ht="26.25" customHeight="1">
      <c r="A1819" s="47"/>
      <c r="B1819" s="48"/>
      <c r="C1819" s="50" t="s">
        <v>772</v>
      </c>
      <c r="D1819" s="48"/>
      <c r="E1819" s="48"/>
      <c r="F1819" s="48"/>
      <c r="G1819" s="195">
        <v>0.0</v>
      </c>
      <c r="H1819" s="195">
        <v>0.0</v>
      </c>
      <c r="I1819" s="195" t="s">
        <v>772</v>
      </c>
      <c r="J1819" s="196" t="s">
        <v>772</v>
      </c>
    </row>
    <row r="1820" ht="26.25" customHeight="1">
      <c r="A1820" s="11"/>
      <c r="B1820" s="13"/>
      <c r="C1820" s="16" t="s">
        <v>772</v>
      </c>
      <c r="D1820" s="13"/>
      <c r="E1820" s="13"/>
      <c r="F1820" s="13"/>
      <c r="G1820" s="193">
        <v>0.0</v>
      </c>
      <c r="H1820" s="193">
        <v>0.0</v>
      </c>
      <c r="I1820" s="193" t="s">
        <v>772</v>
      </c>
      <c r="J1820" s="194" t="s">
        <v>772</v>
      </c>
    </row>
    <row r="1821" ht="26.25" customHeight="1">
      <c r="A1821" s="47"/>
      <c r="B1821" s="48"/>
      <c r="C1821" s="50" t="s">
        <v>772</v>
      </c>
      <c r="D1821" s="48"/>
      <c r="E1821" s="48"/>
      <c r="F1821" s="48"/>
      <c r="G1821" s="195">
        <v>0.0</v>
      </c>
      <c r="H1821" s="195">
        <v>0.0</v>
      </c>
      <c r="I1821" s="195" t="s">
        <v>772</v>
      </c>
      <c r="J1821" s="196" t="s">
        <v>772</v>
      </c>
    </row>
    <row r="1822" ht="26.25" customHeight="1">
      <c r="A1822" s="11"/>
      <c r="B1822" s="13"/>
      <c r="C1822" s="16" t="s">
        <v>772</v>
      </c>
      <c r="D1822" s="13"/>
      <c r="E1822" s="13"/>
      <c r="F1822" s="13"/>
      <c r="G1822" s="193">
        <v>0.0</v>
      </c>
      <c r="H1822" s="193">
        <v>0.0</v>
      </c>
      <c r="I1822" s="193" t="s">
        <v>772</v>
      </c>
      <c r="J1822" s="194" t="s">
        <v>772</v>
      </c>
    </row>
    <row r="1823" ht="26.25" customHeight="1">
      <c r="A1823" s="47"/>
      <c r="B1823" s="48"/>
      <c r="C1823" s="50" t="s">
        <v>772</v>
      </c>
      <c r="D1823" s="48"/>
      <c r="E1823" s="48"/>
      <c r="F1823" s="48"/>
      <c r="G1823" s="195">
        <v>0.0</v>
      </c>
      <c r="H1823" s="195">
        <v>0.0</v>
      </c>
      <c r="I1823" s="195" t="s">
        <v>772</v>
      </c>
      <c r="J1823" s="196" t="s">
        <v>772</v>
      </c>
    </row>
    <row r="1824" ht="26.25" customHeight="1">
      <c r="A1824" s="11"/>
      <c r="B1824" s="13"/>
      <c r="C1824" s="16" t="s">
        <v>772</v>
      </c>
      <c r="D1824" s="13"/>
      <c r="E1824" s="13"/>
      <c r="F1824" s="13"/>
      <c r="G1824" s="193">
        <v>0.0</v>
      </c>
      <c r="H1824" s="193">
        <v>0.0</v>
      </c>
      <c r="I1824" s="193" t="s">
        <v>772</v>
      </c>
      <c r="J1824" s="194" t="s">
        <v>772</v>
      </c>
    </row>
    <row r="1825" ht="26.25" customHeight="1">
      <c r="A1825" s="47"/>
      <c r="B1825" s="48"/>
      <c r="C1825" s="50" t="s">
        <v>772</v>
      </c>
      <c r="D1825" s="48"/>
      <c r="E1825" s="48"/>
      <c r="F1825" s="48"/>
      <c r="G1825" s="195">
        <v>0.0</v>
      </c>
      <c r="H1825" s="195">
        <v>0.0</v>
      </c>
      <c r="I1825" s="195" t="s">
        <v>772</v>
      </c>
      <c r="J1825" s="196" t="s">
        <v>772</v>
      </c>
    </row>
    <row r="1826" ht="26.25" customHeight="1">
      <c r="A1826" s="11"/>
      <c r="B1826" s="13"/>
      <c r="C1826" s="16" t="s">
        <v>772</v>
      </c>
      <c r="D1826" s="13"/>
      <c r="E1826" s="13"/>
      <c r="F1826" s="13"/>
      <c r="G1826" s="193">
        <v>0.0</v>
      </c>
      <c r="H1826" s="193">
        <v>0.0</v>
      </c>
      <c r="I1826" s="193" t="s">
        <v>772</v>
      </c>
      <c r="J1826" s="194" t="s">
        <v>772</v>
      </c>
    </row>
    <row r="1827" ht="26.25" customHeight="1">
      <c r="A1827" s="47"/>
      <c r="B1827" s="48"/>
      <c r="C1827" s="50" t="s">
        <v>772</v>
      </c>
      <c r="D1827" s="48"/>
      <c r="E1827" s="48"/>
      <c r="F1827" s="48"/>
      <c r="G1827" s="195">
        <v>0.0</v>
      </c>
      <c r="H1827" s="195">
        <v>0.0</v>
      </c>
      <c r="I1827" s="195" t="s">
        <v>772</v>
      </c>
      <c r="J1827" s="196" t="s">
        <v>772</v>
      </c>
    </row>
    <row r="1828" ht="26.25" customHeight="1">
      <c r="A1828" s="11"/>
      <c r="B1828" s="13"/>
      <c r="C1828" s="16" t="s">
        <v>772</v>
      </c>
      <c r="D1828" s="13"/>
      <c r="E1828" s="13"/>
      <c r="F1828" s="13"/>
      <c r="G1828" s="193">
        <v>0.0</v>
      </c>
      <c r="H1828" s="193">
        <v>0.0</v>
      </c>
      <c r="I1828" s="193" t="s">
        <v>772</v>
      </c>
      <c r="J1828" s="194" t="s">
        <v>772</v>
      </c>
    </row>
    <row r="1829" ht="26.25" customHeight="1">
      <c r="A1829" s="47"/>
      <c r="B1829" s="48"/>
      <c r="C1829" s="50" t="s">
        <v>772</v>
      </c>
      <c r="D1829" s="48"/>
      <c r="E1829" s="48"/>
      <c r="F1829" s="48"/>
      <c r="G1829" s="195">
        <v>0.0</v>
      </c>
      <c r="H1829" s="195">
        <v>0.0</v>
      </c>
      <c r="I1829" s="195" t="s">
        <v>772</v>
      </c>
      <c r="J1829" s="196" t="s">
        <v>772</v>
      </c>
    </row>
    <row r="1830" ht="26.25" customHeight="1">
      <c r="A1830" s="11"/>
      <c r="B1830" s="13"/>
      <c r="C1830" s="16" t="s">
        <v>772</v>
      </c>
      <c r="D1830" s="13"/>
      <c r="E1830" s="13"/>
      <c r="F1830" s="13"/>
      <c r="G1830" s="193">
        <v>0.0</v>
      </c>
      <c r="H1830" s="193">
        <v>0.0</v>
      </c>
      <c r="I1830" s="193" t="s">
        <v>772</v>
      </c>
      <c r="J1830" s="194" t="s">
        <v>772</v>
      </c>
    </row>
    <row r="1831" ht="26.25" customHeight="1">
      <c r="A1831" s="47"/>
      <c r="B1831" s="48"/>
      <c r="C1831" s="50" t="s">
        <v>772</v>
      </c>
      <c r="D1831" s="48"/>
      <c r="E1831" s="48"/>
      <c r="F1831" s="48"/>
      <c r="G1831" s="195">
        <v>0.0</v>
      </c>
      <c r="H1831" s="195">
        <v>0.0</v>
      </c>
      <c r="I1831" s="195" t="s">
        <v>772</v>
      </c>
      <c r="J1831" s="196" t="s">
        <v>772</v>
      </c>
    </row>
    <row r="1832" ht="26.25" customHeight="1">
      <c r="A1832" s="11"/>
      <c r="B1832" s="13"/>
      <c r="C1832" s="16" t="s">
        <v>772</v>
      </c>
      <c r="D1832" s="13"/>
      <c r="E1832" s="13"/>
      <c r="F1832" s="13"/>
      <c r="G1832" s="193">
        <v>0.0</v>
      </c>
      <c r="H1832" s="193">
        <v>0.0</v>
      </c>
      <c r="I1832" s="193" t="s">
        <v>772</v>
      </c>
      <c r="J1832" s="194" t="s">
        <v>772</v>
      </c>
    </row>
    <row r="1833" ht="26.25" customHeight="1">
      <c r="A1833" s="47"/>
      <c r="B1833" s="48"/>
      <c r="C1833" s="50" t="s">
        <v>772</v>
      </c>
      <c r="D1833" s="48"/>
      <c r="E1833" s="48"/>
      <c r="F1833" s="48"/>
      <c r="G1833" s="195">
        <v>0.0</v>
      </c>
      <c r="H1833" s="195">
        <v>0.0</v>
      </c>
      <c r="I1833" s="195" t="s">
        <v>772</v>
      </c>
      <c r="J1833" s="196" t="s">
        <v>772</v>
      </c>
    </row>
    <row r="1834" ht="26.25" customHeight="1">
      <c r="A1834" s="11"/>
      <c r="B1834" s="13"/>
      <c r="C1834" s="16" t="s">
        <v>772</v>
      </c>
      <c r="D1834" s="13"/>
      <c r="E1834" s="13"/>
      <c r="F1834" s="13"/>
      <c r="G1834" s="193">
        <v>0.0</v>
      </c>
      <c r="H1834" s="193">
        <v>0.0</v>
      </c>
      <c r="I1834" s="193" t="s">
        <v>772</v>
      </c>
      <c r="J1834" s="194" t="s">
        <v>772</v>
      </c>
    </row>
    <row r="1835" ht="26.25" customHeight="1">
      <c r="A1835" s="47"/>
      <c r="B1835" s="48"/>
      <c r="C1835" s="50" t="s">
        <v>772</v>
      </c>
      <c r="D1835" s="48"/>
      <c r="E1835" s="48"/>
      <c r="F1835" s="48"/>
      <c r="G1835" s="195">
        <v>0.0</v>
      </c>
      <c r="H1835" s="195">
        <v>0.0</v>
      </c>
      <c r="I1835" s="195" t="s">
        <v>772</v>
      </c>
      <c r="J1835" s="196" t="s">
        <v>772</v>
      </c>
    </row>
    <row r="1836" ht="26.25" customHeight="1">
      <c r="A1836" s="11"/>
      <c r="B1836" s="13"/>
      <c r="C1836" s="16" t="s">
        <v>772</v>
      </c>
      <c r="D1836" s="13"/>
      <c r="E1836" s="13"/>
      <c r="F1836" s="13"/>
      <c r="G1836" s="193">
        <v>0.0</v>
      </c>
      <c r="H1836" s="193">
        <v>0.0</v>
      </c>
      <c r="I1836" s="193" t="s">
        <v>772</v>
      </c>
      <c r="J1836" s="194" t="s">
        <v>772</v>
      </c>
    </row>
    <row r="1837" ht="26.25" customHeight="1">
      <c r="A1837" s="47"/>
      <c r="B1837" s="48"/>
      <c r="C1837" s="50" t="s">
        <v>772</v>
      </c>
      <c r="D1837" s="48"/>
      <c r="E1837" s="48"/>
      <c r="F1837" s="48"/>
      <c r="G1837" s="195">
        <v>0.0</v>
      </c>
      <c r="H1837" s="195">
        <v>0.0</v>
      </c>
      <c r="I1837" s="195" t="s">
        <v>772</v>
      </c>
      <c r="J1837" s="196" t="s">
        <v>772</v>
      </c>
    </row>
    <row r="1838" ht="26.25" customHeight="1">
      <c r="A1838" s="11"/>
      <c r="B1838" s="13"/>
      <c r="C1838" s="16" t="s">
        <v>772</v>
      </c>
      <c r="D1838" s="13"/>
      <c r="E1838" s="13"/>
      <c r="F1838" s="13"/>
      <c r="G1838" s="193">
        <v>0.0</v>
      </c>
      <c r="H1838" s="193">
        <v>0.0</v>
      </c>
      <c r="I1838" s="193" t="s">
        <v>772</v>
      </c>
      <c r="J1838" s="194" t="s">
        <v>772</v>
      </c>
    </row>
    <row r="1839" ht="26.25" customHeight="1">
      <c r="A1839" s="47"/>
      <c r="B1839" s="48"/>
      <c r="C1839" s="50" t="s">
        <v>772</v>
      </c>
      <c r="D1839" s="48"/>
      <c r="E1839" s="48"/>
      <c r="F1839" s="48"/>
      <c r="G1839" s="195">
        <v>0.0</v>
      </c>
      <c r="H1839" s="195">
        <v>0.0</v>
      </c>
      <c r="I1839" s="195" t="s">
        <v>772</v>
      </c>
      <c r="J1839" s="196" t="s">
        <v>772</v>
      </c>
    </row>
    <row r="1840" ht="26.25" customHeight="1">
      <c r="A1840" s="11"/>
      <c r="B1840" s="13"/>
      <c r="C1840" s="16" t="s">
        <v>772</v>
      </c>
      <c r="D1840" s="13"/>
      <c r="E1840" s="13"/>
      <c r="F1840" s="13"/>
      <c r="G1840" s="193">
        <v>0.0</v>
      </c>
      <c r="H1840" s="193">
        <v>0.0</v>
      </c>
      <c r="I1840" s="193" t="s">
        <v>772</v>
      </c>
      <c r="J1840" s="194" t="s">
        <v>772</v>
      </c>
    </row>
    <row r="1841" ht="26.25" customHeight="1">
      <c r="A1841" s="47"/>
      <c r="B1841" s="48"/>
      <c r="C1841" s="50" t="s">
        <v>772</v>
      </c>
      <c r="D1841" s="48"/>
      <c r="E1841" s="48"/>
      <c r="F1841" s="48"/>
      <c r="G1841" s="195">
        <v>0.0</v>
      </c>
      <c r="H1841" s="195">
        <v>0.0</v>
      </c>
      <c r="I1841" s="195" t="s">
        <v>772</v>
      </c>
      <c r="J1841" s="196" t="s">
        <v>772</v>
      </c>
    </row>
    <row r="1842" ht="26.25" customHeight="1">
      <c r="A1842" s="11"/>
      <c r="B1842" s="13"/>
      <c r="C1842" s="16" t="s">
        <v>772</v>
      </c>
      <c r="D1842" s="13"/>
      <c r="E1842" s="13"/>
      <c r="F1842" s="13"/>
      <c r="G1842" s="193">
        <v>0.0</v>
      </c>
      <c r="H1842" s="193">
        <v>0.0</v>
      </c>
      <c r="I1842" s="193" t="s">
        <v>772</v>
      </c>
      <c r="J1842" s="194" t="s">
        <v>772</v>
      </c>
    </row>
    <row r="1843" ht="26.25" customHeight="1">
      <c r="A1843" s="47"/>
      <c r="B1843" s="48"/>
      <c r="C1843" s="50" t="s">
        <v>772</v>
      </c>
      <c r="D1843" s="48"/>
      <c r="E1843" s="48"/>
      <c r="F1843" s="48"/>
      <c r="G1843" s="195">
        <v>0.0</v>
      </c>
      <c r="H1843" s="195">
        <v>0.0</v>
      </c>
      <c r="I1843" s="195" t="s">
        <v>772</v>
      </c>
      <c r="J1843" s="196" t="s">
        <v>772</v>
      </c>
    </row>
    <row r="1844" ht="26.25" customHeight="1">
      <c r="A1844" s="11"/>
      <c r="B1844" s="13"/>
      <c r="C1844" s="16" t="s">
        <v>772</v>
      </c>
      <c r="D1844" s="13"/>
      <c r="E1844" s="13"/>
      <c r="F1844" s="13"/>
      <c r="G1844" s="193">
        <v>0.0</v>
      </c>
      <c r="H1844" s="193">
        <v>0.0</v>
      </c>
      <c r="I1844" s="193" t="s">
        <v>772</v>
      </c>
      <c r="J1844" s="194" t="s">
        <v>772</v>
      </c>
    </row>
    <row r="1845" ht="26.25" customHeight="1">
      <c r="A1845" s="47"/>
      <c r="B1845" s="48"/>
      <c r="C1845" s="50" t="s">
        <v>772</v>
      </c>
      <c r="D1845" s="48"/>
      <c r="E1845" s="48"/>
      <c r="F1845" s="48"/>
      <c r="G1845" s="195">
        <v>0.0</v>
      </c>
      <c r="H1845" s="195">
        <v>0.0</v>
      </c>
      <c r="I1845" s="195" t="s">
        <v>772</v>
      </c>
      <c r="J1845" s="196" t="s">
        <v>772</v>
      </c>
    </row>
    <row r="1846" ht="26.25" customHeight="1">
      <c r="A1846" s="11"/>
      <c r="B1846" s="13"/>
      <c r="C1846" s="16" t="s">
        <v>772</v>
      </c>
      <c r="D1846" s="13"/>
      <c r="E1846" s="13"/>
      <c r="F1846" s="13"/>
      <c r="G1846" s="193">
        <v>0.0</v>
      </c>
      <c r="H1846" s="193">
        <v>0.0</v>
      </c>
      <c r="I1846" s="193" t="s">
        <v>772</v>
      </c>
      <c r="J1846" s="194" t="s">
        <v>772</v>
      </c>
    </row>
    <row r="1847" ht="26.25" customHeight="1">
      <c r="A1847" s="47"/>
      <c r="B1847" s="48"/>
      <c r="C1847" s="50" t="s">
        <v>772</v>
      </c>
      <c r="D1847" s="48"/>
      <c r="E1847" s="48"/>
      <c r="F1847" s="48"/>
      <c r="G1847" s="195">
        <v>0.0</v>
      </c>
      <c r="H1847" s="195">
        <v>0.0</v>
      </c>
      <c r="I1847" s="195" t="s">
        <v>772</v>
      </c>
      <c r="J1847" s="196" t="s">
        <v>772</v>
      </c>
    </row>
    <row r="1848" ht="26.25" customHeight="1">
      <c r="A1848" s="11"/>
      <c r="B1848" s="13"/>
      <c r="C1848" s="16" t="s">
        <v>772</v>
      </c>
      <c r="D1848" s="13"/>
      <c r="E1848" s="13"/>
      <c r="F1848" s="13"/>
      <c r="G1848" s="193">
        <v>0.0</v>
      </c>
      <c r="H1848" s="193">
        <v>0.0</v>
      </c>
      <c r="I1848" s="193" t="s">
        <v>772</v>
      </c>
      <c r="J1848" s="194" t="s">
        <v>772</v>
      </c>
    </row>
    <row r="1849" ht="26.25" customHeight="1">
      <c r="A1849" s="47"/>
      <c r="B1849" s="48"/>
      <c r="C1849" s="50" t="s">
        <v>772</v>
      </c>
      <c r="D1849" s="48"/>
      <c r="E1849" s="48"/>
      <c r="F1849" s="48"/>
      <c r="G1849" s="195">
        <v>0.0</v>
      </c>
      <c r="H1849" s="195">
        <v>0.0</v>
      </c>
      <c r="I1849" s="195" t="s">
        <v>772</v>
      </c>
      <c r="J1849" s="196" t="s">
        <v>772</v>
      </c>
    </row>
    <row r="1850" ht="26.25" customHeight="1">
      <c r="A1850" s="11"/>
      <c r="B1850" s="13"/>
      <c r="C1850" s="16" t="s">
        <v>772</v>
      </c>
      <c r="D1850" s="13"/>
      <c r="E1850" s="13"/>
      <c r="F1850" s="13"/>
      <c r="G1850" s="193">
        <v>0.0</v>
      </c>
      <c r="H1850" s="193">
        <v>0.0</v>
      </c>
      <c r="I1850" s="193" t="s">
        <v>772</v>
      </c>
      <c r="J1850" s="194" t="s">
        <v>772</v>
      </c>
    </row>
    <row r="1851" ht="26.25" customHeight="1">
      <c r="A1851" s="47"/>
      <c r="B1851" s="48"/>
      <c r="C1851" s="50" t="s">
        <v>772</v>
      </c>
      <c r="D1851" s="48"/>
      <c r="E1851" s="48"/>
      <c r="F1851" s="48"/>
      <c r="G1851" s="195">
        <v>0.0</v>
      </c>
      <c r="H1851" s="195">
        <v>0.0</v>
      </c>
      <c r="I1851" s="195" t="s">
        <v>772</v>
      </c>
      <c r="J1851" s="196" t="s">
        <v>772</v>
      </c>
    </row>
    <row r="1852" ht="26.25" customHeight="1">
      <c r="A1852" s="11"/>
      <c r="B1852" s="13"/>
      <c r="C1852" s="16" t="s">
        <v>772</v>
      </c>
      <c r="D1852" s="13"/>
      <c r="E1852" s="13"/>
      <c r="F1852" s="13"/>
      <c r="G1852" s="193">
        <v>0.0</v>
      </c>
      <c r="H1852" s="193">
        <v>0.0</v>
      </c>
      <c r="I1852" s="193" t="s">
        <v>772</v>
      </c>
      <c r="J1852" s="194" t="s">
        <v>772</v>
      </c>
    </row>
    <row r="1853" ht="26.25" customHeight="1">
      <c r="A1853" s="47"/>
      <c r="B1853" s="48"/>
      <c r="C1853" s="50" t="s">
        <v>772</v>
      </c>
      <c r="D1853" s="48"/>
      <c r="E1853" s="48"/>
      <c r="F1853" s="48"/>
      <c r="G1853" s="195">
        <v>0.0</v>
      </c>
      <c r="H1853" s="195">
        <v>0.0</v>
      </c>
      <c r="I1853" s="195" t="s">
        <v>772</v>
      </c>
      <c r="J1853" s="196" t="s">
        <v>772</v>
      </c>
    </row>
    <row r="1854" ht="26.25" customHeight="1">
      <c r="A1854" s="11"/>
      <c r="B1854" s="13"/>
      <c r="C1854" s="16" t="s">
        <v>772</v>
      </c>
      <c r="D1854" s="13"/>
      <c r="E1854" s="13"/>
      <c r="F1854" s="13"/>
      <c r="G1854" s="193">
        <v>0.0</v>
      </c>
      <c r="H1854" s="193">
        <v>0.0</v>
      </c>
      <c r="I1854" s="193" t="s">
        <v>772</v>
      </c>
      <c r="J1854" s="194" t="s">
        <v>772</v>
      </c>
    </row>
    <row r="1855" ht="26.25" customHeight="1">
      <c r="A1855" s="47"/>
      <c r="B1855" s="48"/>
      <c r="C1855" s="50" t="s">
        <v>772</v>
      </c>
      <c r="D1855" s="48"/>
      <c r="E1855" s="48"/>
      <c r="F1855" s="48"/>
      <c r="G1855" s="195">
        <v>0.0</v>
      </c>
      <c r="H1855" s="195">
        <v>0.0</v>
      </c>
      <c r="I1855" s="195" t="s">
        <v>772</v>
      </c>
      <c r="J1855" s="196" t="s">
        <v>772</v>
      </c>
    </row>
    <row r="1856" ht="26.25" customHeight="1">
      <c r="A1856" s="11"/>
      <c r="B1856" s="13"/>
      <c r="C1856" s="16" t="s">
        <v>772</v>
      </c>
      <c r="D1856" s="13"/>
      <c r="E1856" s="13"/>
      <c r="F1856" s="13"/>
      <c r="G1856" s="193">
        <v>0.0</v>
      </c>
      <c r="H1856" s="193">
        <v>0.0</v>
      </c>
      <c r="I1856" s="193" t="s">
        <v>772</v>
      </c>
      <c r="J1856" s="194" t="s">
        <v>772</v>
      </c>
    </row>
    <row r="1857" ht="26.25" customHeight="1">
      <c r="A1857" s="47"/>
      <c r="B1857" s="48"/>
      <c r="C1857" s="50" t="s">
        <v>772</v>
      </c>
      <c r="D1857" s="48"/>
      <c r="E1857" s="48"/>
      <c r="F1857" s="48"/>
      <c r="G1857" s="195">
        <v>0.0</v>
      </c>
      <c r="H1857" s="195">
        <v>0.0</v>
      </c>
      <c r="I1857" s="195" t="s">
        <v>772</v>
      </c>
      <c r="J1857" s="196" t="s">
        <v>772</v>
      </c>
    </row>
    <row r="1858" ht="26.25" customHeight="1">
      <c r="A1858" s="11"/>
      <c r="B1858" s="13"/>
      <c r="C1858" s="16" t="s">
        <v>772</v>
      </c>
      <c r="D1858" s="13"/>
      <c r="E1858" s="13"/>
      <c r="F1858" s="13"/>
      <c r="G1858" s="193">
        <v>0.0</v>
      </c>
      <c r="H1858" s="193">
        <v>0.0</v>
      </c>
      <c r="I1858" s="193" t="s">
        <v>772</v>
      </c>
      <c r="J1858" s="194" t="s">
        <v>772</v>
      </c>
    </row>
    <row r="1859" ht="26.25" customHeight="1">
      <c r="A1859" s="47"/>
      <c r="B1859" s="48"/>
      <c r="C1859" s="50" t="s">
        <v>772</v>
      </c>
      <c r="D1859" s="48"/>
      <c r="E1859" s="48"/>
      <c r="F1859" s="48"/>
      <c r="G1859" s="195">
        <v>0.0</v>
      </c>
      <c r="H1859" s="195">
        <v>0.0</v>
      </c>
      <c r="I1859" s="195" t="s">
        <v>772</v>
      </c>
      <c r="J1859" s="196" t="s">
        <v>772</v>
      </c>
    </row>
    <row r="1860" ht="26.25" customHeight="1">
      <c r="A1860" s="11"/>
      <c r="B1860" s="13"/>
      <c r="C1860" s="16" t="s">
        <v>772</v>
      </c>
      <c r="D1860" s="13"/>
      <c r="E1860" s="13"/>
      <c r="F1860" s="13"/>
      <c r="G1860" s="193">
        <v>0.0</v>
      </c>
      <c r="H1860" s="193">
        <v>0.0</v>
      </c>
      <c r="I1860" s="193" t="s">
        <v>772</v>
      </c>
      <c r="J1860" s="194" t="s">
        <v>772</v>
      </c>
    </row>
    <row r="1861" ht="26.25" customHeight="1">
      <c r="A1861" s="47"/>
      <c r="B1861" s="48"/>
      <c r="C1861" s="50" t="s">
        <v>772</v>
      </c>
      <c r="D1861" s="48"/>
      <c r="E1861" s="48"/>
      <c r="F1861" s="48"/>
      <c r="G1861" s="195">
        <v>0.0</v>
      </c>
      <c r="H1861" s="195">
        <v>0.0</v>
      </c>
      <c r="I1861" s="195" t="s">
        <v>772</v>
      </c>
      <c r="J1861" s="196" t="s">
        <v>772</v>
      </c>
    </row>
    <row r="1862" ht="26.25" customHeight="1">
      <c r="A1862" s="11"/>
      <c r="B1862" s="13"/>
      <c r="C1862" s="16" t="s">
        <v>772</v>
      </c>
      <c r="D1862" s="13"/>
      <c r="E1862" s="13"/>
      <c r="F1862" s="13"/>
      <c r="G1862" s="193">
        <v>0.0</v>
      </c>
      <c r="H1862" s="193">
        <v>0.0</v>
      </c>
      <c r="I1862" s="193" t="s">
        <v>772</v>
      </c>
      <c r="J1862" s="194" t="s">
        <v>772</v>
      </c>
    </row>
    <row r="1863" ht="26.25" customHeight="1">
      <c r="A1863" s="47"/>
      <c r="B1863" s="48"/>
      <c r="C1863" s="50" t="s">
        <v>772</v>
      </c>
      <c r="D1863" s="48"/>
      <c r="E1863" s="48"/>
      <c r="F1863" s="48"/>
      <c r="G1863" s="195">
        <v>0.0</v>
      </c>
      <c r="H1863" s="195">
        <v>0.0</v>
      </c>
      <c r="I1863" s="195" t="s">
        <v>772</v>
      </c>
      <c r="J1863" s="196" t="s">
        <v>772</v>
      </c>
    </row>
    <row r="1864" ht="26.25" customHeight="1">
      <c r="A1864" s="11"/>
      <c r="B1864" s="13"/>
      <c r="C1864" s="16" t="s">
        <v>772</v>
      </c>
      <c r="D1864" s="13"/>
      <c r="E1864" s="13"/>
      <c r="F1864" s="13"/>
      <c r="G1864" s="193">
        <v>0.0</v>
      </c>
      <c r="H1864" s="193">
        <v>0.0</v>
      </c>
      <c r="I1864" s="193" t="s">
        <v>772</v>
      </c>
      <c r="J1864" s="194" t="s">
        <v>772</v>
      </c>
    </row>
    <row r="1865" ht="26.25" customHeight="1">
      <c r="A1865" s="47"/>
      <c r="B1865" s="48"/>
      <c r="C1865" s="50" t="s">
        <v>772</v>
      </c>
      <c r="D1865" s="48"/>
      <c r="E1865" s="48"/>
      <c r="F1865" s="48"/>
      <c r="G1865" s="195">
        <v>0.0</v>
      </c>
      <c r="H1865" s="195">
        <v>0.0</v>
      </c>
      <c r="I1865" s="195" t="s">
        <v>772</v>
      </c>
      <c r="J1865" s="196" t="s">
        <v>772</v>
      </c>
    </row>
    <row r="1866" ht="26.25" customHeight="1">
      <c r="A1866" s="11"/>
      <c r="B1866" s="13"/>
      <c r="C1866" s="16" t="s">
        <v>772</v>
      </c>
      <c r="D1866" s="13"/>
      <c r="E1866" s="13"/>
      <c r="F1866" s="13"/>
      <c r="G1866" s="193">
        <v>0.0</v>
      </c>
      <c r="H1866" s="193">
        <v>0.0</v>
      </c>
      <c r="I1866" s="193" t="s">
        <v>772</v>
      </c>
      <c r="J1866" s="194" t="s">
        <v>772</v>
      </c>
    </row>
    <row r="1867" ht="26.25" customHeight="1">
      <c r="A1867" s="47"/>
      <c r="B1867" s="48"/>
      <c r="C1867" s="50" t="s">
        <v>772</v>
      </c>
      <c r="D1867" s="48"/>
      <c r="E1867" s="48"/>
      <c r="F1867" s="48"/>
      <c r="G1867" s="195">
        <v>0.0</v>
      </c>
      <c r="H1867" s="195">
        <v>0.0</v>
      </c>
      <c r="I1867" s="195" t="s">
        <v>772</v>
      </c>
      <c r="J1867" s="196" t="s">
        <v>772</v>
      </c>
    </row>
    <row r="1868" ht="26.25" customHeight="1">
      <c r="A1868" s="11"/>
      <c r="B1868" s="13"/>
      <c r="C1868" s="16" t="s">
        <v>772</v>
      </c>
      <c r="D1868" s="13"/>
      <c r="E1868" s="13"/>
      <c r="F1868" s="13"/>
      <c r="G1868" s="193">
        <v>0.0</v>
      </c>
      <c r="H1868" s="193">
        <v>0.0</v>
      </c>
      <c r="I1868" s="193" t="s">
        <v>772</v>
      </c>
      <c r="J1868" s="194" t="s">
        <v>772</v>
      </c>
    </row>
    <row r="1869" ht="26.25" customHeight="1">
      <c r="A1869" s="47"/>
      <c r="B1869" s="48"/>
      <c r="C1869" s="50" t="s">
        <v>772</v>
      </c>
      <c r="D1869" s="48"/>
      <c r="E1869" s="48"/>
      <c r="F1869" s="48"/>
      <c r="G1869" s="195">
        <v>0.0</v>
      </c>
      <c r="H1869" s="195">
        <v>0.0</v>
      </c>
      <c r="I1869" s="195" t="s">
        <v>772</v>
      </c>
      <c r="J1869" s="196" t="s">
        <v>772</v>
      </c>
    </row>
    <row r="1870" ht="26.25" customHeight="1">
      <c r="A1870" s="11"/>
      <c r="B1870" s="13"/>
      <c r="C1870" s="16" t="s">
        <v>772</v>
      </c>
      <c r="D1870" s="13"/>
      <c r="E1870" s="13"/>
      <c r="F1870" s="13"/>
      <c r="G1870" s="193">
        <v>0.0</v>
      </c>
      <c r="H1870" s="193">
        <v>0.0</v>
      </c>
      <c r="I1870" s="193" t="s">
        <v>772</v>
      </c>
      <c r="J1870" s="194" t="s">
        <v>772</v>
      </c>
    </row>
    <row r="1871" ht="26.25" customHeight="1">
      <c r="A1871" s="47"/>
      <c r="B1871" s="48"/>
      <c r="C1871" s="50" t="s">
        <v>772</v>
      </c>
      <c r="D1871" s="48"/>
      <c r="E1871" s="48"/>
      <c r="F1871" s="48"/>
      <c r="G1871" s="195">
        <v>0.0</v>
      </c>
      <c r="H1871" s="195">
        <v>0.0</v>
      </c>
      <c r="I1871" s="195" t="s">
        <v>772</v>
      </c>
      <c r="J1871" s="196" t="s">
        <v>772</v>
      </c>
    </row>
    <row r="1872" ht="26.25" customHeight="1">
      <c r="A1872" s="11"/>
      <c r="B1872" s="13"/>
      <c r="C1872" s="16" t="s">
        <v>772</v>
      </c>
      <c r="D1872" s="13"/>
      <c r="E1872" s="13"/>
      <c r="F1872" s="13"/>
      <c r="G1872" s="193">
        <v>0.0</v>
      </c>
      <c r="H1872" s="193">
        <v>0.0</v>
      </c>
      <c r="I1872" s="193" t="s">
        <v>772</v>
      </c>
      <c r="J1872" s="194" t="s">
        <v>772</v>
      </c>
    </row>
    <row r="1873" ht="26.25" customHeight="1">
      <c r="A1873" s="47"/>
      <c r="B1873" s="48"/>
      <c r="C1873" s="50" t="s">
        <v>772</v>
      </c>
      <c r="D1873" s="48"/>
      <c r="E1873" s="48"/>
      <c r="F1873" s="48"/>
      <c r="G1873" s="195">
        <v>0.0</v>
      </c>
      <c r="H1873" s="195">
        <v>0.0</v>
      </c>
      <c r="I1873" s="195" t="s">
        <v>772</v>
      </c>
      <c r="J1873" s="196" t="s">
        <v>772</v>
      </c>
    </row>
    <row r="1874" ht="26.25" customHeight="1">
      <c r="A1874" s="11"/>
      <c r="B1874" s="13"/>
      <c r="C1874" s="16" t="s">
        <v>772</v>
      </c>
      <c r="D1874" s="13"/>
      <c r="E1874" s="13"/>
      <c r="F1874" s="13"/>
      <c r="G1874" s="193">
        <v>0.0</v>
      </c>
      <c r="H1874" s="193">
        <v>0.0</v>
      </c>
      <c r="I1874" s="193" t="s">
        <v>772</v>
      </c>
      <c r="J1874" s="194" t="s">
        <v>772</v>
      </c>
    </row>
    <row r="1875" ht="26.25" customHeight="1">
      <c r="A1875" s="47"/>
      <c r="B1875" s="48"/>
      <c r="C1875" s="50" t="s">
        <v>772</v>
      </c>
      <c r="D1875" s="48"/>
      <c r="E1875" s="48"/>
      <c r="F1875" s="48"/>
      <c r="G1875" s="195">
        <v>0.0</v>
      </c>
      <c r="H1875" s="195">
        <v>0.0</v>
      </c>
      <c r="I1875" s="195" t="s">
        <v>772</v>
      </c>
      <c r="J1875" s="196" t="s">
        <v>772</v>
      </c>
    </row>
    <row r="1876" ht="26.25" customHeight="1">
      <c r="A1876" s="11"/>
      <c r="B1876" s="13"/>
      <c r="C1876" s="16" t="s">
        <v>772</v>
      </c>
      <c r="D1876" s="13"/>
      <c r="E1876" s="13"/>
      <c r="F1876" s="13"/>
      <c r="G1876" s="193">
        <v>0.0</v>
      </c>
      <c r="H1876" s="193">
        <v>0.0</v>
      </c>
      <c r="I1876" s="193" t="s">
        <v>772</v>
      </c>
      <c r="J1876" s="194" t="s">
        <v>772</v>
      </c>
    </row>
    <row r="1877" ht="26.25" customHeight="1">
      <c r="A1877" s="47"/>
      <c r="B1877" s="48"/>
      <c r="C1877" s="50" t="s">
        <v>772</v>
      </c>
      <c r="D1877" s="48"/>
      <c r="E1877" s="48"/>
      <c r="F1877" s="48"/>
      <c r="G1877" s="195">
        <v>0.0</v>
      </c>
      <c r="H1877" s="195">
        <v>0.0</v>
      </c>
      <c r="I1877" s="195" t="s">
        <v>772</v>
      </c>
      <c r="J1877" s="196" t="s">
        <v>772</v>
      </c>
    </row>
    <row r="1878" ht="26.25" customHeight="1">
      <c r="A1878" s="11"/>
      <c r="B1878" s="13"/>
      <c r="C1878" s="16" t="s">
        <v>772</v>
      </c>
      <c r="D1878" s="13"/>
      <c r="E1878" s="13"/>
      <c r="F1878" s="13"/>
      <c r="G1878" s="193">
        <v>0.0</v>
      </c>
      <c r="H1878" s="193">
        <v>0.0</v>
      </c>
      <c r="I1878" s="193" t="s">
        <v>772</v>
      </c>
      <c r="J1878" s="194" t="s">
        <v>772</v>
      </c>
    </row>
    <row r="1879" ht="26.25" customHeight="1">
      <c r="A1879" s="47"/>
      <c r="B1879" s="48"/>
      <c r="C1879" s="50" t="s">
        <v>772</v>
      </c>
      <c r="D1879" s="48"/>
      <c r="E1879" s="48"/>
      <c r="F1879" s="48"/>
      <c r="G1879" s="195">
        <v>0.0</v>
      </c>
      <c r="H1879" s="195">
        <v>0.0</v>
      </c>
      <c r="I1879" s="195" t="s">
        <v>772</v>
      </c>
      <c r="J1879" s="196" t="s">
        <v>772</v>
      </c>
    </row>
    <row r="1880" ht="26.25" customHeight="1">
      <c r="A1880" s="11"/>
      <c r="B1880" s="13"/>
      <c r="C1880" s="16" t="s">
        <v>772</v>
      </c>
      <c r="D1880" s="13"/>
      <c r="E1880" s="13"/>
      <c r="F1880" s="13"/>
      <c r="G1880" s="193">
        <v>0.0</v>
      </c>
      <c r="H1880" s="193">
        <v>0.0</v>
      </c>
      <c r="I1880" s="193" t="s">
        <v>772</v>
      </c>
      <c r="J1880" s="194" t="s">
        <v>772</v>
      </c>
    </row>
    <row r="1881" ht="26.25" customHeight="1">
      <c r="A1881" s="47"/>
      <c r="B1881" s="48"/>
      <c r="C1881" s="50" t="s">
        <v>772</v>
      </c>
      <c r="D1881" s="48"/>
      <c r="E1881" s="48"/>
      <c r="F1881" s="48"/>
      <c r="G1881" s="195">
        <v>0.0</v>
      </c>
      <c r="H1881" s="195">
        <v>0.0</v>
      </c>
      <c r="I1881" s="195" t="s">
        <v>772</v>
      </c>
      <c r="J1881" s="196" t="s">
        <v>772</v>
      </c>
    </row>
    <row r="1882" ht="26.25" customHeight="1">
      <c r="A1882" s="11"/>
      <c r="B1882" s="13"/>
      <c r="C1882" s="16" t="s">
        <v>772</v>
      </c>
      <c r="D1882" s="13"/>
      <c r="E1882" s="13"/>
      <c r="F1882" s="13"/>
      <c r="G1882" s="193">
        <v>0.0</v>
      </c>
      <c r="H1882" s="193">
        <v>0.0</v>
      </c>
      <c r="I1882" s="193" t="s">
        <v>772</v>
      </c>
      <c r="J1882" s="194" t="s">
        <v>772</v>
      </c>
    </row>
    <row r="1883" ht="26.25" customHeight="1">
      <c r="A1883" s="47"/>
      <c r="B1883" s="48"/>
      <c r="C1883" s="50" t="s">
        <v>772</v>
      </c>
      <c r="D1883" s="48"/>
      <c r="E1883" s="48"/>
      <c r="F1883" s="48"/>
      <c r="G1883" s="195">
        <v>0.0</v>
      </c>
      <c r="H1883" s="195">
        <v>0.0</v>
      </c>
      <c r="I1883" s="195" t="s">
        <v>772</v>
      </c>
      <c r="J1883" s="196" t="s">
        <v>772</v>
      </c>
    </row>
    <row r="1884" ht="26.25" customHeight="1">
      <c r="A1884" s="11"/>
      <c r="B1884" s="13"/>
      <c r="C1884" s="16" t="s">
        <v>772</v>
      </c>
      <c r="D1884" s="13"/>
      <c r="E1884" s="13"/>
      <c r="F1884" s="13"/>
      <c r="G1884" s="193">
        <v>0.0</v>
      </c>
      <c r="H1884" s="193">
        <v>0.0</v>
      </c>
      <c r="I1884" s="193" t="s">
        <v>772</v>
      </c>
      <c r="J1884" s="194" t="s">
        <v>772</v>
      </c>
    </row>
    <row r="1885" ht="26.25" customHeight="1">
      <c r="A1885" s="47"/>
      <c r="B1885" s="48"/>
      <c r="C1885" s="50" t="s">
        <v>772</v>
      </c>
      <c r="D1885" s="48"/>
      <c r="E1885" s="48"/>
      <c r="F1885" s="48"/>
      <c r="G1885" s="195">
        <v>0.0</v>
      </c>
      <c r="H1885" s="195">
        <v>0.0</v>
      </c>
      <c r="I1885" s="195" t="s">
        <v>772</v>
      </c>
      <c r="J1885" s="196" t="s">
        <v>772</v>
      </c>
    </row>
    <row r="1886" ht="26.25" customHeight="1">
      <c r="A1886" s="11"/>
      <c r="B1886" s="13"/>
      <c r="C1886" s="16" t="s">
        <v>772</v>
      </c>
      <c r="D1886" s="13"/>
      <c r="E1886" s="13"/>
      <c r="F1886" s="13"/>
      <c r="G1886" s="193">
        <v>0.0</v>
      </c>
      <c r="H1886" s="193">
        <v>0.0</v>
      </c>
      <c r="I1886" s="193" t="s">
        <v>772</v>
      </c>
      <c r="J1886" s="194" t="s">
        <v>772</v>
      </c>
    </row>
    <row r="1887" ht="26.25" customHeight="1">
      <c r="A1887" s="47"/>
      <c r="B1887" s="48"/>
      <c r="C1887" s="50" t="s">
        <v>772</v>
      </c>
      <c r="D1887" s="48"/>
      <c r="E1887" s="48"/>
      <c r="F1887" s="48"/>
      <c r="G1887" s="195">
        <v>0.0</v>
      </c>
      <c r="H1887" s="195">
        <v>0.0</v>
      </c>
      <c r="I1887" s="195" t="s">
        <v>772</v>
      </c>
      <c r="J1887" s="196" t="s">
        <v>772</v>
      </c>
    </row>
    <row r="1888" ht="26.25" customHeight="1">
      <c r="A1888" s="11"/>
      <c r="B1888" s="13"/>
      <c r="C1888" s="16" t="s">
        <v>772</v>
      </c>
      <c r="D1888" s="13"/>
      <c r="E1888" s="13"/>
      <c r="F1888" s="13"/>
      <c r="G1888" s="193">
        <v>0.0</v>
      </c>
      <c r="H1888" s="193">
        <v>0.0</v>
      </c>
      <c r="I1888" s="193" t="s">
        <v>772</v>
      </c>
      <c r="J1888" s="194" t="s">
        <v>772</v>
      </c>
    </row>
    <row r="1889" ht="26.25" customHeight="1">
      <c r="A1889" s="47"/>
      <c r="B1889" s="48"/>
      <c r="C1889" s="50" t="s">
        <v>772</v>
      </c>
      <c r="D1889" s="48"/>
      <c r="E1889" s="48"/>
      <c r="F1889" s="48"/>
      <c r="G1889" s="195">
        <v>0.0</v>
      </c>
      <c r="H1889" s="195">
        <v>0.0</v>
      </c>
      <c r="I1889" s="195" t="s">
        <v>772</v>
      </c>
      <c r="J1889" s="196" t="s">
        <v>772</v>
      </c>
    </row>
    <row r="1890" ht="26.25" customHeight="1">
      <c r="A1890" s="11"/>
      <c r="B1890" s="13"/>
      <c r="C1890" s="16" t="s">
        <v>772</v>
      </c>
      <c r="D1890" s="13"/>
      <c r="E1890" s="13"/>
      <c r="F1890" s="13"/>
      <c r="G1890" s="193">
        <v>0.0</v>
      </c>
      <c r="H1890" s="193">
        <v>0.0</v>
      </c>
      <c r="I1890" s="193" t="s">
        <v>772</v>
      </c>
      <c r="J1890" s="194" t="s">
        <v>772</v>
      </c>
    </row>
    <row r="1891" ht="26.25" customHeight="1">
      <c r="A1891" s="47"/>
      <c r="B1891" s="48"/>
      <c r="C1891" s="50" t="s">
        <v>772</v>
      </c>
      <c r="D1891" s="48"/>
      <c r="E1891" s="48"/>
      <c r="F1891" s="48"/>
      <c r="G1891" s="195">
        <v>0.0</v>
      </c>
      <c r="H1891" s="195">
        <v>0.0</v>
      </c>
      <c r="I1891" s="195" t="s">
        <v>772</v>
      </c>
      <c r="J1891" s="196" t="s">
        <v>772</v>
      </c>
    </row>
    <row r="1892" ht="26.25" customHeight="1">
      <c r="A1892" s="11"/>
      <c r="B1892" s="13"/>
      <c r="C1892" s="16" t="s">
        <v>772</v>
      </c>
      <c r="D1892" s="13"/>
      <c r="E1892" s="13"/>
      <c r="F1892" s="13"/>
      <c r="G1892" s="193">
        <v>0.0</v>
      </c>
      <c r="H1892" s="193">
        <v>0.0</v>
      </c>
      <c r="I1892" s="193" t="s">
        <v>772</v>
      </c>
      <c r="J1892" s="194" t="s">
        <v>772</v>
      </c>
    </row>
    <row r="1893" ht="26.25" customHeight="1">
      <c r="A1893" s="47"/>
      <c r="B1893" s="48"/>
      <c r="C1893" s="50" t="s">
        <v>772</v>
      </c>
      <c r="D1893" s="48"/>
      <c r="E1893" s="48"/>
      <c r="F1893" s="48"/>
      <c r="G1893" s="195">
        <v>0.0</v>
      </c>
      <c r="H1893" s="195">
        <v>0.0</v>
      </c>
      <c r="I1893" s="195" t="s">
        <v>772</v>
      </c>
      <c r="J1893" s="196" t="s">
        <v>772</v>
      </c>
    </row>
    <row r="1894" ht="26.25" customHeight="1">
      <c r="A1894" s="11"/>
      <c r="B1894" s="13"/>
      <c r="C1894" s="16" t="s">
        <v>772</v>
      </c>
      <c r="D1894" s="13"/>
      <c r="E1894" s="13"/>
      <c r="F1894" s="13"/>
      <c r="G1894" s="193">
        <v>0.0</v>
      </c>
      <c r="H1894" s="193">
        <v>0.0</v>
      </c>
      <c r="I1894" s="193" t="s">
        <v>772</v>
      </c>
      <c r="J1894" s="194" t="s">
        <v>772</v>
      </c>
    </row>
    <row r="1895" ht="26.25" customHeight="1">
      <c r="A1895" s="47"/>
      <c r="B1895" s="48"/>
      <c r="C1895" s="50" t="s">
        <v>772</v>
      </c>
      <c r="D1895" s="48"/>
      <c r="E1895" s="48"/>
      <c r="F1895" s="48"/>
      <c r="G1895" s="195">
        <v>0.0</v>
      </c>
      <c r="H1895" s="195">
        <v>0.0</v>
      </c>
      <c r="I1895" s="195" t="s">
        <v>772</v>
      </c>
      <c r="J1895" s="196" t="s">
        <v>772</v>
      </c>
    </row>
    <row r="1896" ht="26.25" customHeight="1">
      <c r="A1896" s="11"/>
      <c r="B1896" s="13"/>
      <c r="C1896" s="16" t="s">
        <v>772</v>
      </c>
      <c r="D1896" s="13"/>
      <c r="E1896" s="13"/>
      <c r="F1896" s="13"/>
      <c r="G1896" s="193">
        <v>0.0</v>
      </c>
      <c r="H1896" s="193">
        <v>0.0</v>
      </c>
      <c r="I1896" s="193" t="s">
        <v>772</v>
      </c>
      <c r="J1896" s="194" t="s">
        <v>772</v>
      </c>
    </row>
    <row r="1897" ht="26.25" customHeight="1">
      <c r="A1897" s="47"/>
      <c r="B1897" s="48"/>
      <c r="C1897" s="50" t="s">
        <v>772</v>
      </c>
      <c r="D1897" s="48"/>
      <c r="E1897" s="48"/>
      <c r="F1897" s="48"/>
      <c r="G1897" s="195">
        <v>0.0</v>
      </c>
      <c r="H1897" s="195">
        <v>0.0</v>
      </c>
      <c r="I1897" s="195" t="s">
        <v>772</v>
      </c>
      <c r="J1897" s="196" t="s">
        <v>772</v>
      </c>
    </row>
    <row r="1898" ht="26.25" customHeight="1">
      <c r="A1898" s="11"/>
      <c r="B1898" s="13"/>
      <c r="C1898" s="16" t="s">
        <v>772</v>
      </c>
      <c r="D1898" s="13"/>
      <c r="E1898" s="13"/>
      <c r="F1898" s="13"/>
      <c r="G1898" s="193">
        <v>0.0</v>
      </c>
      <c r="H1898" s="193">
        <v>0.0</v>
      </c>
      <c r="I1898" s="193" t="s">
        <v>772</v>
      </c>
      <c r="J1898" s="194" t="s">
        <v>772</v>
      </c>
    </row>
    <row r="1899" ht="26.25" customHeight="1">
      <c r="A1899" s="47"/>
      <c r="B1899" s="48"/>
      <c r="C1899" s="50" t="s">
        <v>772</v>
      </c>
      <c r="D1899" s="48"/>
      <c r="E1899" s="48"/>
      <c r="F1899" s="48"/>
      <c r="G1899" s="195">
        <v>0.0</v>
      </c>
      <c r="H1899" s="195">
        <v>0.0</v>
      </c>
      <c r="I1899" s="195" t="s">
        <v>772</v>
      </c>
      <c r="J1899" s="196" t="s">
        <v>772</v>
      </c>
    </row>
    <row r="1900" ht="26.25" customHeight="1">
      <c r="A1900" s="11"/>
      <c r="B1900" s="13"/>
      <c r="C1900" s="16" t="s">
        <v>772</v>
      </c>
      <c r="D1900" s="13"/>
      <c r="E1900" s="13"/>
      <c r="F1900" s="13"/>
      <c r="G1900" s="193">
        <v>0.0</v>
      </c>
      <c r="H1900" s="193">
        <v>0.0</v>
      </c>
      <c r="I1900" s="193" t="s">
        <v>772</v>
      </c>
      <c r="J1900" s="194" t="s">
        <v>772</v>
      </c>
    </row>
    <row r="1901" ht="26.25" customHeight="1">
      <c r="A1901" s="47"/>
      <c r="B1901" s="48"/>
      <c r="C1901" s="50" t="s">
        <v>772</v>
      </c>
      <c r="D1901" s="48"/>
      <c r="E1901" s="48"/>
      <c r="F1901" s="48"/>
      <c r="G1901" s="195">
        <v>0.0</v>
      </c>
      <c r="H1901" s="195">
        <v>0.0</v>
      </c>
      <c r="I1901" s="195" t="s">
        <v>772</v>
      </c>
      <c r="J1901" s="196" t="s">
        <v>772</v>
      </c>
    </row>
    <row r="1902" ht="26.25" customHeight="1">
      <c r="A1902" s="11"/>
      <c r="B1902" s="13"/>
      <c r="C1902" s="16" t="s">
        <v>772</v>
      </c>
      <c r="D1902" s="13"/>
      <c r="E1902" s="13"/>
      <c r="F1902" s="13"/>
      <c r="G1902" s="193">
        <v>0.0</v>
      </c>
      <c r="H1902" s="193">
        <v>0.0</v>
      </c>
      <c r="I1902" s="193" t="s">
        <v>772</v>
      </c>
      <c r="J1902" s="194" t="s">
        <v>772</v>
      </c>
    </row>
    <row r="1903" ht="26.25" customHeight="1">
      <c r="A1903" s="47"/>
      <c r="B1903" s="48"/>
      <c r="C1903" s="50" t="s">
        <v>772</v>
      </c>
      <c r="D1903" s="48"/>
      <c r="E1903" s="48"/>
      <c r="F1903" s="48"/>
      <c r="G1903" s="195">
        <v>0.0</v>
      </c>
      <c r="H1903" s="195">
        <v>0.0</v>
      </c>
      <c r="I1903" s="195" t="s">
        <v>772</v>
      </c>
      <c r="J1903" s="196" t="s">
        <v>772</v>
      </c>
    </row>
    <row r="1904" ht="26.25" customHeight="1">
      <c r="A1904" s="11"/>
      <c r="B1904" s="13"/>
      <c r="C1904" s="16" t="s">
        <v>772</v>
      </c>
      <c r="D1904" s="13"/>
      <c r="E1904" s="13"/>
      <c r="F1904" s="13"/>
      <c r="G1904" s="193">
        <v>0.0</v>
      </c>
      <c r="H1904" s="193">
        <v>0.0</v>
      </c>
      <c r="I1904" s="193" t="s">
        <v>772</v>
      </c>
      <c r="J1904" s="194" t="s">
        <v>772</v>
      </c>
    </row>
    <row r="1905" ht="26.25" customHeight="1">
      <c r="A1905" s="47"/>
      <c r="B1905" s="48"/>
      <c r="C1905" s="50" t="s">
        <v>772</v>
      </c>
      <c r="D1905" s="48"/>
      <c r="E1905" s="48"/>
      <c r="F1905" s="48"/>
      <c r="G1905" s="195">
        <v>0.0</v>
      </c>
      <c r="H1905" s="195">
        <v>0.0</v>
      </c>
      <c r="I1905" s="195" t="s">
        <v>772</v>
      </c>
      <c r="J1905" s="196" t="s">
        <v>772</v>
      </c>
    </row>
    <row r="1906" ht="26.25" customHeight="1">
      <c r="A1906" s="11"/>
      <c r="B1906" s="13"/>
      <c r="C1906" s="16" t="s">
        <v>772</v>
      </c>
      <c r="D1906" s="13"/>
      <c r="E1906" s="13"/>
      <c r="F1906" s="13"/>
      <c r="G1906" s="193">
        <v>0.0</v>
      </c>
      <c r="H1906" s="193">
        <v>0.0</v>
      </c>
      <c r="I1906" s="193" t="s">
        <v>772</v>
      </c>
      <c r="J1906" s="194" t="s">
        <v>772</v>
      </c>
    </row>
    <row r="1907" ht="26.25" customHeight="1">
      <c r="A1907" s="47"/>
      <c r="B1907" s="48"/>
      <c r="C1907" s="50" t="s">
        <v>772</v>
      </c>
      <c r="D1907" s="48"/>
      <c r="E1907" s="48"/>
      <c r="F1907" s="48"/>
      <c r="G1907" s="195">
        <v>0.0</v>
      </c>
      <c r="H1907" s="195">
        <v>0.0</v>
      </c>
      <c r="I1907" s="195" t="s">
        <v>772</v>
      </c>
      <c r="J1907" s="196" t="s">
        <v>772</v>
      </c>
    </row>
    <row r="1908" ht="26.25" customHeight="1">
      <c r="A1908" s="11"/>
      <c r="B1908" s="13"/>
      <c r="C1908" s="16" t="s">
        <v>772</v>
      </c>
      <c r="D1908" s="13"/>
      <c r="E1908" s="13"/>
      <c r="F1908" s="13"/>
      <c r="G1908" s="193">
        <v>0.0</v>
      </c>
      <c r="H1908" s="193">
        <v>0.0</v>
      </c>
      <c r="I1908" s="193" t="s">
        <v>772</v>
      </c>
      <c r="J1908" s="194" t="s">
        <v>772</v>
      </c>
    </row>
    <row r="1909" ht="26.25" customHeight="1">
      <c r="A1909" s="47"/>
      <c r="B1909" s="48"/>
      <c r="C1909" s="50" t="s">
        <v>772</v>
      </c>
      <c r="D1909" s="48"/>
      <c r="E1909" s="48"/>
      <c r="F1909" s="48"/>
      <c r="G1909" s="195">
        <v>0.0</v>
      </c>
      <c r="H1909" s="195">
        <v>0.0</v>
      </c>
      <c r="I1909" s="195" t="s">
        <v>772</v>
      </c>
      <c r="J1909" s="196" t="s">
        <v>772</v>
      </c>
    </row>
    <row r="1910" ht="26.25" customHeight="1">
      <c r="A1910" s="11"/>
      <c r="B1910" s="13"/>
      <c r="C1910" s="16" t="s">
        <v>772</v>
      </c>
      <c r="D1910" s="13"/>
      <c r="E1910" s="13"/>
      <c r="F1910" s="13"/>
      <c r="G1910" s="193">
        <v>0.0</v>
      </c>
      <c r="H1910" s="193">
        <v>0.0</v>
      </c>
      <c r="I1910" s="193" t="s">
        <v>772</v>
      </c>
      <c r="J1910" s="194" t="s">
        <v>772</v>
      </c>
    </row>
    <row r="1911" ht="26.25" customHeight="1">
      <c r="A1911" s="47"/>
      <c r="B1911" s="48"/>
      <c r="C1911" s="50" t="s">
        <v>772</v>
      </c>
      <c r="D1911" s="48"/>
      <c r="E1911" s="48"/>
      <c r="F1911" s="48"/>
      <c r="G1911" s="195">
        <v>0.0</v>
      </c>
      <c r="H1911" s="195">
        <v>0.0</v>
      </c>
      <c r="I1911" s="195" t="s">
        <v>772</v>
      </c>
      <c r="J1911" s="196" t="s">
        <v>772</v>
      </c>
    </row>
    <row r="1912" ht="26.25" customHeight="1">
      <c r="A1912" s="11"/>
      <c r="B1912" s="13"/>
      <c r="C1912" s="16" t="s">
        <v>772</v>
      </c>
      <c r="D1912" s="13"/>
      <c r="E1912" s="13"/>
      <c r="F1912" s="13"/>
      <c r="G1912" s="193">
        <v>0.0</v>
      </c>
      <c r="H1912" s="193">
        <v>0.0</v>
      </c>
      <c r="I1912" s="193" t="s">
        <v>772</v>
      </c>
      <c r="J1912" s="194" t="s">
        <v>772</v>
      </c>
    </row>
    <row r="1913" ht="26.25" customHeight="1">
      <c r="A1913" s="47"/>
      <c r="B1913" s="48"/>
      <c r="C1913" s="50" t="s">
        <v>772</v>
      </c>
      <c r="D1913" s="48"/>
      <c r="E1913" s="48"/>
      <c r="F1913" s="48"/>
      <c r="G1913" s="195">
        <v>0.0</v>
      </c>
      <c r="H1913" s="195">
        <v>0.0</v>
      </c>
      <c r="I1913" s="195" t="s">
        <v>772</v>
      </c>
      <c r="J1913" s="196" t="s">
        <v>772</v>
      </c>
    </row>
    <row r="1914" ht="26.25" customHeight="1">
      <c r="A1914" s="11"/>
      <c r="B1914" s="13"/>
      <c r="C1914" s="16" t="s">
        <v>772</v>
      </c>
      <c r="D1914" s="13"/>
      <c r="E1914" s="13"/>
      <c r="F1914" s="13"/>
      <c r="G1914" s="193">
        <v>0.0</v>
      </c>
      <c r="H1914" s="193">
        <v>0.0</v>
      </c>
      <c r="I1914" s="193" t="s">
        <v>772</v>
      </c>
      <c r="J1914" s="194" t="s">
        <v>772</v>
      </c>
    </row>
    <row r="1915" ht="26.25" customHeight="1">
      <c r="A1915" s="47"/>
      <c r="B1915" s="48"/>
      <c r="C1915" s="50" t="s">
        <v>772</v>
      </c>
      <c r="D1915" s="48"/>
      <c r="E1915" s="48"/>
      <c r="F1915" s="48"/>
      <c r="G1915" s="195">
        <v>0.0</v>
      </c>
      <c r="H1915" s="195">
        <v>0.0</v>
      </c>
      <c r="I1915" s="195" t="s">
        <v>772</v>
      </c>
      <c r="J1915" s="196" t="s">
        <v>772</v>
      </c>
    </row>
    <row r="1916" ht="26.25" customHeight="1">
      <c r="A1916" s="11"/>
      <c r="B1916" s="13"/>
      <c r="C1916" s="16" t="s">
        <v>772</v>
      </c>
      <c r="D1916" s="13"/>
      <c r="E1916" s="13"/>
      <c r="F1916" s="13"/>
      <c r="G1916" s="193">
        <v>0.0</v>
      </c>
      <c r="H1916" s="193">
        <v>0.0</v>
      </c>
      <c r="I1916" s="193" t="s">
        <v>772</v>
      </c>
      <c r="J1916" s="194" t="s">
        <v>772</v>
      </c>
    </row>
    <row r="1917" ht="26.25" customHeight="1">
      <c r="A1917" s="47"/>
      <c r="B1917" s="48"/>
      <c r="C1917" s="50" t="s">
        <v>772</v>
      </c>
      <c r="D1917" s="48"/>
      <c r="E1917" s="48"/>
      <c r="F1917" s="48"/>
      <c r="G1917" s="195">
        <v>0.0</v>
      </c>
      <c r="H1917" s="195">
        <v>0.0</v>
      </c>
      <c r="I1917" s="195" t="s">
        <v>772</v>
      </c>
      <c r="J1917" s="196" t="s">
        <v>772</v>
      </c>
    </row>
    <row r="1918" ht="26.25" customHeight="1">
      <c r="A1918" s="11"/>
      <c r="B1918" s="13"/>
      <c r="C1918" s="16" t="s">
        <v>772</v>
      </c>
      <c r="D1918" s="13"/>
      <c r="E1918" s="13"/>
      <c r="F1918" s="13"/>
      <c r="G1918" s="193">
        <v>0.0</v>
      </c>
      <c r="H1918" s="193">
        <v>0.0</v>
      </c>
      <c r="I1918" s="193" t="s">
        <v>772</v>
      </c>
      <c r="J1918" s="194" t="s">
        <v>772</v>
      </c>
    </row>
    <row r="1919" ht="26.25" customHeight="1">
      <c r="A1919" s="47"/>
      <c r="B1919" s="48"/>
      <c r="C1919" s="50" t="s">
        <v>772</v>
      </c>
      <c r="D1919" s="48"/>
      <c r="E1919" s="48"/>
      <c r="F1919" s="48"/>
      <c r="G1919" s="195">
        <v>0.0</v>
      </c>
      <c r="H1919" s="195">
        <v>0.0</v>
      </c>
      <c r="I1919" s="195" t="s">
        <v>772</v>
      </c>
      <c r="J1919" s="196" t="s">
        <v>772</v>
      </c>
    </row>
    <row r="1920" ht="26.25" customHeight="1">
      <c r="A1920" s="11"/>
      <c r="B1920" s="13"/>
      <c r="C1920" s="16" t="s">
        <v>772</v>
      </c>
      <c r="D1920" s="13"/>
      <c r="E1920" s="13"/>
      <c r="F1920" s="13"/>
      <c r="G1920" s="193">
        <v>0.0</v>
      </c>
      <c r="H1920" s="193">
        <v>0.0</v>
      </c>
      <c r="I1920" s="193" t="s">
        <v>772</v>
      </c>
      <c r="J1920" s="194" t="s">
        <v>772</v>
      </c>
    </row>
    <row r="1921" ht="26.25" customHeight="1">
      <c r="A1921" s="47"/>
      <c r="B1921" s="48"/>
      <c r="C1921" s="50" t="s">
        <v>772</v>
      </c>
      <c r="D1921" s="48"/>
      <c r="E1921" s="48"/>
      <c r="F1921" s="48"/>
      <c r="G1921" s="195">
        <v>0.0</v>
      </c>
      <c r="H1921" s="195">
        <v>0.0</v>
      </c>
      <c r="I1921" s="195" t="s">
        <v>772</v>
      </c>
      <c r="J1921" s="196" t="s">
        <v>772</v>
      </c>
    </row>
    <row r="1922" ht="26.25" customHeight="1">
      <c r="A1922" s="11"/>
      <c r="B1922" s="13"/>
      <c r="C1922" s="16" t="s">
        <v>772</v>
      </c>
      <c r="D1922" s="13"/>
      <c r="E1922" s="13"/>
      <c r="F1922" s="13"/>
      <c r="G1922" s="193">
        <v>0.0</v>
      </c>
      <c r="H1922" s="193">
        <v>0.0</v>
      </c>
      <c r="I1922" s="193" t="s">
        <v>772</v>
      </c>
      <c r="J1922" s="194" t="s">
        <v>772</v>
      </c>
    </row>
    <row r="1923" ht="26.25" customHeight="1">
      <c r="A1923" s="47"/>
      <c r="B1923" s="48"/>
      <c r="C1923" s="50" t="s">
        <v>772</v>
      </c>
      <c r="D1923" s="48"/>
      <c r="E1923" s="48"/>
      <c r="F1923" s="48"/>
      <c r="G1923" s="195">
        <v>0.0</v>
      </c>
      <c r="H1923" s="195">
        <v>0.0</v>
      </c>
      <c r="I1923" s="195" t="s">
        <v>772</v>
      </c>
      <c r="J1923" s="196" t="s">
        <v>772</v>
      </c>
    </row>
    <row r="1924" ht="26.25" customHeight="1">
      <c r="A1924" s="11"/>
      <c r="B1924" s="13"/>
      <c r="C1924" s="16" t="s">
        <v>772</v>
      </c>
      <c r="D1924" s="13"/>
      <c r="E1924" s="13"/>
      <c r="F1924" s="13"/>
      <c r="G1924" s="193">
        <v>0.0</v>
      </c>
      <c r="H1924" s="193">
        <v>0.0</v>
      </c>
      <c r="I1924" s="193" t="s">
        <v>772</v>
      </c>
      <c r="J1924" s="194" t="s">
        <v>772</v>
      </c>
    </row>
    <row r="1925" ht="26.25" customHeight="1">
      <c r="A1925" s="47"/>
      <c r="B1925" s="48"/>
      <c r="C1925" s="50" t="s">
        <v>772</v>
      </c>
      <c r="D1925" s="48"/>
      <c r="E1925" s="48"/>
      <c r="F1925" s="48"/>
      <c r="G1925" s="195">
        <v>0.0</v>
      </c>
      <c r="H1925" s="195">
        <v>0.0</v>
      </c>
      <c r="I1925" s="195" t="s">
        <v>772</v>
      </c>
      <c r="J1925" s="196" t="s">
        <v>772</v>
      </c>
    </row>
    <row r="1926" ht="26.25" customHeight="1">
      <c r="A1926" s="11"/>
      <c r="B1926" s="13"/>
      <c r="C1926" s="16" t="s">
        <v>772</v>
      </c>
      <c r="D1926" s="13"/>
      <c r="E1926" s="13"/>
      <c r="F1926" s="13"/>
      <c r="G1926" s="193">
        <v>0.0</v>
      </c>
      <c r="H1926" s="193">
        <v>0.0</v>
      </c>
      <c r="I1926" s="193" t="s">
        <v>772</v>
      </c>
      <c r="J1926" s="194" t="s">
        <v>772</v>
      </c>
    </row>
    <row r="1927" ht="26.25" customHeight="1">
      <c r="A1927" s="47"/>
      <c r="B1927" s="48"/>
      <c r="C1927" s="50" t="s">
        <v>772</v>
      </c>
      <c r="D1927" s="48"/>
      <c r="E1927" s="48"/>
      <c r="F1927" s="48"/>
      <c r="G1927" s="195">
        <v>0.0</v>
      </c>
      <c r="H1927" s="195">
        <v>0.0</v>
      </c>
      <c r="I1927" s="195" t="s">
        <v>772</v>
      </c>
      <c r="J1927" s="196" t="s">
        <v>772</v>
      </c>
    </row>
    <row r="1928" ht="26.25" customHeight="1">
      <c r="A1928" s="11"/>
      <c r="B1928" s="13"/>
      <c r="C1928" s="16" t="s">
        <v>772</v>
      </c>
      <c r="D1928" s="13"/>
      <c r="E1928" s="13"/>
      <c r="F1928" s="13"/>
      <c r="G1928" s="193">
        <v>0.0</v>
      </c>
      <c r="H1928" s="193">
        <v>0.0</v>
      </c>
      <c r="I1928" s="193" t="s">
        <v>772</v>
      </c>
      <c r="J1928" s="194" t="s">
        <v>772</v>
      </c>
    </row>
    <row r="1929" ht="26.25" customHeight="1">
      <c r="A1929" s="47"/>
      <c r="B1929" s="48"/>
      <c r="C1929" s="50" t="s">
        <v>772</v>
      </c>
      <c r="D1929" s="48"/>
      <c r="E1929" s="48"/>
      <c r="F1929" s="48"/>
      <c r="G1929" s="195">
        <v>0.0</v>
      </c>
      <c r="H1929" s="195">
        <v>0.0</v>
      </c>
      <c r="I1929" s="195" t="s">
        <v>772</v>
      </c>
      <c r="J1929" s="196" t="s">
        <v>772</v>
      </c>
    </row>
    <row r="1930" ht="26.25" customHeight="1">
      <c r="A1930" s="11"/>
      <c r="B1930" s="13"/>
      <c r="C1930" s="16" t="s">
        <v>772</v>
      </c>
      <c r="D1930" s="13"/>
      <c r="E1930" s="13"/>
      <c r="F1930" s="13"/>
      <c r="G1930" s="193">
        <v>0.0</v>
      </c>
      <c r="H1930" s="193">
        <v>0.0</v>
      </c>
      <c r="I1930" s="193" t="s">
        <v>772</v>
      </c>
      <c r="J1930" s="194" t="s">
        <v>772</v>
      </c>
    </row>
    <row r="1931" ht="26.25" customHeight="1">
      <c r="A1931" s="47"/>
      <c r="B1931" s="48"/>
      <c r="C1931" s="50" t="s">
        <v>772</v>
      </c>
      <c r="D1931" s="48"/>
      <c r="E1931" s="48"/>
      <c r="F1931" s="48"/>
      <c r="G1931" s="195">
        <v>0.0</v>
      </c>
      <c r="H1931" s="195">
        <v>0.0</v>
      </c>
      <c r="I1931" s="195" t="s">
        <v>772</v>
      </c>
      <c r="J1931" s="196" t="s">
        <v>772</v>
      </c>
    </row>
    <row r="1932" ht="26.25" customHeight="1">
      <c r="A1932" s="11"/>
      <c r="B1932" s="13"/>
      <c r="C1932" s="16" t="s">
        <v>772</v>
      </c>
      <c r="D1932" s="13"/>
      <c r="E1932" s="13"/>
      <c r="F1932" s="13"/>
      <c r="G1932" s="193">
        <v>0.0</v>
      </c>
      <c r="H1932" s="193">
        <v>0.0</v>
      </c>
      <c r="I1932" s="193" t="s">
        <v>772</v>
      </c>
      <c r="J1932" s="194" t="s">
        <v>772</v>
      </c>
    </row>
    <row r="1933" ht="26.25" customHeight="1">
      <c r="A1933" s="47"/>
      <c r="B1933" s="48"/>
      <c r="C1933" s="50" t="s">
        <v>772</v>
      </c>
      <c r="D1933" s="48"/>
      <c r="E1933" s="48"/>
      <c r="F1933" s="48"/>
      <c r="G1933" s="195">
        <v>0.0</v>
      </c>
      <c r="H1933" s="195">
        <v>0.0</v>
      </c>
      <c r="I1933" s="195" t="s">
        <v>772</v>
      </c>
      <c r="J1933" s="196" t="s">
        <v>772</v>
      </c>
    </row>
    <row r="1934" ht="26.25" customHeight="1">
      <c r="A1934" s="11"/>
      <c r="B1934" s="13"/>
      <c r="C1934" s="16" t="s">
        <v>772</v>
      </c>
      <c r="D1934" s="13"/>
      <c r="E1934" s="13"/>
      <c r="F1934" s="13"/>
      <c r="G1934" s="193">
        <v>0.0</v>
      </c>
      <c r="H1934" s="193">
        <v>0.0</v>
      </c>
      <c r="I1934" s="193" t="s">
        <v>772</v>
      </c>
      <c r="J1934" s="194" t="s">
        <v>772</v>
      </c>
    </row>
    <row r="1935" ht="26.25" customHeight="1">
      <c r="A1935" s="47"/>
      <c r="B1935" s="48"/>
      <c r="C1935" s="50" t="s">
        <v>772</v>
      </c>
      <c r="D1935" s="48"/>
      <c r="E1935" s="48"/>
      <c r="F1935" s="48"/>
      <c r="G1935" s="195">
        <v>0.0</v>
      </c>
      <c r="H1935" s="195">
        <v>0.0</v>
      </c>
      <c r="I1935" s="195" t="s">
        <v>772</v>
      </c>
      <c r="J1935" s="196" t="s">
        <v>772</v>
      </c>
    </row>
    <row r="1936" ht="26.25" customHeight="1">
      <c r="A1936" s="11"/>
      <c r="B1936" s="13"/>
      <c r="C1936" s="16" t="s">
        <v>772</v>
      </c>
      <c r="D1936" s="13"/>
      <c r="E1936" s="13"/>
      <c r="F1936" s="13"/>
      <c r="G1936" s="193">
        <v>0.0</v>
      </c>
      <c r="H1936" s="193">
        <v>0.0</v>
      </c>
      <c r="I1936" s="193" t="s">
        <v>772</v>
      </c>
      <c r="J1936" s="194" t="s">
        <v>772</v>
      </c>
    </row>
    <row r="1937" ht="26.25" customHeight="1">
      <c r="A1937" s="47"/>
      <c r="B1937" s="48"/>
      <c r="C1937" s="50" t="s">
        <v>772</v>
      </c>
      <c r="D1937" s="48"/>
      <c r="E1937" s="48"/>
      <c r="F1937" s="48"/>
      <c r="G1937" s="195">
        <v>0.0</v>
      </c>
      <c r="H1937" s="195">
        <v>0.0</v>
      </c>
      <c r="I1937" s="195" t="s">
        <v>772</v>
      </c>
      <c r="J1937" s="196" t="s">
        <v>772</v>
      </c>
    </row>
    <row r="1938" ht="26.25" customHeight="1">
      <c r="A1938" s="11"/>
      <c r="B1938" s="13"/>
      <c r="C1938" s="16" t="s">
        <v>772</v>
      </c>
      <c r="D1938" s="13"/>
      <c r="E1938" s="13"/>
      <c r="F1938" s="13"/>
      <c r="G1938" s="193">
        <v>0.0</v>
      </c>
      <c r="H1938" s="193">
        <v>0.0</v>
      </c>
      <c r="I1938" s="193" t="s">
        <v>772</v>
      </c>
      <c r="J1938" s="194" t="s">
        <v>772</v>
      </c>
    </row>
    <row r="1939" ht="26.25" customHeight="1">
      <c r="A1939" s="47"/>
      <c r="B1939" s="48"/>
      <c r="C1939" s="50" t="s">
        <v>772</v>
      </c>
      <c r="D1939" s="48"/>
      <c r="E1939" s="48"/>
      <c r="F1939" s="48"/>
      <c r="G1939" s="195">
        <v>0.0</v>
      </c>
      <c r="H1939" s="195">
        <v>0.0</v>
      </c>
      <c r="I1939" s="195" t="s">
        <v>772</v>
      </c>
      <c r="J1939" s="196" t="s">
        <v>772</v>
      </c>
    </row>
    <row r="1940" ht="26.25" customHeight="1">
      <c r="A1940" s="11"/>
      <c r="B1940" s="13"/>
      <c r="C1940" s="16" t="s">
        <v>772</v>
      </c>
      <c r="D1940" s="13"/>
      <c r="E1940" s="13"/>
      <c r="F1940" s="13"/>
      <c r="G1940" s="193">
        <v>0.0</v>
      </c>
      <c r="H1940" s="193">
        <v>0.0</v>
      </c>
      <c r="I1940" s="193" t="s">
        <v>772</v>
      </c>
      <c r="J1940" s="194" t="s">
        <v>772</v>
      </c>
    </row>
    <row r="1941" ht="26.25" customHeight="1">
      <c r="A1941" s="47"/>
      <c r="B1941" s="48"/>
      <c r="C1941" s="50" t="s">
        <v>772</v>
      </c>
      <c r="D1941" s="48"/>
      <c r="E1941" s="48"/>
      <c r="F1941" s="48"/>
      <c r="G1941" s="195">
        <v>0.0</v>
      </c>
      <c r="H1941" s="195">
        <v>0.0</v>
      </c>
      <c r="I1941" s="195" t="s">
        <v>772</v>
      </c>
      <c r="J1941" s="196" t="s">
        <v>772</v>
      </c>
    </row>
    <row r="1942" ht="26.25" customHeight="1">
      <c r="A1942" s="11"/>
      <c r="B1942" s="13"/>
      <c r="C1942" s="16" t="s">
        <v>772</v>
      </c>
      <c r="D1942" s="13"/>
      <c r="E1942" s="13"/>
      <c r="F1942" s="13"/>
      <c r="G1942" s="193">
        <v>0.0</v>
      </c>
      <c r="H1942" s="193">
        <v>0.0</v>
      </c>
      <c r="I1942" s="193" t="s">
        <v>772</v>
      </c>
      <c r="J1942" s="194" t="s">
        <v>772</v>
      </c>
    </row>
    <row r="1943" ht="26.25" customHeight="1">
      <c r="A1943" s="47"/>
      <c r="B1943" s="48"/>
      <c r="C1943" s="50" t="s">
        <v>772</v>
      </c>
      <c r="D1943" s="48"/>
      <c r="E1943" s="48"/>
      <c r="F1943" s="48"/>
      <c r="G1943" s="195">
        <v>0.0</v>
      </c>
      <c r="H1943" s="195">
        <v>0.0</v>
      </c>
      <c r="I1943" s="195" t="s">
        <v>772</v>
      </c>
      <c r="J1943" s="196" t="s">
        <v>772</v>
      </c>
    </row>
    <row r="1944" ht="26.25" customHeight="1">
      <c r="A1944" s="11"/>
      <c r="B1944" s="13"/>
      <c r="C1944" s="16" t="s">
        <v>772</v>
      </c>
      <c r="D1944" s="13"/>
      <c r="E1944" s="13"/>
      <c r="F1944" s="13"/>
      <c r="G1944" s="193">
        <v>0.0</v>
      </c>
      <c r="H1944" s="193">
        <v>0.0</v>
      </c>
      <c r="I1944" s="193" t="s">
        <v>772</v>
      </c>
      <c r="J1944" s="194" t="s">
        <v>772</v>
      </c>
    </row>
    <row r="1945" ht="26.25" customHeight="1">
      <c r="A1945" s="47"/>
      <c r="B1945" s="48"/>
      <c r="C1945" s="50" t="s">
        <v>772</v>
      </c>
      <c r="D1945" s="48"/>
      <c r="E1945" s="48"/>
      <c r="F1945" s="48"/>
      <c r="G1945" s="195">
        <v>0.0</v>
      </c>
      <c r="H1945" s="195">
        <v>0.0</v>
      </c>
      <c r="I1945" s="195" t="s">
        <v>772</v>
      </c>
      <c r="J1945" s="196" t="s">
        <v>772</v>
      </c>
    </row>
    <row r="1946" ht="26.25" customHeight="1">
      <c r="A1946" s="11"/>
      <c r="B1946" s="13"/>
      <c r="C1946" s="16" t="s">
        <v>772</v>
      </c>
      <c r="D1946" s="13"/>
      <c r="E1946" s="13"/>
      <c r="F1946" s="13"/>
      <c r="G1946" s="193">
        <v>0.0</v>
      </c>
      <c r="H1946" s="193">
        <v>0.0</v>
      </c>
      <c r="I1946" s="193" t="s">
        <v>772</v>
      </c>
      <c r="J1946" s="194" t="s">
        <v>772</v>
      </c>
    </row>
    <row r="1947" ht="26.25" customHeight="1">
      <c r="A1947" s="47"/>
      <c r="B1947" s="48"/>
      <c r="C1947" s="50" t="s">
        <v>772</v>
      </c>
      <c r="D1947" s="48"/>
      <c r="E1947" s="48"/>
      <c r="F1947" s="48"/>
      <c r="G1947" s="195">
        <v>0.0</v>
      </c>
      <c r="H1947" s="195">
        <v>0.0</v>
      </c>
      <c r="I1947" s="195" t="s">
        <v>772</v>
      </c>
      <c r="J1947" s="196" t="s">
        <v>772</v>
      </c>
    </row>
    <row r="1948" ht="26.25" customHeight="1">
      <c r="A1948" s="11"/>
      <c r="B1948" s="13"/>
      <c r="C1948" s="16" t="s">
        <v>772</v>
      </c>
      <c r="D1948" s="13"/>
      <c r="E1948" s="13"/>
      <c r="F1948" s="13"/>
      <c r="G1948" s="193">
        <v>0.0</v>
      </c>
      <c r="H1948" s="193">
        <v>0.0</v>
      </c>
      <c r="I1948" s="193" t="s">
        <v>772</v>
      </c>
      <c r="J1948" s="194" t="s">
        <v>772</v>
      </c>
    </row>
    <row r="1949" ht="26.25" customHeight="1">
      <c r="A1949" s="47"/>
      <c r="B1949" s="48"/>
      <c r="C1949" s="50" t="s">
        <v>772</v>
      </c>
      <c r="D1949" s="48"/>
      <c r="E1949" s="48"/>
      <c r="F1949" s="48"/>
      <c r="G1949" s="195">
        <v>0.0</v>
      </c>
      <c r="H1949" s="195">
        <v>0.0</v>
      </c>
      <c r="I1949" s="195" t="s">
        <v>772</v>
      </c>
      <c r="J1949" s="196" t="s">
        <v>772</v>
      </c>
    </row>
    <row r="1950" ht="26.25" customHeight="1">
      <c r="A1950" s="11"/>
      <c r="B1950" s="13"/>
      <c r="C1950" s="16" t="s">
        <v>772</v>
      </c>
      <c r="D1950" s="13"/>
      <c r="E1950" s="13"/>
      <c r="F1950" s="13"/>
      <c r="G1950" s="193">
        <v>0.0</v>
      </c>
      <c r="H1950" s="193">
        <v>0.0</v>
      </c>
      <c r="I1950" s="193" t="s">
        <v>772</v>
      </c>
      <c r="J1950" s="194" t="s">
        <v>772</v>
      </c>
    </row>
    <row r="1951" ht="26.25" customHeight="1">
      <c r="A1951" s="47"/>
      <c r="B1951" s="48"/>
      <c r="C1951" s="50" t="s">
        <v>772</v>
      </c>
      <c r="D1951" s="48"/>
      <c r="E1951" s="48"/>
      <c r="F1951" s="48"/>
      <c r="G1951" s="195">
        <v>0.0</v>
      </c>
      <c r="H1951" s="195">
        <v>0.0</v>
      </c>
      <c r="I1951" s="195" t="s">
        <v>772</v>
      </c>
      <c r="J1951" s="196" t="s">
        <v>772</v>
      </c>
    </row>
    <row r="1952" ht="26.25" customHeight="1">
      <c r="A1952" s="11"/>
      <c r="B1952" s="13"/>
      <c r="C1952" s="16" t="s">
        <v>772</v>
      </c>
      <c r="D1952" s="13"/>
      <c r="E1952" s="13"/>
      <c r="F1952" s="13"/>
      <c r="G1952" s="193">
        <v>0.0</v>
      </c>
      <c r="H1952" s="193">
        <v>0.0</v>
      </c>
      <c r="I1952" s="193" t="s">
        <v>772</v>
      </c>
      <c r="J1952" s="194" t="s">
        <v>772</v>
      </c>
    </row>
    <row r="1953" ht="26.25" customHeight="1">
      <c r="A1953" s="47"/>
      <c r="B1953" s="48"/>
      <c r="C1953" s="50" t="s">
        <v>772</v>
      </c>
      <c r="D1953" s="48"/>
      <c r="E1953" s="48"/>
      <c r="F1953" s="48"/>
      <c r="G1953" s="195">
        <v>0.0</v>
      </c>
      <c r="H1953" s="195">
        <v>0.0</v>
      </c>
      <c r="I1953" s="195" t="s">
        <v>772</v>
      </c>
      <c r="J1953" s="196" t="s">
        <v>772</v>
      </c>
    </row>
    <row r="1954" ht="26.25" customHeight="1">
      <c r="A1954" s="11"/>
      <c r="B1954" s="13"/>
      <c r="C1954" s="16" t="s">
        <v>772</v>
      </c>
      <c r="D1954" s="13"/>
      <c r="E1954" s="13"/>
      <c r="F1954" s="13"/>
      <c r="G1954" s="193">
        <v>0.0</v>
      </c>
      <c r="H1954" s="193">
        <v>0.0</v>
      </c>
      <c r="I1954" s="193" t="s">
        <v>772</v>
      </c>
      <c r="J1954" s="194" t="s">
        <v>772</v>
      </c>
    </row>
    <row r="1955" ht="26.25" customHeight="1">
      <c r="A1955" s="47"/>
      <c r="B1955" s="48"/>
      <c r="C1955" s="50" t="s">
        <v>772</v>
      </c>
      <c r="D1955" s="48"/>
      <c r="E1955" s="48"/>
      <c r="F1955" s="48"/>
      <c r="G1955" s="195">
        <v>0.0</v>
      </c>
      <c r="H1955" s="195">
        <v>0.0</v>
      </c>
      <c r="I1955" s="195" t="s">
        <v>772</v>
      </c>
      <c r="J1955" s="196" t="s">
        <v>772</v>
      </c>
    </row>
    <row r="1956" ht="26.25" customHeight="1">
      <c r="A1956" s="11"/>
      <c r="B1956" s="13"/>
      <c r="C1956" s="16" t="s">
        <v>772</v>
      </c>
      <c r="D1956" s="13"/>
      <c r="E1956" s="13"/>
      <c r="F1956" s="13"/>
      <c r="G1956" s="193">
        <v>0.0</v>
      </c>
      <c r="H1956" s="193">
        <v>0.0</v>
      </c>
      <c r="I1956" s="193" t="s">
        <v>772</v>
      </c>
      <c r="J1956" s="194" t="s">
        <v>772</v>
      </c>
    </row>
    <row r="1957" ht="26.25" customHeight="1">
      <c r="A1957" s="47"/>
      <c r="B1957" s="48"/>
      <c r="C1957" s="50" t="s">
        <v>772</v>
      </c>
      <c r="D1957" s="48"/>
      <c r="E1957" s="48"/>
      <c r="F1957" s="48"/>
      <c r="G1957" s="195">
        <v>0.0</v>
      </c>
      <c r="H1957" s="195">
        <v>0.0</v>
      </c>
      <c r="I1957" s="195" t="s">
        <v>772</v>
      </c>
      <c r="J1957" s="196" t="s">
        <v>772</v>
      </c>
    </row>
    <row r="1958" ht="26.25" customHeight="1">
      <c r="A1958" s="11"/>
      <c r="B1958" s="13"/>
      <c r="C1958" s="16" t="s">
        <v>772</v>
      </c>
      <c r="D1958" s="13"/>
      <c r="E1958" s="13"/>
      <c r="F1958" s="13"/>
      <c r="G1958" s="193">
        <v>0.0</v>
      </c>
      <c r="H1958" s="193">
        <v>0.0</v>
      </c>
      <c r="I1958" s="193" t="s">
        <v>772</v>
      </c>
      <c r="J1958" s="194" t="s">
        <v>772</v>
      </c>
    </row>
    <row r="1959" ht="26.25" customHeight="1">
      <c r="A1959" s="47"/>
      <c r="B1959" s="48"/>
      <c r="C1959" s="50" t="s">
        <v>772</v>
      </c>
      <c r="D1959" s="48"/>
      <c r="E1959" s="48"/>
      <c r="F1959" s="48"/>
      <c r="G1959" s="195">
        <v>0.0</v>
      </c>
      <c r="H1959" s="195">
        <v>0.0</v>
      </c>
      <c r="I1959" s="195" t="s">
        <v>772</v>
      </c>
      <c r="J1959" s="196" t="s">
        <v>772</v>
      </c>
    </row>
    <row r="1960" ht="26.25" customHeight="1">
      <c r="A1960" s="11"/>
      <c r="B1960" s="13"/>
      <c r="C1960" s="16" t="s">
        <v>772</v>
      </c>
      <c r="D1960" s="13"/>
      <c r="E1960" s="13"/>
      <c r="F1960" s="13"/>
      <c r="G1960" s="193">
        <v>0.0</v>
      </c>
      <c r="H1960" s="193">
        <v>0.0</v>
      </c>
      <c r="I1960" s="193" t="s">
        <v>772</v>
      </c>
      <c r="J1960" s="194" t="s">
        <v>772</v>
      </c>
    </row>
    <row r="1961" ht="26.25" customHeight="1">
      <c r="A1961" s="47"/>
      <c r="B1961" s="48"/>
      <c r="C1961" s="50" t="s">
        <v>772</v>
      </c>
      <c r="D1961" s="48"/>
      <c r="E1961" s="48"/>
      <c r="F1961" s="48"/>
      <c r="G1961" s="195">
        <v>0.0</v>
      </c>
      <c r="H1961" s="195">
        <v>0.0</v>
      </c>
      <c r="I1961" s="195" t="s">
        <v>772</v>
      </c>
      <c r="J1961" s="196" t="s">
        <v>772</v>
      </c>
    </row>
    <row r="1962" ht="26.25" customHeight="1">
      <c r="A1962" s="11"/>
      <c r="B1962" s="13"/>
      <c r="C1962" s="16" t="s">
        <v>772</v>
      </c>
      <c r="D1962" s="13"/>
      <c r="E1962" s="13"/>
      <c r="F1962" s="13"/>
      <c r="G1962" s="193">
        <v>0.0</v>
      </c>
      <c r="H1962" s="193">
        <v>0.0</v>
      </c>
      <c r="I1962" s="193" t="s">
        <v>772</v>
      </c>
      <c r="J1962" s="194" t="s">
        <v>772</v>
      </c>
    </row>
    <row r="1963" ht="26.25" customHeight="1">
      <c r="A1963" s="47"/>
      <c r="B1963" s="48"/>
      <c r="C1963" s="50" t="s">
        <v>772</v>
      </c>
      <c r="D1963" s="48"/>
      <c r="E1963" s="48"/>
      <c r="F1963" s="48"/>
      <c r="G1963" s="195">
        <v>0.0</v>
      </c>
      <c r="H1963" s="195">
        <v>0.0</v>
      </c>
      <c r="I1963" s="195" t="s">
        <v>772</v>
      </c>
      <c r="J1963" s="196" t="s">
        <v>772</v>
      </c>
    </row>
    <row r="1964" ht="26.25" customHeight="1">
      <c r="A1964" s="11"/>
      <c r="B1964" s="13"/>
      <c r="C1964" s="16" t="s">
        <v>772</v>
      </c>
      <c r="D1964" s="13"/>
      <c r="E1964" s="13"/>
      <c r="F1964" s="13"/>
      <c r="G1964" s="193">
        <v>0.0</v>
      </c>
      <c r="H1964" s="193">
        <v>0.0</v>
      </c>
      <c r="I1964" s="193" t="s">
        <v>772</v>
      </c>
      <c r="J1964" s="194" t="s">
        <v>772</v>
      </c>
    </row>
    <row r="1965" ht="26.25" customHeight="1">
      <c r="A1965" s="47"/>
      <c r="B1965" s="48"/>
      <c r="C1965" s="50" t="s">
        <v>772</v>
      </c>
      <c r="D1965" s="48"/>
      <c r="E1965" s="48"/>
      <c r="F1965" s="48"/>
      <c r="G1965" s="195">
        <v>0.0</v>
      </c>
      <c r="H1965" s="195">
        <v>0.0</v>
      </c>
      <c r="I1965" s="195" t="s">
        <v>772</v>
      </c>
      <c r="J1965" s="196" t="s">
        <v>772</v>
      </c>
    </row>
    <row r="1966" ht="26.25" customHeight="1">
      <c r="A1966" s="11"/>
      <c r="B1966" s="13"/>
      <c r="C1966" s="16" t="s">
        <v>772</v>
      </c>
      <c r="D1966" s="13"/>
      <c r="E1966" s="13"/>
      <c r="F1966" s="13"/>
      <c r="G1966" s="193">
        <v>0.0</v>
      </c>
      <c r="H1966" s="193">
        <v>0.0</v>
      </c>
      <c r="I1966" s="193" t="s">
        <v>772</v>
      </c>
      <c r="J1966" s="194" t="s">
        <v>772</v>
      </c>
    </row>
    <row r="1967" ht="26.25" customHeight="1">
      <c r="A1967" s="47"/>
      <c r="B1967" s="48"/>
      <c r="C1967" s="50" t="s">
        <v>772</v>
      </c>
      <c r="D1967" s="48"/>
      <c r="E1967" s="48"/>
      <c r="F1967" s="48"/>
      <c r="G1967" s="195">
        <v>0.0</v>
      </c>
      <c r="H1967" s="195">
        <v>0.0</v>
      </c>
      <c r="I1967" s="195" t="s">
        <v>772</v>
      </c>
      <c r="J1967" s="196" t="s">
        <v>772</v>
      </c>
    </row>
    <row r="1968" ht="26.25" customHeight="1">
      <c r="A1968" s="11"/>
      <c r="B1968" s="13"/>
      <c r="C1968" s="16" t="s">
        <v>772</v>
      </c>
      <c r="D1968" s="13"/>
      <c r="E1968" s="13"/>
      <c r="F1968" s="13"/>
      <c r="G1968" s="193">
        <v>0.0</v>
      </c>
      <c r="H1968" s="193">
        <v>0.0</v>
      </c>
      <c r="I1968" s="193" t="s">
        <v>772</v>
      </c>
      <c r="J1968" s="194" t="s">
        <v>772</v>
      </c>
    </row>
    <row r="1969" ht="26.25" customHeight="1">
      <c r="A1969" s="47"/>
      <c r="B1969" s="48"/>
      <c r="C1969" s="50" t="s">
        <v>772</v>
      </c>
      <c r="D1969" s="48"/>
      <c r="E1969" s="48"/>
      <c r="F1969" s="48"/>
      <c r="G1969" s="195">
        <v>0.0</v>
      </c>
      <c r="H1969" s="195">
        <v>0.0</v>
      </c>
      <c r="I1969" s="195" t="s">
        <v>772</v>
      </c>
      <c r="J1969" s="196" t="s">
        <v>772</v>
      </c>
    </row>
    <row r="1970" ht="26.25" customHeight="1">
      <c r="A1970" s="11"/>
      <c r="B1970" s="13"/>
      <c r="C1970" s="16" t="s">
        <v>772</v>
      </c>
      <c r="D1970" s="13"/>
      <c r="E1970" s="13"/>
      <c r="F1970" s="13"/>
      <c r="G1970" s="193">
        <v>0.0</v>
      </c>
      <c r="H1970" s="193">
        <v>0.0</v>
      </c>
      <c r="I1970" s="193" t="s">
        <v>772</v>
      </c>
      <c r="J1970" s="194" t="s">
        <v>772</v>
      </c>
    </row>
    <row r="1971" ht="26.25" customHeight="1">
      <c r="A1971" s="47"/>
      <c r="B1971" s="48"/>
      <c r="C1971" s="50" t="s">
        <v>772</v>
      </c>
      <c r="D1971" s="48"/>
      <c r="E1971" s="48"/>
      <c r="F1971" s="48"/>
      <c r="G1971" s="195">
        <v>0.0</v>
      </c>
      <c r="H1971" s="195">
        <v>0.0</v>
      </c>
      <c r="I1971" s="195" t="s">
        <v>772</v>
      </c>
      <c r="J1971" s="196" t="s">
        <v>772</v>
      </c>
    </row>
    <row r="1972" ht="26.25" customHeight="1">
      <c r="A1972" s="11"/>
      <c r="B1972" s="13"/>
      <c r="C1972" s="16" t="s">
        <v>772</v>
      </c>
      <c r="D1972" s="13"/>
      <c r="E1972" s="13"/>
      <c r="F1972" s="13"/>
      <c r="G1972" s="193">
        <v>0.0</v>
      </c>
      <c r="H1972" s="193">
        <v>0.0</v>
      </c>
      <c r="I1972" s="193" t="s">
        <v>772</v>
      </c>
      <c r="J1972" s="194" t="s">
        <v>772</v>
      </c>
    </row>
    <row r="1973" ht="26.25" customHeight="1">
      <c r="A1973" s="47"/>
      <c r="B1973" s="48"/>
      <c r="C1973" s="50" t="s">
        <v>772</v>
      </c>
      <c r="D1973" s="48"/>
      <c r="E1973" s="48"/>
      <c r="F1973" s="48"/>
      <c r="G1973" s="195">
        <v>0.0</v>
      </c>
      <c r="H1973" s="195">
        <v>0.0</v>
      </c>
      <c r="I1973" s="195" t="s">
        <v>772</v>
      </c>
      <c r="J1973" s="196" t="s">
        <v>772</v>
      </c>
    </row>
    <row r="1974" ht="26.25" customHeight="1">
      <c r="A1974" s="11"/>
      <c r="B1974" s="13"/>
      <c r="C1974" s="16" t="s">
        <v>772</v>
      </c>
      <c r="D1974" s="13"/>
      <c r="E1974" s="13"/>
      <c r="F1974" s="13"/>
      <c r="G1974" s="193">
        <v>0.0</v>
      </c>
      <c r="H1974" s="193">
        <v>0.0</v>
      </c>
      <c r="I1974" s="193" t="s">
        <v>772</v>
      </c>
      <c r="J1974" s="194" t="s">
        <v>772</v>
      </c>
    </row>
    <row r="1975" ht="26.25" customHeight="1">
      <c r="A1975" s="47"/>
      <c r="B1975" s="48"/>
      <c r="C1975" s="50" t="s">
        <v>772</v>
      </c>
      <c r="D1975" s="48"/>
      <c r="E1975" s="48"/>
      <c r="F1975" s="48"/>
      <c r="G1975" s="195">
        <v>0.0</v>
      </c>
      <c r="H1975" s="195">
        <v>0.0</v>
      </c>
      <c r="I1975" s="195" t="s">
        <v>772</v>
      </c>
      <c r="J1975" s="196" t="s">
        <v>772</v>
      </c>
    </row>
    <row r="1976" ht="26.25" customHeight="1">
      <c r="A1976" s="11"/>
      <c r="B1976" s="13"/>
      <c r="C1976" s="16" t="s">
        <v>772</v>
      </c>
      <c r="D1976" s="13"/>
      <c r="E1976" s="13"/>
      <c r="F1976" s="13"/>
      <c r="G1976" s="193">
        <v>0.0</v>
      </c>
      <c r="H1976" s="193">
        <v>0.0</v>
      </c>
      <c r="I1976" s="193" t="s">
        <v>772</v>
      </c>
      <c r="J1976" s="194" t="s">
        <v>772</v>
      </c>
    </row>
    <row r="1977" ht="26.25" customHeight="1">
      <c r="A1977" s="47"/>
      <c r="B1977" s="48"/>
      <c r="C1977" s="50" t="s">
        <v>772</v>
      </c>
      <c r="D1977" s="48"/>
      <c r="E1977" s="48"/>
      <c r="F1977" s="48"/>
      <c r="G1977" s="195">
        <v>0.0</v>
      </c>
      <c r="H1977" s="195">
        <v>0.0</v>
      </c>
      <c r="I1977" s="195" t="s">
        <v>772</v>
      </c>
      <c r="J1977" s="196" t="s">
        <v>772</v>
      </c>
    </row>
    <row r="1978" ht="26.25" customHeight="1">
      <c r="A1978" s="11"/>
      <c r="B1978" s="13"/>
      <c r="C1978" s="16" t="s">
        <v>772</v>
      </c>
      <c r="D1978" s="13"/>
      <c r="E1978" s="13"/>
      <c r="F1978" s="13"/>
      <c r="G1978" s="193">
        <v>0.0</v>
      </c>
      <c r="H1978" s="193">
        <v>0.0</v>
      </c>
      <c r="I1978" s="193" t="s">
        <v>772</v>
      </c>
      <c r="J1978" s="194" t="s">
        <v>772</v>
      </c>
    </row>
    <row r="1979" ht="26.25" customHeight="1">
      <c r="A1979" s="47"/>
      <c r="B1979" s="48"/>
      <c r="C1979" s="50" t="s">
        <v>772</v>
      </c>
      <c r="D1979" s="48"/>
      <c r="E1979" s="48"/>
      <c r="F1979" s="48"/>
      <c r="G1979" s="195">
        <v>0.0</v>
      </c>
      <c r="H1979" s="195">
        <v>0.0</v>
      </c>
      <c r="I1979" s="195" t="s">
        <v>772</v>
      </c>
      <c r="J1979" s="196" t="s">
        <v>772</v>
      </c>
    </row>
    <row r="1980" ht="26.25" customHeight="1">
      <c r="A1980" s="11"/>
      <c r="B1980" s="13"/>
      <c r="C1980" s="16" t="s">
        <v>772</v>
      </c>
      <c r="D1980" s="13"/>
      <c r="E1980" s="13"/>
      <c r="F1980" s="13"/>
      <c r="G1980" s="193">
        <v>0.0</v>
      </c>
      <c r="H1980" s="193">
        <v>0.0</v>
      </c>
      <c r="I1980" s="193" t="s">
        <v>772</v>
      </c>
      <c r="J1980" s="194" t="s">
        <v>772</v>
      </c>
    </row>
    <row r="1981" ht="26.25" customHeight="1">
      <c r="A1981" s="47"/>
      <c r="B1981" s="48"/>
      <c r="C1981" s="50" t="s">
        <v>772</v>
      </c>
      <c r="D1981" s="48"/>
      <c r="E1981" s="48"/>
      <c r="F1981" s="48"/>
      <c r="G1981" s="195">
        <v>0.0</v>
      </c>
      <c r="H1981" s="195">
        <v>0.0</v>
      </c>
      <c r="I1981" s="195" t="s">
        <v>772</v>
      </c>
      <c r="J1981" s="196" t="s">
        <v>772</v>
      </c>
    </row>
    <row r="1982" ht="26.25" customHeight="1">
      <c r="A1982" s="11"/>
      <c r="B1982" s="13"/>
      <c r="C1982" s="16" t="s">
        <v>772</v>
      </c>
      <c r="D1982" s="13"/>
      <c r="E1982" s="13"/>
      <c r="F1982" s="13"/>
      <c r="G1982" s="193">
        <v>0.0</v>
      </c>
      <c r="H1982" s="193">
        <v>0.0</v>
      </c>
      <c r="I1982" s="193" t="s">
        <v>772</v>
      </c>
      <c r="J1982" s="194" t="s">
        <v>772</v>
      </c>
    </row>
    <row r="1983" ht="26.25" customHeight="1">
      <c r="A1983" s="47"/>
      <c r="B1983" s="48"/>
      <c r="C1983" s="50" t="s">
        <v>772</v>
      </c>
      <c r="D1983" s="48"/>
      <c r="E1983" s="48"/>
      <c r="F1983" s="48"/>
      <c r="G1983" s="195">
        <v>0.0</v>
      </c>
      <c r="H1983" s="195">
        <v>0.0</v>
      </c>
      <c r="I1983" s="195" t="s">
        <v>772</v>
      </c>
      <c r="J1983" s="196" t="s">
        <v>772</v>
      </c>
    </row>
    <row r="1984" ht="26.25" customHeight="1">
      <c r="A1984" s="11"/>
      <c r="B1984" s="13"/>
      <c r="C1984" s="16" t="s">
        <v>772</v>
      </c>
      <c r="D1984" s="13"/>
      <c r="E1984" s="13"/>
      <c r="F1984" s="13"/>
      <c r="G1984" s="193">
        <v>0.0</v>
      </c>
      <c r="H1984" s="193">
        <v>0.0</v>
      </c>
      <c r="I1984" s="193" t="s">
        <v>772</v>
      </c>
      <c r="J1984" s="194" t="s">
        <v>772</v>
      </c>
    </row>
    <row r="1985" ht="26.25" customHeight="1">
      <c r="A1985" s="47"/>
      <c r="B1985" s="48"/>
      <c r="C1985" s="50" t="s">
        <v>772</v>
      </c>
      <c r="D1985" s="48"/>
      <c r="E1985" s="48"/>
      <c r="F1985" s="48"/>
      <c r="G1985" s="195">
        <v>0.0</v>
      </c>
      <c r="H1985" s="195">
        <v>0.0</v>
      </c>
      <c r="I1985" s="195" t="s">
        <v>772</v>
      </c>
      <c r="J1985" s="196" t="s">
        <v>772</v>
      </c>
    </row>
    <row r="1986" ht="26.25" customHeight="1">
      <c r="A1986" s="11"/>
      <c r="B1986" s="13"/>
      <c r="C1986" s="16" t="s">
        <v>772</v>
      </c>
      <c r="D1986" s="13"/>
      <c r="E1986" s="13"/>
      <c r="F1986" s="13"/>
      <c r="G1986" s="193">
        <v>0.0</v>
      </c>
      <c r="H1986" s="193">
        <v>0.0</v>
      </c>
      <c r="I1986" s="193" t="s">
        <v>772</v>
      </c>
      <c r="J1986" s="194" t="s">
        <v>772</v>
      </c>
    </row>
    <row r="1987" ht="26.25" customHeight="1">
      <c r="A1987" s="47"/>
      <c r="B1987" s="48"/>
      <c r="C1987" s="50" t="s">
        <v>772</v>
      </c>
      <c r="D1987" s="48"/>
      <c r="E1987" s="48"/>
      <c r="F1987" s="48"/>
      <c r="G1987" s="195">
        <v>0.0</v>
      </c>
      <c r="H1987" s="195">
        <v>0.0</v>
      </c>
      <c r="I1987" s="195" t="s">
        <v>772</v>
      </c>
      <c r="J1987" s="196" t="s">
        <v>772</v>
      </c>
    </row>
    <row r="1988" ht="26.25" customHeight="1">
      <c r="A1988" s="11"/>
      <c r="B1988" s="13"/>
      <c r="C1988" s="16" t="s">
        <v>772</v>
      </c>
      <c r="D1988" s="13"/>
      <c r="E1988" s="13"/>
      <c r="F1988" s="13"/>
      <c r="G1988" s="193">
        <v>0.0</v>
      </c>
      <c r="H1988" s="193">
        <v>0.0</v>
      </c>
      <c r="I1988" s="193" t="s">
        <v>772</v>
      </c>
      <c r="J1988" s="194" t="s">
        <v>772</v>
      </c>
    </row>
    <row r="1989" ht="26.25" customHeight="1">
      <c r="A1989" s="47"/>
      <c r="B1989" s="48"/>
      <c r="C1989" s="50" t="s">
        <v>772</v>
      </c>
      <c r="D1989" s="48"/>
      <c r="E1989" s="48"/>
      <c r="F1989" s="48"/>
      <c r="G1989" s="195">
        <v>0.0</v>
      </c>
      <c r="H1989" s="195">
        <v>0.0</v>
      </c>
      <c r="I1989" s="195" t="s">
        <v>772</v>
      </c>
      <c r="J1989" s="196" t="s">
        <v>772</v>
      </c>
    </row>
    <row r="1990" ht="26.25" customHeight="1">
      <c r="A1990" s="11"/>
      <c r="B1990" s="13"/>
      <c r="C1990" s="16" t="s">
        <v>772</v>
      </c>
      <c r="D1990" s="13"/>
      <c r="E1990" s="13"/>
      <c r="F1990" s="13"/>
      <c r="G1990" s="193">
        <v>0.0</v>
      </c>
      <c r="H1990" s="193">
        <v>0.0</v>
      </c>
      <c r="I1990" s="193" t="s">
        <v>772</v>
      </c>
      <c r="J1990" s="194" t="s">
        <v>772</v>
      </c>
    </row>
    <row r="1991" ht="26.25" customHeight="1">
      <c r="A1991" s="47"/>
      <c r="B1991" s="48"/>
      <c r="C1991" s="50" t="s">
        <v>772</v>
      </c>
      <c r="D1991" s="48"/>
      <c r="E1991" s="48"/>
      <c r="F1991" s="48"/>
      <c r="G1991" s="195">
        <v>0.0</v>
      </c>
      <c r="H1991" s="195">
        <v>0.0</v>
      </c>
      <c r="I1991" s="195" t="s">
        <v>772</v>
      </c>
      <c r="J1991" s="196" t="s">
        <v>772</v>
      </c>
    </row>
    <row r="1992" ht="26.25" customHeight="1">
      <c r="A1992" s="11"/>
      <c r="B1992" s="13"/>
      <c r="C1992" s="16" t="s">
        <v>772</v>
      </c>
      <c r="D1992" s="13"/>
      <c r="E1992" s="13"/>
      <c r="F1992" s="13"/>
      <c r="G1992" s="193">
        <v>0.0</v>
      </c>
      <c r="H1992" s="193">
        <v>0.0</v>
      </c>
      <c r="I1992" s="193" t="s">
        <v>772</v>
      </c>
      <c r="J1992" s="194" t="s">
        <v>772</v>
      </c>
    </row>
    <row r="1993" ht="26.25" customHeight="1">
      <c r="A1993" s="47"/>
      <c r="B1993" s="48"/>
      <c r="C1993" s="50" t="s">
        <v>772</v>
      </c>
      <c r="D1993" s="48"/>
      <c r="E1993" s="48"/>
      <c r="F1993" s="48"/>
      <c r="G1993" s="195">
        <v>0.0</v>
      </c>
      <c r="H1993" s="195">
        <v>0.0</v>
      </c>
      <c r="I1993" s="195" t="s">
        <v>772</v>
      </c>
      <c r="J1993" s="196" t="s">
        <v>772</v>
      </c>
    </row>
    <row r="1994" ht="26.25" customHeight="1">
      <c r="A1994" s="11"/>
      <c r="B1994" s="13"/>
      <c r="C1994" s="16" t="s">
        <v>772</v>
      </c>
      <c r="D1994" s="13"/>
      <c r="E1994" s="13"/>
      <c r="F1994" s="13"/>
      <c r="G1994" s="193">
        <v>0.0</v>
      </c>
      <c r="H1994" s="193">
        <v>0.0</v>
      </c>
      <c r="I1994" s="193" t="s">
        <v>772</v>
      </c>
      <c r="J1994" s="194" t="s">
        <v>772</v>
      </c>
    </row>
    <row r="1995" ht="26.25" customHeight="1">
      <c r="A1995" s="47"/>
      <c r="B1995" s="48"/>
      <c r="C1995" s="50" t="s">
        <v>772</v>
      </c>
      <c r="D1995" s="48"/>
      <c r="E1995" s="48"/>
      <c r="F1995" s="48"/>
      <c r="G1995" s="195">
        <v>0.0</v>
      </c>
      <c r="H1995" s="195">
        <v>0.0</v>
      </c>
      <c r="I1995" s="195" t="s">
        <v>772</v>
      </c>
      <c r="J1995" s="196" t="s">
        <v>772</v>
      </c>
    </row>
    <row r="1996" ht="26.25" customHeight="1">
      <c r="A1996" s="11"/>
      <c r="B1996" s="13"/>
      <c r="C1996" s="16" t="s">
        <v>772</v>
      </c>
      <c r="D1996" s="13"/>
      <c r="E1996" s="13"/>
      <c r="F1996" s="13"/>
      <c r="G1996" s="193">
        <v>0.0</v>
      </c>
      <c r="H1996" s="193">
        <v>0.0</v>
      </c>
      <c r="I1996" s="193" t="s">
        <v>772</v>
      </c>
      <c r="J1996" s="194" t="s">
        <v>772</v>
      </c>
    </row>
    <row r="1997" ht="26.25" customHeight="1">
      <c r="A1997" s="47"/>
      <c r="B1997" s="48"/>
      <c r="C1997" s="50" t="s">
        <v>772</v>
      </c>
      <c r="D1997" s="48"/>
      <c r="E1997" s="48"/>
      <c r="F1997" s="48"/>
      <c r="G1997" s="195">
        <v>0.0</v>
      </c>
      <c r="H1997" s="195">
        <v>0.0</v>
      </c>
      <c r="I1997" s="195" t="s">
        <v>772</v>
      </c>
      <c r="J1997" s="196" t="s">
        <v>772</v>
      </c>
    </row>
  </sheetData>
  <autoFilter ref="$A$1:$J$1997"/>
  <conditionalFormatting sqref="I1078:J1997">
    <cfRule type="cellIs" dxfId="11" priority="1" stopIfTrue="1" operator="lessThan">
      <formula>0</formula>
    </cfRule>
  </conditionalFormatting>
  <conditionalFormatting sqref="I1078:J1997">
    <cfRule type="cellIs" dxfId="12" priority="2" stopIfTrue="1" operator="equal">
      <formula>0</formula>
    </cfRule>
  </conditionalFormatting>
  <conditionalFormatting sqref="I1078:J1997">
    <cfRule type="cellIs" dxfId="13" priority="3" stopIfTrue="1" operator="equal">
      <formula>0</formula>
    </cfRule>
  </conditionalFormatting>
  <conditionalFormatting sqref="I1078:J1997">
    <cfRule type="cellIs" dxfId="14" priority="4" stopIfTrue="1" operator="equal">
      <formula>0</formula>
    </cfRule>
  </conditionalFormatting>
  <conditionalFormatting sqref="I1078:J1997">
    <cfRule type="cellIs" dxfId="15" priority="5" stopIfTrue="1" operator="lessThan">
      <formula>0</formula>
    </cfRule>
  </conditionalFormatting>
  <conditionalFormatting sqref="I1078:J1997">
    <cfRule type="cellIs" dxfId="16" priority="6" stopIfTrue="1" operator="lessThan">
      <formula>0</formula>
    </cfRule>
  </conditionalFormatting>
  <conditionalFormatting sqref="I1078:J1997">
    <cfRule type="cellIs" dxfId="17" priority="7" stopIfTrue="1" operator="lessThan">
      <formula>0</formula>
    </cfRule>
  </conditionalFormatting>
  <dataValidations>
    <dataValidation type="list" allowBlank="1" sqref="B2:B1997">
      <formula1>Master_Dropdown!$C$2:$C$13</formula1>
    </dataValidation>
    <dataValidation type="list" allowBlank="1" sqref="D2:D1997">
      <formula1>Master_Dropdown!$H$2:$H$97</formula1>
    </dataValidation>
    <dataValidation type="list" allowBlank="1" sqref="E2:E1997">
      <formula1>Master_Dropdown!$D$2:$D$68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8.88"/>
    <col customWidth="1" min="3" max="3" width="6.38"/>
    <col customWidth="1" min="4" max="4" width="26.0"/>
    <col customWidth="1" min="5" max="5" width="31.0"/>
    <col customWidth="1" min="6" max="6" width="3.63"/>
    <col customWidth="1" min="7" max="7" width="15.0"/>
    <col customWidth="1" min="8" max="8" width="21.63"/>
    <col customWidth="1" min="9" max="9" width="9.38"/>
    <col customWidth="1" min="10" max="26" width="7.63"/>
  </cols>
  <sheetData>
    <row r="1" ht="63.0" customHeight="1">
      <c r="A1" s="1"/>
      <c r="D1" s="3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0.5" customHeight="1">
      <c r="A3" s="1"/>
      <c r="D3" s="6" t="s">
        <v>7</v>
      </c>
      <c r="E3" s="9" t="s">
        <v>14</v>
      </c>
      <c r="F3" s="1"/>
      <c r="G3" s="12" t="s">
        <v>10</v>
      </c>
      <c r="H3" s="15">
        <v>16000.0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8.75" customHeight="1">
      <c r="A4" s="1"/>
      <c r="D4" s="17" t="s">
        <v>20</v>
      </c>
      <c r="E4" s="20"/>
      <c r="F4" s="1"/>
      <c r="G4" s="12" t="s">
        <v>11</v>
      </c>
      <c r="H4" s="15">
        <v>35000.0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5.25" customHeight="1">
      <c r="A5" s="1"/>
      <c r="D5" s="23" t="s">
        <v>3</v>
      </c>
      <c r="E5" s="2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0" customHeight="1">
      <c r="A6" s="1"/>
      <c r="D6" s="26" t="s">
        <v>6</v>
      </c>
      <c r="E6" s="2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2.25" customHeight="1">
      <c r="A7" s="1"/>
      <c r="D7" s="26" t="s">
        <v>5</v>
      </c>
      <c r="E7" s="29"/>
      <c r="F7" s="3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1"/>
      <c r="D8" s="26" t="s">
        <v>2</v>
      </c>
      <c r="E8" s="24" t="s">
        <v>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8.25" customHeight="1">
      <c r="A9" s="1"/>
      <c r="D9" s="12" t="s">
        <v>26</v>
      </c>
      <c r="E9" s="33">
        <v>2.0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36"/>
      <c r="D12" s="37"/>
      <c r="E12" s="3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37"/>
      <c r="E13" s="3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37"/>
      <c r="E14" s="3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37"/>
      <c r="E15" s="3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D1:H2"/>
    <mergeCell ref="F7:J7"/>
  </mergeCells>
  <dataValidations>
    <dataValidation type="list" allowBlank="1" sqref="E5">
      <formula1>"AKSESORIS,LAIN LAIN,PULSA"</formula1>
    </dataValidation>
    <dataValidation type="list" allowBlank="1" sqref="E7">
      <formula1>"ACOME,ALIENS,AXIS,BASEUSE,DAP,DATA,GAMEN,GAN,GUKOO,HDMI,HT,INDOSAT,INFINIX,IPHONE,J,JASPAN,LANEX,LAQUE,LENYES,LINTIVEN,METIKO,MINIBEST,MINIMO,NO BRAND,OLIKE,OPP,OPPO,ORAIMO,OWS,Ori,PERDANA AXIS,PERDANA ISAT,PERDANA TSEL,PM-50,POCO,REALME,REDMI,REDSKULL,RO"&amp;"BOT,RSPB,SAMSUNG,SMART,SONNY,TELKOMSEL,THREE,ULTRA,VANGO,VBOX,VIV0,VIVAN,VIVO,WELCOME,XIAOMI,XL"</formula1>
    </dataValidation>
    <dataValidation type="list" allowBlank="1" sqref="E6">
      <formula1>"ADAPTER,AUX,AUX AV-003 1,5 M,Aksesoris Lainnya,BANDO,BATERAI,BATOK CHARGER,BROADCAST,CAR CHARGER,CARD READER,CHARGER AKI,CONVERTER,COOLING PAD,DOGLE,FAN,FLASHDISCK,FLASHDISK,GURITA,HANDFREE,HANDFREEE,HDMI,HEADPHONE,HEADSET,HOLDER,HUB,JEMPOL,KABEL,KABEL DA"&amp;"TA,KEYBOARD,KIPAS,LAIN LAIN,LAMPU,MIX,MMC,MOUSE,MOUSEPAD,OTG,POINTER,POWER BANK,POWERBANK,RADIATOR,RECIEVER,RINGLIGHT,SARUNG,SARUNG HP,SMARTWACTH,SOCKET,SPEAKER,SPLINTER,STYLUS,Smart Watch,TEMPERED GLASS,TRAVEL CHARGER,TRIPOD,TWS,Voucher,WIRELES MIX"</formula1>
    </dataValidation>
    <dataValidation type="list" allowBlank="1" sqref="E4">
      <formula1>'Stok Fisik'!$C$2:$C$2001</formula1>
    </dataValidation>
    <dataValidation type="list" allowBlank="1" sqref="E3">
      <formula1>"Digital,Fisik"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8.88"/>
    <col customWidth="1" min="3" max="3" width="16.5"/>
    <col customWidth="1" min="4" max="4" width="19.75"/>
    <col customWidth="1" min="5" max="5" width="41.25"/>
    <col customWidth="1" min="6" max="8" width="7.63"/>
    <col customWidth="1" min="9" max="9" width="9.38"/>
    <col customWidth="1" min="10" max="26" width="7.63"/>
  </cols>
  <sheetData>
    <row r="1" ht="63.0" customHeight="1">
      <c r="A1" s="1"/>
      <c r="D1" s="2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0.5" customHeight="1">
      <c r="A3" s="1"/>
      <c r="D3" s="7" t="s">
        <v>9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8.75" customHeight="1">
      <c r="A4" s="1"/>
      <c r="D4" s="6" t="s">
        <v>16</v>
      </c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1"/>
      <c r="D5" s="18" t="s">
        <v>21</v>
      </c>
      <c r="E5" s="2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2.25" customHeight="1">
      <c r="A6" s="1"/>
      <c r="D6" s="25" t="s">
        <v>24</v>
      </c>
      <c r="E6" s="27"/>
      <c r="F6" s="2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D7" s="31"/>
      <c r="E7" s="32"/>
      <c r="F7" s="28"/>
      <c r="G7" s="28"/>
      <c r="H7" s="28"/>
      <c r="I7" s="28"/>
      <c r="J7" s="2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1"/>
      <c r="D8" s="18" t="s">
        <v>27</v>
      </c>
      <c r="E8" s="3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8.25" customHeight="1">
      <c r="A9" s="1"/>
      <c r="D9" s="18" t="s">
        <v>29</v>
      </c>
      <c r="E9" s="3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4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37"/>
      <c r="E11" s="3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36"/>
      <c r="D12" s="37"/>
      <c r="E12" s="3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37"/>
      <c r="E13" s="3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37"/>
      <c r="E14" s="3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37"/>
      <c r="E15" s="3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37"/>
      <c r="E16" s="3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37"/>
      <c r="E17" s="3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D1:E2"/>
    <mergeCell ref="D6:D7"/>
    <mergeCell ref="F6:J6"/>
    <mergeCell ref="D10:E10"/>
  </mergeCells>
  <dataValidations>
    <dataValidation type="custom" allowBlank="1" showDropDown="1" sqref="E3">
      <formula1>OR(NOT(ISERROR(DATEVALUE(E3))), AND(ISNUMBER(E3), LEFT(CELL("format", E3))="D"))</formula1>
    </dataValidation>
    <dataValidation type="list" allowBlank="1" showErrorMessage="1" sqref="E8">
      <formula1>"Mutasi Saldo,Saldo Masuk,Saldo Keluar"</formula1>
    </dataValidation>
    <dataValidation type="list" allowBlank="1" showDropDown="1" sqref="E5:E6">
      <formula1>"MULTI,DANA,BANK MAS,WAHANA,QRIS,Bank BCA"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2.63"/>
    <col customWidth="1" min="3" max="3" width="7.38"/>
    <col customWidth="1" min="4" max="4" width="15.75"/>
    <col customWidth="1" min="5" max="5" width="22.13"/>
    <col customWidth="1" min="6" max="6" width="23.75"/>
    <col customWidth="1" min="7" max="7" width="21.13"/>
    <col customWidth="1" min="8" max="26" width="7.63"/>
  </cols>
  <sheetData>
    <row r="1" ht="14.2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30.0" customHeight="1">
      <c r="A2" s="71"/>
      <c r="B2" s="71"/>
      <c r="C2" s="71"/>
      <c r="D2" s="72" t="s">
        <v>724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ht="6.0" customHeight="1">
      <c r="A3" s="71"/>
      <c r="B3" s="71"/>
      <c r="C3" s="71"/>
      <c r="D3" s="71"/>
      <c r="E3" s="71"/>
      <c r="F3" s="71"/>
      <c r="G3" s="73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30.0" customHeight="1">
      <c r="A4" s="71"/>
      <c r="B4" s="71"/>
      <c r="C4" s="71"/>
      <c r="D4" s="75" t="s">
        <v>730</v>
      </c>
      <c r="E4" s="77" t="s">
        <v>732</v>
      </c>
      <c r="F4" s="77" t="s">
        <v>734</v>
      </c>
      <c r="G4" s="79" t="s">
        <v>736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ht="27.75" customHeight="1">
      <c r="A5" s="71"/>
      <c r="B5" s="71"/>
      <c r="C5" s="71"/>
      <c r="D5" s="81" t="s">
        <v>22</v>
      </c>
      <c r="E5" s="95">
        <f>IFS($D$12="Hari Ini", SUMIFS('Saldo (Transaksi)'!F:F, 'Saldo (Transaksi)'!D:D, $D5, 'Saldo (Transaksi)'!A:A, TODAY()), $D$12="Bulan Ini", SUMIFS('Saldo (Transaksi)'!F:F, 'Saldo (Transaksi)'!D:D, $D5, 'Saldo (Transaksi)'!A:A, "&gt;="&amp;EOMONTH(TODAY(), -1)+1, 'Saldo (Transaksi)'!A:A, "&lt;="&amp;EOMONTH(TODAY(), 0)), $D$12="Pilih Tanggal", SUMIFS('Saldo (Transaksi)'!F:F, 'Saldo (Transaksi)'!D:D, $D5, 'Saldo (Transaksi)'!A:A, $F$12), TRUE, SUMIFS('Saldo (Transaksi)'!F:F, 'Saldo (Transaksi)'!D:D, $D5))</f>
        <v>0</v>
      </c>
      <c r="F5" s="95">
        <f>IFS($D$12="Hari Ini", SUMIFS('Saldo (Transaksi)'!F:F, 'Saldo (Transaksi)'!E:E, $D5, 'Saldo (Transaksi)'!A:A, TODAY()), $D$12="Bulan Ini", SUMIFS('Saldo (Transaksi)'!F:F, 'Saldo (Transaksi)'!E:E, $D5, 'Saldo (Transaksi)'!A:A, "&gt;="&amp;EOMONTH(TODAY(), -1)+1, 'Saldo (Transaksi)'!A:A, "&lt;="&amp;EOMONTH(TODAY(), 0)), $D$12="Pilih Tanggal", SUMIFS('Saldo (Transaksi)'!F:F, 'Saldo (Transaksi)'!E:E, $D5, 'Saldo (Transaksi)'!A:A, $F$12), TRUE, SUMIFS('Saldo (Transaksi)'!F:F, 'Saldo (Transaksi)'!E:E, $D5))</f>
        <v>0</v>
      </c>
      <c r="G5" s="105">
        <f>SUMIFS('Saldo (Transaksi)'!F:F, 'Saldo (Transaksi)'!D:D, $D5) - SUMIFS('Saldo (Transaksi)'!F:F, 'Saldo (Transaksi)'!E:E, $D5)</f>
        <v>0</v>
      </c>
      <c r="H5" s="106" t="s">
        <v>772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ht="25.5" customHeight="1">
      <c r="A6" s="71"/>
      <c r="B6" s="71"/>
      <c r="C6" s="71"/>
      <c r="D6" s="108" t="s">
        <v>776</v>
      </c>
      <c r="E6" s="112">
        <f>IFS($D$12="Hari Ini", SUMIFS('Saldo (Transaksi)'!F:F, 'Saldo (Transaksi)'!D:D, $D6, 'Saldo (Transaksi)'!A:A, TODAY()), $D$12="Bulan Ini", SUMIFS('Saldo (Transaksi)'!F:F, 'Saldo (Transaksi)'!D:D, $D6, 'Saldo (Transaksi)'!A:A, "&gt;="&amp;EOMONTH(TODAY(), -1)+1, 'Saldo (Transaksi)'!A:A, "&lt;="&amp;EOMONTH(TODAY(), 0)), $D$12="Pilih Tanggal", SUMIFS('Saldo (Transaksi)'!F:F, 'Saldo (Transaksi)'!D:D, $D6, 'Saldo (Transaksi)'!A:A, $F$12), TRUE, SUMIFS('Saldo (Transaksi)'!F:F, 'Saldo (Transaksi)'!D:D, $D6))</f>
        <v>0</v>
      </c>
      <c r="F6" s="112">
        <f>IFS($D$12="Hari Ini", SUMIFS('Saldo (Transaksi)'!F:F, 'Saldo (Transaksi)'!E:E, $D6, 'Saldo (Transaksi)'!A:A, TODAY()), $D$12="Bulan Ini", SUMIFS('Saldo (Transaksi)'!F:F, 'Saldo (Transaksi)'!E:E, $D6, 'Saldo (Transaksi)'!A:A, "&gt;="&amp;EOMONTH(TODAY(), -1)+1, 'Saldo (Transaksi)'!A:A, "&lt;="&amp;EOMONTH(TODAY(), 0)), $D$12="Pilih Tanggal", SUMIFS('Saldo (Transaksi)'!F:F, 'Saldo (Transaksi)'!E:E, $D6, 'Saldo (Transaksi)'!A:A, $F$12), TRUE, SUMIFS('Saldo (Transaksi)'!F:F, 'Saldo (Transaksi)'!E:E, $D6))</f>
        <v>0</v>
      </c>
      <c r="G6" s="116">
        <f>SUMIFS('Saldo (Transaksi)'!F:F, 'Saldo (Transaksi)'!D:D, $D6) - SUMIFS('Saldo (Transaksi)'!F:F, 'Saldo (Transaksi)'!E:E, $D6)</f>
        <v>0</v>
      </c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ht="27.75" customHeight="1">
      <c r="A7" s="71"/>
      <c r="B7" s="71"/>
      <c r="C7" s="71"/>
      <c r="D7" s="117" t="s">
        <v>803</v>
      </c>
      <c r="E7" s="118">
        <f>IFS($D$12="Hari Ini", SUMIFS('Saldo (Transaksi)'!F:F, 'Saldo (Transaksi)'!D:D, $D7, 'Saldo (Transaksi)'!A:A, TODAY()), $D$12="Bulan Ini", SUMIFS('Saldo (Transaksi)'!F:F, 'Saldo (Transaksi)'!D:D, $D7, 'Saldo (Transaksi)'!A:A, "&gt;="&amp;EOMONTH(TODAY(), -1)+1, 'Saldo (Transaksi)'!A:A, "&lt;="&amp;EOMONTH(TODAY(), 0)), $D$12="Pilih Tanggal", SUMIFS('Saldo (Transaksi)'!F:F, 'Saldo (Transaksi)'!D:D, $D7, 'Saldo (Transaksi)'!A:A, $F$12), TRUE, SUMIFS('Saldo (Transaksi)'!F:F, 'Saldo (Transaksi)'!D:D, $D7))</f>
        <v>0</v>
      </c>
      <c r="F7" s="118">
        <f>IFS($D$12="Hari Ini", SUMIFS('Saldo (Transaksi)'!F:F, 'Saldo (Transaksi)'!E:E, $D7, 'Saldo (Transaksi)'!A:A, TODAY()), $D$12="Bulan Ini", SUMIFS('Saldo (Transaksi)'!F:F, 'Saldo (Transaksi)'!E:E, $D7, 'Saldo (Transaksi)'!A:A, "&gt;="&amp;EOMONTH(TODAY(), -1)+1, 'Saldo (Transaksi)'!A:A, "&lt;="&amp;EOMONTH(TODAY(), 0)), $D$12="Pilih Tanggal", SUMIFS('Saldo (Transaksi)'!F:F, 'Saldo (Transaksi)'!E:E, $D7, 'Saldo (Transaksi)'!A:A, $F$12), TRUE, SUMIFS('Saldo (Transaksi)'!F:F, 'Saldo (Transaksi)'!E:E, $D7))</f>
        <v>0</v>
      </c>
      <c r="G7" s="119">
        <f>SUMIFS('Saldo (Transaksi)'!F:F, 'Saldo (Transaksi)'!D:D, $D7) - SUMIFS('Saldo (Transaksi)'!F:F, 'Saldo (Transaksi)'!E:E, $D7)</f>
        <v>0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</row>
    <row r="8" ht="25.5" customHeight="1">
      <c r="A8" s="71"/>
      <c r="B8" s="71"/>
      <c r="C8" s="71"/>
      <c r="D8" s="120" t="s">
        <v>834</v>
      </c>
      <c r="E8" s="121">
        <f>IFS($D$12="Hari Ini", SUMIFS('Saldo (Transaksi)'!F:F, 'Saldo (Transaksi)'!D:D, $D8, 'Saldo (Transaksi)'!A:A, TODAY()), $D$12="Bulan Ini", SUMIFS('Saldo (Transaksi)'!F:F, 'Saldo (Transaksi)'!D:D, $D8, 'Saldo (Transaksi)'!A:A, "&gt;="&amp;EOMONTH(TODAY(), -1)+1, 'Saldo (Transaksi)'!A:A, "&lt;="&amp;EOMONTH(TODAY(), 0)), $D$12="Pilih Tanggal", SUMIFS('Saldo (Transaksi)'!F:F, 'Saldo (Transaksi)'!D:D, $D8, 'Saldo (Transaksi)'!A:A, $F$12), TRUE, SUMIFS('Saldo (Transaksi)'!F:F, 'Saldo (Transaksi)'!D:D, $D8))</f>
        <v>0</v>
      </c>
      <c r="F8" s="122">
        <f>IFS($D$12="Hari Ini", SUMIFS('Saldo (Transaksi)'!F:F, 'Saldo (Transaksi)'!E:E, $D8, 'Saldo (Transaksi)'!A:A, TODAY()), $D$12="Bulan Ini", SUMIFS('Saldo (Transaksi)'!F:F, 'Saldo (Transaksi)'!E:E, $D8, 'Saldo (Transaksi)'!A:A, "&gt;="&amp;EOMONTH(TODAY(), -1)+1, 'Saldo (Transaksi)'!A:A, "&lt;="&amp;EOMONTH(TODAY(), 0)), $D$12="Pilih Tanggal", SUMIFS('Saldo (Transaksi)'!F:F, 'Saldo (Transaksi)'!E:E, $D8, 'Saldo (Transaksi)'!A:A, $F$12), TRUE, SUMIFS('Saldo (Transaksi)'!F:F, 'Saldo (Transaksi)'!E:E, $D8))</f>
        <v>0</v>
      </c>
      <c r="G8" s="123">
        <f>SUMIFS('Saldo (Transaksi)'!F:F, 'Saldo (Transaksi)'!D:D, $D8) - SUMIFS('Saldo (Transaksi)'!F:F, 'Saldo (Transaksi)'!E:E, $D8)</f>
        <v>0</v>
      </c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</row>
    <row r="9" ht="26.25" customHeight="1">
      <c r="A9" s="71"/>
      <c r="B9" s="71"/>
      <c r="C9" s="71"/>
      <c r="D9" s="124" t="s">
        <v>864</v>
      </c>
      <c r="E9" s="126">
        <f>IFS($D$12="Hari Ini", SUMIFS('Saldo (Transaksi)'!F:F, 'Saldo (Transaksi)'!D:D, $D9, 'Saldo (Transaksi)'!A:A, TODAY()), $D$12="Bulan Ini", SUMIFS('Saldo (Transaksi)'!F:F, 'Saldo (Transaksi)'!D:D, $D9, 'Saldo (Transaksi)'!A:A, "&gt;="&amp;EOMONTH(TODAY(), -1)+1, 'Saldo (Transaksi)'!A:A, "&lt;="&amp;EOMONTH(TODAY(), 0)), $D$12="Pilih Tanggal", SUMIFS('Saldo (Transaksi)'!F:F, 'Saldo (Transaksi)'!D:D, $D9, 'Saldo (Transaksi)'!A:A, $F$12), TRUE, SUMIFS('Saldo (Transaksi)'!F:F, 'Saldo (Transaksi)'!D:D, $D9))</f>
        <v>0</v>
      </c>
      <c r="F9" s="127">
        <f>IFS($D$12="Hari Ini", SUMIFS('Saldo (Transaksi)'!F:F, 'Saldo (Transaksi)'!E:E, $D9, 'Saldo (Transaksi)'!A:A, TODAY()), $D$12="Bulan Ini", SUMIFS('Saldo (Transaksi)'!F:F, 'Saldo (Transaksi)'!E:E, $D9, 'Saldo (Transaksi)'!A:A, "&gt;="&amp;EOMONTH(TODAY(), -1)+1, 'Saldo (Transaksi)'!A:A, "&lt;="&amp;EOMONTH(TODAY(), 0)), $D$12="Pilih Tanggal", SUMIFS('Saldo (Transaksi)'!F:F, 'Saldo (Transaksi)'!E:E, $D9, 'Saldo (Transaksi)'!A:A, $F$12), TRUE, SUMIFS('Saldo (Transaksi)'!F:F, 'Saldo (Transaksi)'!E:E, $D9))</f>
        <v>0</v>
      </c>
      <c r="G9" s="129">
        <f>SUMIFS('Saldo (Transaksi)'!F:F, 'Saldo (Transaksi)'!D:D, $D9) - SUMIFS('Saldo (Transaksi)'!F:F, 'Saldo (Transaksi)'!E:E, $D9)</f>
        <v>0</v>
      </c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</row>
    <row r="10" ht="27.0" customHeight="1">
      <c r="A10" s="71"/>
      <c r="B10" s="71"/>
      <c r="C10" s="71"/>
      <c r="D10" s="130" t="s">
        <v>890</v>
      </c>
      <c r="E10" s="131">
        <f>IFS($D$12="Hari Ini", SUMIFS('Saldo (Transaksi)'!F:F, 'Saldo (Transaksi)'!D:D, $D10, 'Saldo (Transaksi)'!A:A, TODAY()), $D$12="Bulan Ini", SUMIFS('Saldo (Transaksi)'!F:F, 'Saldo (Transaksi)'!D:D, $D10, 'Saldo (Transaksi)'!A:A, "&gt;="&amp;EOMONTH(TODAY(), -1)+1, 'Saldo (Transaksi)'!A:A, "&lt;="&amp;EOMONTH(TODAY(), 0)), $D$12="Pilih Tanggal", SUMIFS('Saldo (Transaksi)'!F:F, 'Saldo (Transaksi)'!D:D, $D10, 'Saldo (Transaksi)'!A:A, $F$12), TRUE, SUMIFS('Saldo (Transaksi)'!F:F, 'Saldo (Transaksi)'!D:D, $D10))</f>
        <v>0</v>
      </c>
      <c r="F10" s="132">
        <f>IFS($D$12="Hari Ini", SUMIFS('Saldo (Transaksi)'!F:F, 'Saldo (Transaksi)'!E:E, $D10, 'Saldo (Transaksi)'!A:A, TODAY()), $D$12="Bulan Ini", SUMIFS('Saldo (Transaksi)'!F:F, 'Saldo (Transaksi)'!E:E, $D10, 'Saldo (Transaksi)'!A:A, "&gt;="&amp;EOMONTH(TODAY(), -1)+1, 'Saldo (Transaksi)'!A:A, "&lt;="&amp;EOMONTH(TODAY(), 0)), $D$12="Pilih Tanggal", SUMIFS('Saldo (Transaksi)'!F:F, 'Saldo (Transaksi)'!E:E, $D10, 'Saldo (Transaksi)'!A:A, $F$12), TRUE, SUMIFS('Saldo (Transaksi)'!F:F, 'Saldo (Transaksi)'!E:E, $D10))</f>
        <v>0</v>
      </c>
      <c r="G10" s="133">
        <f>SUMIFS('Saldo (Transaksi)'!F:F, 'Saldo (Transaksi)'!D:D, $D10) - SUMIFS('Saldo (Transaksi)'!F:F, 'Saldo (Transaksi)'!E:E, $D10)</f>
        <v>0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4.25" customHeight="1">
      <c r="A11" s="71"/>
      <c r="B11" s="71"/>
      <c r="C11" s="71"/>
      <c r="D11" s="71"/>
      <c r="E11" s="134"/>
      <c r="F11" s="134"/>
      <c r="G11" s="134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25.5" customHeight="1">
      <c r="A12" s="71"/>
      <c r="B12" s="71"/>
      <c r="C12" s="71"/>
      <c r="D12" s="135" t="s">
        <v>921</v>
      </c>
      <c r="E12" s="136"/>
      <c r="F12" s="137">
        <v>46223.0</v>
      </c>
      <c r="G12" s="136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4.25" customHeight="1">
      <c r="A13" s="71"/>
      <c r="B13" s="71"/>
      <c r="C13" s="71"/>
      <c r="D13" s="71"/>
      <c r="E13" s="134"/>
      <c r="F13" s="134"/>
      <c r="G13" s="134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4.25" customHeight="1">
      <c r="A14" s="71"/>
      <c r="B14" s="71"/>
      <c r="C14" s="71"/>
      <c r="D14" s="71"/>
      <c r="E14" s="134"/>
      <c r="F14" s="134"/>
      <c r="G14" s="134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4.25" customHeight="1">
      <c r="A15" s="71"/>
      <c r="B15" s="71"/>
      <c r="C15" s="71"/>
      <c r="D15" s="71"/>
      <c r="E15" s="134"/>
      <c r="F15" s="134"/>
      <c r="G15" s="134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4.25" customHeight="1">
      <c r="A16" s="71"/>
      <c r="B16" s="71"/>
      <c r="C16" s="71"/>
      <c r="D16" s="71"/>
      <c r="E16" s="134"/>
      <c r="F16" s="134"/>
      <c r="G16" s="134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4.25" customHeight="1">
      <c r="A17" s="71"/>
      <c r="B17" s="71"/>
      <c r="C17" s="71"/>
      <c r="D17" s="71"/>
      <c r="E17" s="134"/>
      <c r="F17" s="134"/>
      <c r="G17" s="134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4.25" customHeight="1">
      <c r="A18" s="71"/>
      <c r="B18" s="71"/>
      <c r="C18" s="71"/>
      <c r="D18" s="71"/>
      <c r="E18" s="134"/>
      <c r="F18" s="134"/>
      <c r="G18" s="134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4.25" customHeight="1">
      <c r="A19" s="71"/>
      <c r="B19" s="71"/>
      <c r="C19" s="71"/>
      <c r="D19" s="71"/>
      <c r="E19" s="134"/>
      <c r="F19" s="134"/>
      <c r="G19" s="134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4.25" customHeight="1">
      <c r="A20" s="71"/>
      <c r="B20" s="71"/>
      <c r="C20" s="71"/>
      <c r="D20" s="71"/>
      <c r="E20" s="134"/>
      <c r="F20" s="134"/>
      <c r="G20" s="134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4.25" customHeight="1">
      <c r="A21" s="71"/>
      <c r="B21" s="71"/>
      <c r="C21" s="71"/>
      <c r="D21" s="71"/>
      <c r="E21" s="134"/>
      <c r="F21" s="134"/>
      <c r="G21" s="134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4.25" customHeight="1">
      <c r="A22" s="71"/>
      <c r="B22" s="71"/>
      <c r="C22" s="71"/>
      <c r="D22" s="71"/>
      <c r="E22" s="134"/>
      <c r="F22" s="134"/>
      <c r="G22" s="134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4.25" customHeight="1">
      <c r="A23" s="71"/>
      <c r="B23" s="71"/>
      <c r="C23" s="71"/>
      <c r="D23" s="71"/>
      <c r="E23" s="134"/>
      <c r="F23" s="134"/>
      <c r="G23" s="134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4.25" customHeight="1">
      <c r="A24" s="71"/>
      <c r="B24" s="71"/>
      <c r="C24" s="71"/>
      <c r="D24" s="71"/>
      <c r="E24" s="134"/>
      <c r="F24" s="134"/>
      <c r="G24" s="134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4.25" customHeight="1">
      <c r="A25" s="71"/>
      <c r="B25" s="71"/>
      <c r="C25" s="71"/>
      <c r="D25" s="71"/>
      <c r="E25" s="134"/>
      <c r="F25" s="134"/>
      <c r="G25" s="134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4.25" customHeight="1">
      <c r="A26" s="71"/>
      <c r="B26" s="71"/>
      <c r="C26" s="71"/>
      <c r="D26" s="71"/>
      <c r="E26" s="134"/>
      <c r="F26" s="134"/>
      <c r="G26" s="134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4.25" customHeight="1">
      <c r="A27" s="71"/>
      <c r="B27" s="71"/>
      <c r="C27" s="71"/>
      <c r="D27" s="71"/>
      <c r="E27" s="134"/>
      <c r="F27" s="134"/>
      <c r="G27" s="134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4.25" customHeight="1">
      <c r="A28" s="71"/>
      <c r="B28" s="71"/>
      <c r="C28" s="71"/>
      <c r="D28" s="71"/>
      <c r="E28" s="134"/>
      <c r="F28" s="134"/>
      <c r="G28" s="134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4.25" customHeight="1">
      <c r="A29" s="71"/>
      <c r="B29" s="71"/>
      <c r="C29" s="71"/>
      <c r="D29" s="71"/>
      <c r="E29" s="134"/>
      <c r="F29" s="134"/>
      <c r="G29" s="134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4.25" customHeight="1">
      <c r="A30" s="71"/>
      <c r="B30" s="71"/>
      <c r="C30" s="71"/>
      <c r="D30" s="71"/>
      <c r="E30" s="134"/>
      <c r="F30" s="134"/>
      <c r="G30" s="134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4.25" customHeight="1">
      <c r="A31" s="71"/>
      <c r="B31" s="71"/>
      <c r="C31" s="71"/>
      <c r="D31" s="71"/>
      <c r="E31" s="134"/>
      <c r="F31" s="134"/>
      <c r="G31" s="134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4.25" customHeight="1">
      <c r="A32" s="71"/>
      <c r="B32" s="71"/>
      <c r="C32" s="71"/>
      <c r="D32" s="71"/>
      <c r="E32" s="134"/>
      <c r="F32" s="134"/>
      <c r="G32" s="134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4.25" customHeight="1">
      <c r="A33" s="71"/>
      <c r="B33" s="71"/>
      <c r="C33" s="71"/>
      <c r="D33" s="71"/>
      <c r="E33" s="134"/>
      <c r="F33" s="134"/>
      <c r="G33" s="134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4.25" customHeight="1">
      <c r="A34" s="71"/>
      <c r="B34" s="71"/>
      <c r="C34" s="71"/>
      <c r="D34" s="71"/>
      <c r="E34" s="134"/>
      <c r="F34" s="134"/>
      <c r="G34" s="134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4.25" customHeight="1">
      <c r="A35" s="71"/>
      <c r="B35" s="71"/>
      <c r="C35" s="71"/>
      <c r="D35" s="71"/>
      <c r="E35" s="134"/>
      <c r="F35" s="134"/>
      <c r="G35" s="134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4.25" customHeight="1">
      <c r="A36" s="71"/>
      <c r="B36" s="71"/>
      <c r="C36" s="71"/>
      <c r="D36" s="71"/>
      <c r="E36" s="134"/>
      <c r="F36" s="134"/>
      <c r="G36" s="134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4.25" customHeight="1">
      <c r="A37" s="71"/>
      <c r="B37" s="71"/>
      <c r="C37" s="71"/>
      <c r="D37" s="71"/>
      <c r="E37" s="134"/>
      <c r="F37" s="134"/>
      <c r="G37" s="134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4.25" customHeight="1">
      <c r="A38" s="71"/>
      <c r="B38" s="71"/>
      <c r="C38" s="71"/>
      <c r="D38" s="71"/>
      <c r="E38" s="134"/>
      <c r="F38" s="134"/>
      <c r="G38" s="134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4.25" customHeight="1">
      <c r="A39" s="71"/>
      <c r="B39" s="71"/>
      <c r="C39" s="71"/>
      <c r="D39" s="71"/>
      <c r="E39" s="134"/>
      <c r="F39" s="134"/>
      <c r="G39" s="134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4.25" customHeight="1">
      <c r="A40" s="71"/>
      <c r="B40" s="71"/>
      <c r="C40" s="71"/>
      <c r="D40" s="71"/>
      <c r="E40" s="134"/>
      <c r="F40" s="134"/>
      <c r="G40" s="134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4.25" customHeight="1">
      <c r="A41" s="71"/>
      <c r="B41" s="71"/>
      <c r="C41" s="71"/>
      <c r="D41" s="71"/>
      <c r="E41" s="134"/>
      <c r="F41" s="134"/>
      <c r="G41" s="134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4.25" customHeight="1">
      <c r="A42" s="71"/>
      <c r="B42" s="71"/>
      <c r="C42" s="71"/>
      <c r="D42" s="71"/>
      <c r="E42" s="134"/>
      <c r="F42" s="134"/>
      <c r="G42" s="134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4.25" customHeight="1">
      <c r="A43" s="71"/>
      <c r="B43" s="71"/>
      <c r="C43" s="71"/>
      <c r="D43" s="71"/>
      <c r="E43" s="134"/>
      <c r="F43" s="134"/>
      <c r="G43" s="134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4.25" customHeight="1">
      <c r="A44" s="71"/>
      <c r="B44" s="71"/>
      <c r="C44" s="71"/>
      <c r="D44" s="71"/>
      <c r="E44" s="134"/>
      <c r="F44" s="134"/>
      <c r="G44" s="134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4.25" customHeight="1">
      <c r="A45" s="71"/>
      <c r="B45" s="71"/>
      <c r="C45" s="71"/>
      <c r="D45" s="71"/>
      <c r="E45" s="134"/>
      <c r="F45" s="134"/>
      <c r="G45" s="134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4.25" customHeight="1">
      <c r="A46" s="71"/>
      <c r="B46" s="71"/>
      <c r="C46" s="71"/>
      <c r="D46" s="71"/>
      <c r="E46" s="134"/>
      <c r="F46" s="134"/>
      <c r="G46" s="134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4.25" customHeight="1">
      <c r="A47" s="71"/>
      <c r="B47" s="71"/>
      <c r="C47" s="71"/>
      <c r="D47" s="71"/>
      <c r="E47" s="134"/>
      <c r="F47" s="134"/>
      <c r="G47" s="134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4.25" customHeight="1">
      <c r="A48" s="71"/>
      <c r="B48" s="71"/>
      <c r="C48" s="71"/>
      <c r="D48" s="71"/>
      <c r="E48" s="134"/>
      <c r="F48" s="134"/>
      <c r="G48" s="134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4.25" customHeight="1">
      <c r="A49" s="71"/>
      <c r="B49" s="71"/>
      <c r="C49" s="71"/>
      <c r="D49" s="71"/>
      <c r="E49" s="134"/>
      <c r="F49" s="134"/>
      <c r="G49" s="134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4.25" customHeight="1">
      <c r="A50" s="71"/>
      <c r="B50" s="71"/>
      <c r="C50" s="71"/>
      <c r="D50" s="71"/>
      <c r="E50" s="134"/>
      <c r="F50" s="134"/>
      <c r="G50" s="134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4.25" customHeight="1">
      <c r="A51" s="71"/>
      <c r="B51" s="71"/>
      <c r="C51" s="71"/>
      <c r="D51" s="71"/>
      <c r="E51" s="134"/>
      <c r="F51" s="134"/>
      <c r="G51" s="134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4.25" customHeight="1">
      <c r="A52" s="71"/>
      <c r="B52" s="71"/>
      <c r="C52" s="71"/>
      <c r="D52" s="71"/>
      <c r="E52" s="134"/>
      <c r="F52" s="134"/>
      <c r="G52" s="134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4.25" customHeight="1">
      <c r="A53" s="71"/>
      <c r="B53" s="71"/>
      <c r="C53" s="71"/>
      <c r="D53" s="71"/>
      <c r="E53" s="134"/>
      <c r="F53" s="134"/>
      <c r="G53" s="134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4.25" customHeight="1">
      <c r="A54" s="71"/>
      <c r="B54" s="71"/>
      <c r="C54" s="71"/>
      <c r="D54" s="71"/>
      <c r="E54" s="134"/>
      <c r="F54" s="134"/>
      <c r="G54" s="134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4.25" customHeight="1">
      <c r="A55" s="71"/>
      <c r="B55" s="71"/>
      <c r="C55" s="71"/>
      <c r="D55" s="71"/>
      <c r="E55" s="134"/>
      <c r="F55" s="134"/>
      <c r="G55" s="134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4.25" customHeight="1">
      <c r="A56" s="71"/>
      <c r="B56" s="71"/>
      <c r="C56" s="71"/>
      <c r="D56" s="71"/>
      <c r="E56" s="134"/>
      <c r="F56" s="134"/>
      <c r="G56" s="134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4.25" customHeight="1">
      <c r="A57" s="71"/>
      <c r="B57" s="71"/>
      <c r="C57" s="71"/>
      <c r="D57" s="71"/>
      <c r="E57" s="134"/>
      <c r="F57" s="134"/>
      <c r="G57" s="134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4.25" customHeight="1">
      <c r="A58" s="71"/>
      <c r="B58" s="71"/>
      <c r="C58" s="71"/>
      <c r="D58" s="71"/>
      <c r="E58" s="134"/>
      <c r="F58" s="134"/>
      <c r="G58" s="134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4.25" customHeight="1">
      <c r="A59" s="71"/>
      <c r="B59" s="71"/>
      <c r="C59" s="71"/>
      <c r="D59" s="71"/>
      <c r="E59" s="134"/>
      <c r="F59" s="134"/>
      <c r="G59" s="134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4.25" customHeight="1">
      <c r="A60" s="71"/>
      <c r="B60" s="71"/>
      <c r="C60" s="71"/>
      <c r="D60" s="71"/>
      <c r="E60" s="134"/>
      <c r="F60" s="134"/>
      <c r="G60" s="134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4.25" customHeight="1">
      <c r="A61" s="71"/>
      <c r="B61" s="71"/>
      <c r="C61" s="71"/>
      <c r="D61" s="71"/>
      <c r="E61" s="134"/>
      <c r="F61" s="134"/>
      <c r="G61" s="134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4.25" customHeight="1">
      <c r="A62" s="71"/>
      <c r="B62" s="71"/>
      <c r="C62" s="71"/>
      <c r="D62" s="71"/>
      <c r="E62" s="134"/>
      <c r="F62" s="134"/>
      <c r="G62" s="134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4.25" customHeight="1">
      <c r="A63" s="71"/>
      <c r="B63" s="71"/>
      <c r="C63" s="71"/>
      <c r="D63" s="71"/>
      <c r="E63" s="134"/>
      <c r="F63" s="134"/>
      <c r="G63" s="134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4.25" customHeight="1">
      <c r="A64" s="71"/>
      <c r="B64" s="71"/>
      <c r="C64" s="71"/>
      <c r="D64" s="71"/>
      <c r="E64" s="134"/>
      <c r="F64" s="134"/>
      <c r="G64" s="134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4.25" customHeight="1">
      <c r="A65" s="71"/>
      <c r="B65" s="71"/>
      <c r="C65" s="71"/>
      <c r="D65" s="71"/>
      <c r="E65" s="134"/>
      <c r="F65" s="134"/>
      <c r="G65" s="134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4.25" customHeight="1">
      <c r="A66" s="71"/>
      <c r="B66" s="71"/>
      <c r="C66" s="71"/>
      <c r="D66" s="71"/>
      <c r="E66" s="134"/>
      <c r="F66" s="134"/>
      <c r="G66" s="134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4.25" customHeight="1">
      <c r="A67" s="71"/>
      <c r="B67" s="71"/>
      <c r="C67" s="71"/>
      <c r="D67" s="71"/>
      <c r="E67" s="134"/>
      <c r="F67" s="134"/>
      <c r="G67" s="134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4.25" customHeight="1">
      <c r="A68" s="71"/>
      <c r="B68" s="71"/>
      <c r="C68" s="71"/>
      <c r="D68" s="71"/>
      <c r="E68" s="134"/>
      <c r="F68" s="134"/>
      <c r="G68" s="134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4.25" customHeight="1">
      <c r="A69" s="71"/>
      <c r="B69" s="71"/>
      <c r="C69" s="71"/>
      <c r="D69" s="71"/>
      <c r="E69" s="134"/>
      <c r="F69" s="134"/>
      <c r="G69" s="134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4.25" customHeight="1">
      <c r="A70" s="71"/>
      <c r="B70" s="71"/>
      <c r="C70" s="71"/>
      <c r="D70" s="71"/>
      <c r="E70" s="134"/>
      <c r="F70" s="134"/>
      <c r="G70" s="134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4.25" customHeight="1">
      <c r="A71" s="71"/>
      <c r="B71" s="71"/>
      <c r="C71" s="71"/>
      <c r="D71" s="71"/>
      <c r="E71" s="134"/>
      <c r="F71" s="134"/>
      <c r="G71" s="134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4.25" customHeight="1">
      <c r="A72" s="71"/>
      <c r="B72" s="71"/>
      <c r="C72" s="71"/>
      <c r="D72" s="71"/>
      <c r="E72" s="134"/>
      <c r="F72" s="134"/>
      <c r="G72" s="134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4.25" customHeight="1">
      <c r="A73" s="71"/>
      <c r="B73" s="71"/>
      <c r="C73" s="71"/>
      <c r="D73" s="71"/>
      <c r="E73" s="134"/>
      <c r="F73" s="134"/>
      <c r="G73" s="134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4.25" customHeight="1">
      <c r="A74" s="71"/>
      <c r="B74" s="71"/>
      <c r="C74" s="71"/>
      <c r="D74" s="71"/>
      <c r="E74" s="134"/>
      <c r="F74" s="134"/>
      <c r="G74" s="134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4.25" customHeight="1">
      <c r="A75" s="71"/>
      <c r="B75" s="71"/>
      <c r="C75" s="71"/>
      <c r="D75" s="71"/>
      <c r="E75" s="134"/>
      <c r="F75" s="134"/>
      <c r="G75" s="134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4.25" customHeight="1">
      <c r="A76" s="71"/>
      <c r="B76" s="71"/>
      <c r="C76" s="71"/>
      <c r="D76" s="71"/>
      <c r="E76" s="134"/>
      <c r="F76" s="134"/>
      <c r="G76" s="134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4.25" customHeight="1">
      <c r="A77" s="71"/>
      <c r="B77" s="71"/>
      <c r="C77" s="71"/>
      <c r="D77" s="71"/>
      <c r="E77" s="134"/>
      <c r="F77" s="134"/>
      <c r="G77" s="134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4.25" customHeight="1">
      <c r="A78" s="71"/>
      <c r="B78" s="71"/>
      <c r="C78" s="71"/>
      <c r="D78" s="71"/>
      <c r="E78" s="134"/>
      <c r="F78" s="134"/>
      <c r="G78" s="134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4.25" customHeight="1">
      <c r="A79" s="71"/>
      <c r="B79" s="71"/>
      <c r="C79" s="71"/>
      <c r="D79" s="71"/>
      <c r="E79" s="134"/>
      <c r="F79" s="134"/>
      <c r="G79" s="134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4.25" customHeight="1">
      <c r="A80" s="71"/>
      <c r="B80" s="71"/>
      <c r="C80" s="71"/>
      <c r="D80" s="71"/>
      <c r="E80" s="134"/>
      <c r="F80" s="134"/>
      <c r="G80" s="134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4.25" customHeight="1">
      <c r="A81" s="71"/>
      <c r="B81" s="71"/>
      <c r="C81" s="71"/>
      <c r="D81" s="71"/>
      <c r="E81" s="134"/>
      <c r="F81" s="134"/>
      <c r="G81" s="134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4.25" customHeight="1">
      <c r="A82" s="71"/>
      <c r="B82" s="71"/>
      <c r="C82" s="71"/>
      <c r="D82" s="71"/>
      <c r="E82" s="134"/>
      <c r="F82" s="134"/>
      <c r="G82" s="134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4.25" customHeight="1">
      <c r="A83" s="71"/>
      <c r="B83" s="71"/>
      <c r="C83" s="71"/>
      <c r="D83" s="71"/>
      <c r="E83" s="134"/>
      <c r="F83" s="134"/>
      <c r="G83" s="134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4.25" customHeight="1">
      <c r="A84" s="71"/>
      <c r="B84" s="71"/>
      <c r="C84" s="71"/>
      <c r="D84" s="71"/>
      <c r="E84" s="134"/>
      <c r="F84" s="134"/>
      <c r="G84" s="134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4.25" customHeight="1">
      <c r="A85" s="71"/>
      <c r="B85" s="71"/>
      <c r="C85" s="71"/>
      <c r="D85" s="71"/>
      <c r="E85" s="134"/>
      <c r="F85" s="134"/>
      <c r="G85" s="134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4.25" customHeight="1">
      <c r="A86" s="71"/>
      <c r="B86" s="71"/>
      <c r="C86" s="71"/>
      <c r="D86" s="71"/>
      <c r="E86" s="134"/>
      <c r="F86" s="134"/>
      <c r="G86" s="134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4.25" customHeight="1">
      <c r="A87" s="71"/>
      <c r="B87" s="71"/>
      <c r="C87" s="71"/>
      <c r="D87" s="71"/>
      <c r="E87" s="134"/>
      <c r="F87" s="134"/>
      <c r="G87" s="134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4.25" customHeight="1">
      <c r="A88" s="71"/>
      <c r="B88" s="71"/>
      <c r="C88" s="71"/>
      <c r="D88" s="71"/>
      <c r="E88" s="134"/>
      <c r="F88" s="134"/>
      <c r="G88" s="134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4.25" customHeight="1">
      <c r="A89" s="71"/>
      <c r="B89" s="71"/>
      <c r="C89" s="71"/>
      <c r="D89" s="71"/>
      <c r="E89" s="134"/>
      <c r="F89" s="134"/>
      <c r="G89" s="134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4.25" customHeight="1">
      <c r="A90" s="71"/>
      <c r="B90" s="71"/>
      <c r="C90" s="71"/>
      <c r="D90" s="71"/>
      <c r="E90" s="134"/>
      <c r="F90" s="134"/>
      <c r="G90" s="134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4.25" customHeight="1">
      <c r="A91" s="71"/>
      <c r="B91" s="71"/>
      <c r="C91" s="71"/>
      <c r="D91" s="71"/>
      <c r="E91" s="134"/>
      <c r="F91" s="134"/>
      <c r="G91" s="134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4.25" customHeight="1">
      <c r="A92" s="71"/>
      <c r="B92" s="71"/>
      <c r="C92" s="71"/>
      <c r="D92" s="71"/>
      <c r="E92" s="134"/>
      <c r="F92" s="134"/>
      <c r="G92" s="134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4.25" customHeight="1">
      <c r="A93" s="71"/>
      <c r="B93" s="71"/>
      <c r="C93" s="71"/>
      <c r="D93" s="71"/>
      <c r="E93" s="134"/>
      <c r="F93" s="134"/>
      <c r="G93" s="134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4.25" customHeight="1">
      <c r="A94" s="71"/>
      <c r="B94" s="71"/>
      <c r="C94" s="71"/>
      <c r="D94" s="71"/>
      <c r="E94" s="134"/>
      <c r="F94" s="134"/>
      <c r="G94" s="134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4.25" customHeight="1">
      <c r="A95" s="71"/>
      <c r="B95" s="71"/>
      <c r="C95" s="71"/>
      <c r="D95" s="71"/>
      <c r="E95" s="134"/>
      <c r="F95" s="134"/>
      <c r="G95" s="134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4.25" customHeight="1">
      <c r="A96" s="71"/>
      <c r="B96" s="71"/>
      <c r="C96" s="71"/>
      <c r="D96" s="71"/>
      <c r="E96" s="134"/>
      <c r="F96" s="134"/>
      <c r="G96" s="134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4.25" customHeight="1">
      <c r="A97" s="71"/>
      <c r="B97" s="71"/>
      <c r="C97" s="71"/>
      <c r="D97" s="71"/>
      <c r="E97" s="134"/>
      <c r="F97" s="134"/>
      <c r="G97" s="134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4.25" customHeight="1">
      <c r="A98" s="71"/>
      <c r="B98" s="71"/>
      <c r="C98" s="71"/>
      <c r="D98" s="71"/>
      <c r="E98" s="134"/>
      <c r="F98" s="134"/>
      <c r="G98" s="134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4.25" customHeight="1">
      <c r="A99" s="71"/>
      <c r="B99" s="71"/>
      <c r="C99" s="71"/>
      <c r="D99" s="71"/>
      <c r="E99" s="134"/>
      <c r="F99" s="134"/>
      <c r="G99" s="134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4.25" customHeight="1">
      <c r="A100" s="71"/>
      <c r="B100" s="71"/>
      <c r="C100" s="71"/>
      <c r="D100" s="71"/>
      <c r="E100" s="134"/>
      <c r="F100" s="134"/>
      <c r="G100" s="134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4.25" customHeight="1">
      <c r="A101" s="71"/>
      <c r="B101" s="71"/>
      <c r="C101" s="71"/>
      <c r="D101" s="71"/>
      <c r="E101" s="134"/>
      <c r="F101" s="134"/>
      <c r="G101" s="134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4.25" customHeight="1">
      <c r="A102" s="71"/>
      <c r="B102" s="71"/>
      <c r="C102" s="71"/>
      <c r="D102" s="71"/>
      <c r="E102" s="134"/>
      <c r="F102" s="134"/>
      <c r="G102" s="134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4.25" customHeight="1">
      <c r="A103" s="71"/>
      <c r="B103" s="71"/>
      <c r="C103" s="71"/>
      <c r="D103" s="71"/>
      <c r="E103" s="134"/>
      <c r="F103" s="134"/>
      <c r="G103" s="134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4.25" customHeight="1">
      <c r="A104" s="71"/>
      <c r="B104" s="71"/>
      <c r="C104" s="71"/>
      <c r="D104" s="71"/>
      <c r="E104" s="134"/>
      <c r="F104" s="134"/>
      <c r="G104" s="134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4.25" customHeight="1">
      <c r="A105" s="71"/>
      <c r="B105" s="71"/>
      <c r="C105" s="71"/>
      <c r="D105" s="71"/>
      <c r="E105" s="134"/>
      <c r="F105" s="134"/>
      <c r="G105" s="134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4.25" customHeight="1">
      <c r="A106" s="71"/>
      <c r="B106" s="71"/>
      <c r="C106" s="71"/>
      <c r="D106" s="71"/>
      <c r="E106" s="134"/>
      <c r="F106" s="134"/>
      <c r="G106" s="134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4.25" customHeight="1">
      <c r="A107" s="71"/>
      <c r="B107" s="71"/>
      <c r="C107" s="71"/>
      <c r="D107" s="71"/>
      <c r="E107" s="134"/>
      <c r="F107" s="134"/>
      <c r="G107" s="134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4.25" customHeight="1">
      <c r="A108" s="71"/>
      <c r="B108" s="71"/>
      <c r="C108" s="71"/>
      <c r="D108" s="71"/>
      <c r="E108" s="134"/>
      <c r="F108" s="134"/>
      <c r="G108" s="134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4.25" customHeight="1">
      <c r="A109" s="71"/>
      <c r="B109" s="71"/>
      <c r="C109" s="71"/>
      <c r="D109" s="71"/>
      <c r="E109" s="134"/>
      <c r="F109" s="134"/>
      <c r="G109" s="134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4.25" customHeight="1">
      <c r="A110" s="71"/>
      <c r="B110" s="71"/>
      <c r="C110" s="71"/>
      <c r="D110" s="71"/>
      <c r="E110" s="134"/>
      <c r="F110" s="134"/>
      <c r="G110" s="134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4.25" customHeight="1">
      <c r="A111" s="71"/>
      <c r="B111" s="71"/>
      <c r="C111" s="71"/>
      <c r="D111" s="71"/>
      <c r="E111" s="134"/>
      <c r="F111" s="134"/>
      <c r="G111" s="134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4.25" customHeight="1">
      <c r="A112" s="71"/>
      <c r="B112" s="71"/>
      <c r="C112" s="71"/>
      <c r="D112" s="71"/>
      <c r="E112" s="134"/>
      <c r="F112" s="134"/>
      <c r="G112" s="134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4.25" customHeight="1">
      <c r="A113" s="71"/>
      <c r="B113" s="71"/>
      <c r="C113" s="71"/>
      <c r="D113" s="71"/>
      <c r="E113" s="134"/>
      <c r="F113" s="134"/>
      <c r="G113" s="134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4.25" customHeight="1">
      <c r="A114" s="71"/>
      <c r="B114" s="71"/>
      <c r="C114" s="71"/>
      <c r="D114" s="71"/>
      <c r="E114" s="134"/>
      <c r="F114" s="134"/>
      <c r="G114" s="134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4.25" customHeight="1">
      <c r="A115" s="71"/>
      <c r="B115" s="71"/>
      <c r="C115" s="71"/>
      <c r="D115" s="71"/>
      <c r="E115" s="134"/>
      <c r="F115" s="134"/>
      <c r="G115" s="134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4.25" customHeight="1">
      <c r="A116" s="71"/>
      <c r="B116" s="71"/>
      <c r="C116" s="71"/>
      <c r="D116" s="71"/>
      <c r="E116" s="134"/>
      <c r="F116" s="134"/>
      <c r="G116" s="134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4.25" customHeight="1">
      <c r="A117" s="71"/>
      <c r="B117" s="71"/>
      <c r="C117" s="71"/>
      <c r="D117" s="71"/>
      <c r="E117" s="134"/>
      <c r="F117" s="134"/>
      <c r="G117" s="134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4.25" customHeight="1">
      <c r="A118" s="71"/>
      <c r="B118" s="71"/>
      <c r="C118" s="71"/>
      <c r="D118" s="71"/>
      <c r="E118" s="134"/>
      <c r="F118" s="134"/>
      <c r="G118" s="134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4.25" customHeight="1">
      <c r="A119" s="71"/>
      <c r="B119" s="71"/>
      <c r="C119" s="71"/>
      <c r="D119" s="71"/>
      <c r="E119" s="134"/>
      <c r="F119" s="134"/>
      <c r="G119" s="134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4.25" customHeight="1">
      <c r="A120" s="71"/>
      <c r="B120" s="71"/>
      <c r="C120" s="71"/>
      <c r="D120" s="71"/>
      <c r="E120" s="134"/>
      <c r="F120" s="134"/>
      <c r="G120" s="134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4.25" customHeight="1">
      <c r="A121" s="71"/>
      <c r="B121" s="71"/>
      <c r="C121" s="71"/>
      <c r="D121" s="71"/>
      <c r="E121" s="134"/>
      <c r="F121" s="134"/>
      <c r="G121" s="134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4.25" customHeight="1">
      <c r="A122" s="71"/>
      <c r="B122" s="71"/>
      <c r="C122" s="71"/>
      <c r="D122" s="71"/>
      <c r="E122" s="134"/>
      <c r="F122" s="134"/>
      <c r="G122" s="134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4.25" customHeight="1">
      <c r="A123" s="71"/>
      <c r="B123" s="71"/>
      <c r="C123" s="71"/>
      <c r="D123" s="71"/>
      <c r="E123" s="134"/>
      <c r="F123" s="134"/>
      <c r="G123" s="134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4.25" customHeight="1">
      <c r="A124" s="71"/>
      <c r="B124" s="71"/>
      <c r="C124" s="71"/>
      <c r="D124" s="71"/>
      <c r="E124" s="134"/>
      <c r="F124" s="134"/>
      <c r="G124" s="134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4.25" customHeight="1">
      <c r="A125" s="71"/>
      <c r="B125" s="71"/>
      <c r="C125" s="71"/>
      <c r="D125" s="71"/>
      <c r="E125" s="134"/>
      <c r="F125" s="134"/>
      <c r="G125" s="134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4.25" customHeight="1">
      <c r="A126" s="71"/>
      <c r="B126" s="71"/>
      <c r="C126" s="71"/>
      <c r="D126" s="71"/>
      <c r="E126" s="134"/>
      <c r="F126" s="134"/>
      <c r="G126" s="134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4.25" customHeight="1">
      <c r="A127" s="71"/>
      <c r="B127" s="71"/>
      <c r="C127" s="71"/>
      <c r="D127" s="71"/>
      <c r="E127" s="134"/>
      <c r="F127" s="134"/>
      <c r="G127" s="134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4.25" customHeight="1">
      <c r="A128" s="71"/>
      <c r="B128" s="71"/>
      <c r="C128" s="71"/>
      <c r="D128" s="71"/>
      <c r="E128" s="134"/>
      <c r="F128" s="134"/>
      <c r="G128" s="134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4.25" customHeight="1">
      <c r="A129" s="71"/>
      <c r="B129" s="71"/>
      <c r="C129" s="71"/>
      <c r="D129" s="71"/>
      <c r="E129" s="134"/>
      <c r="F129" s="134"/>
      <c r="G129" s="134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4.25" customHeight="1">
      <c r="A130" s="71"/>
      <c r="B130" s="71"/>
      <c r="C130" s="71"/>
      <c r="D130" s="71"/>
      <c r="E130" s="134"/>
      <c r="F130" s="134"/>
      <c r="G130" s="134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4.25" customHeight="1">
      <c r="A131" s="71"/>
      <c r="B131" s="71"/>
      <c r="C131" s="71"/>
      <c r="D131" s="71"/>
      <c r="E131" s="134"/>
      <c r="F131" s="134"/>
      <c r="G131" s="134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4.25" customHeight="1">
      <c r="A132" s="71"/>
      <c r="B132" s="71"/>
      <c r="C132" s="71"/>
      <c r="D132" s="71"/>
      <c r="E132" s="134"/>
      <c r="F132" s="134"/>
      <c r="G132" s="134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4.25" customHeight="1">
      <c r="A133" s="71"/>
      <c r="B133" s="71"/>
      <c r="C133" s="71"/>
      <c r="D133" s="71"/>
      <c r="E133" s="134"/>
      <c r="F133" s="134"/>
      <c r="G133" s="134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4.25" customHeight="1">
      <c r="A134" s="71"/>
      <c r="B134" s="71"/>
      <c r="C134" s="71"/>
      <c r="D134" s="71"/>
      <c r="E134" s="134"/>
      <c r="F134" s="134"/>
      <c r="G134" s="134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4.25" customHeight="1">
      <c r="A135" s="71"/>
      <c r="B135" s="71"/>
      <c r="C135" s="71"/>
      <c r="D135" s="71"/>
      <c r="E135" s="134"/>
      <c r="F135" s="134"/>
      <c r="G135" s="134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4.25" customHeight="1">
      <c r="A136" s="71"/>
      <c r="B136" s="71"/>
      <c r="C136" s="71"/>
      <c r="D136" s="71"/>
      <c r="E136" s="134"/>
      <c r="F136" s="134"/>
      <c r="G136" s="134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4.25" customHeight="1">
      <c r="A137" s="71"/>
      <c r="B137" s="71"/>
      <c r="C137" s="71"/>
      <c r="D137" s="71"/>
      <c r="E137" s="134"/>
      <c r="F137" s="134"/>
      <c r="G137" s="134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4.25" customHeight="1">
      <c r="A138" s="71"/>
      <c r="B138" s="71"/>
      <c r="C138" s="71"/>
      <c r="D138" s="71"/>
      <c r="E138" s="134"/>
      <c r="F138" s="134"/>
      <c r="G138" s="134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4.25" customHeight="1">
      <c r="A139" s="71"/>
      <c r="B139" s="71"/>
      <c r="C139" s="71"/>
      <c r="D139" s="71"/>
      <c r="E139" s="134"/>
      <c r="F139" s="134"/>
      <c r="G139" s="134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4.25" customHeight="1">
      <c r="A140" s="71"/>
      <c r="B140" s="71"/>
      <c r="C140" s="71"/>
      <c r="D140" s="71"/>
      <c r="E140" s="134"/>
      <c r="F140" s="134"/>
      <c r="G140" s="134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4.25" customHeight="1">
      <c r="A141" s="71"/>
      <c r="B141" s="71"/>
      <c r="C141" s="71"/>
      <c r="D141" s="71"/>
      <c r="E141" s="134"/>
      <c r="F141" s="134"/>
      <c r="G141" s="134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4.25" customHeight="1">
      <c r="A142" s="71"/>
      <c r="B142" s="71"/>
      <c r="C142" s="71"/>
      <c r="D142" s="71"/>
      <c r="E142" s="134"/>
      <c r="F142" s="134"/>
      <c r="G142" s="134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4.25" customHeight="1">
      <c r="A143" s="71"/>
      <c r="B143" s="71"/>
      <c r="C143" s="71"/>
      <c r="D143" s="71"/>
      <c r="E143" s="134"/>
      <c r="F143" s="134"/>
      <c r="G143" s="134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4.25" customHeight="1">
      <c r="A144" s="71"/>
      <c r="B144" s="71"/>
      <c r="C144" s="71"/>
      <c r="D144" s="71"/>
      <c r="E144" s="134"/>
      <c r="F144" s="134"/>
      <c r="G144" s="134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4.25" customHeight="1">
      <c r="A145" s="71"/>
      <c r="B145" s="71"/>
      <c r="C145" s="71"/>
      <c r="D145" s="71"/>
      <c r="E145" s="134"/>
      <c r="F145" s="134"/>
      <c r="G145" s="134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4.25" customHeight="1">
      <c r="A146" s="71"/>
      <c r="B146" s="71"/>
      <c r="C146" s="71"/>
      <c r="D146" s="71"/>
      <c r="E146" s="134"/>
      <c r="F146" s="134"/>
      <c r="G146" s="134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4.25" customHeight="1">
      <c r="A147" s="71"/>
      <c r="B147" s="71"/>
      <c r="C147" s="71"/>
      <c r="D147" s="71"/>
      <c r="E147" s="134"/>
      <c r="F147" s="134"/>
      <c r="G147" s="134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4.25" customHeight="1">
      <c r="A148" s="71"/>
      <c r="B148" s="71"/>
      <c r="C148" s="71"/>
      <c r="D148" s="71"/>
      <c r="E148" s="134"/>
      <c r="F148" s="134"/>
      <c r="G148" s="134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4.25" customHeight="1">
      <c r="A149" s="71"/>
      <c r="B149" s="71"/>
      <c r="C149" s="71"/>
      <c r="D149" s="71"/>
      <c r="E149" s="134"/>
      <c r="F149" s="134"/>
      <c r="G149" s="134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4.25" customHeight="1">
      <c r="A150" s="71"/>
      <c r="B150" s="71"/>
      <c r="C150" s="71"/>
      <c r="D150" s="71"/>
      <c r="E150" s="134"/>
      <c r="F150" s="134"/>
      <c r="G150" s="134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4.25" customHeight="1">
      <c r="A151" s="71"/>
      <c r="B151" s="71"/>
      <c r="C151" s="71"/>
      <c r="D151" s="71"/>
      <c r="E151" s="134"/>
      <c r="F151" s="134"/>
      <c r="G151" s="134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4.25" customHeight="1">
      <c r="A152" s="71"/>
      <c r="B152" s="71"/>
      <c r="C152" s="71"/>
      <c r="D152" s="71"/>
      <c r="E152" s="134"/>
      <c r="F152" s="134"/>
      <c r="G152" s="134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4.25" customHeight="1">
      <c r="A153" s="71"/>
      <c r="B153" s="71"/>
      <c r="C153" s="71"/>
      <c r="D153" s="71"/>
      <c r="E153" s="134"/>
      <c r="F153" s="134"/>
      <c r="G153" s="134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4.25" customHeight="1">
      <c r="A154" s="71"/>
      <c r="B154" s="71"/>
      <c r="C154" s="71"/>
      <c r="D154" s="71"/>
      <c r="E154" s="134"/>
      <c r="F154" s="134"/>
      <c r="G154" s="134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4.25" customHeight="1">
      <c r="A155" s="71"/>
      <c r="B155" s="71"/>
      <c r="C155" s="71"/>
      <c r="D155" s="71"/>
      <c r="E155" s="134"/>
      <c r="F155" s="134"/>
      <c r="G155" s="134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4.25" customHeight="1">
      <c r="A156" s="71"/>
      <c r="B156" s="71"/>
      <c r="C156" s="71"/>
      <c r="D156" s="71"/>
      <c r="E156" s="134"/>
      <c r="F156" s="134"/>
      <c r="G156" s="134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4.25" customHeight="1">
      <c r="A157" s="71"/>
      <c r="B157" s="71"/>
      <c r="C157" s="71"/>
      <c r="D157" s="71"/>
      <c r="E157" s="134"/>
      <c r="F157" s="134"/>
      <c r="G157" s="134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4.25" customHeight="1">
      <c r="A158" s="71"/>
      <c r="B158" s="71"/>
      <c r="C158" s="71"/>
      <c r="D158" s="71"/>
      <c r="E158" s="134"/>
      <c r="F158" s="134"/>
      <c r="G158" s="134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4.25" customHeight="1">
      <c r="A159" s="71"/>
      <c r="B159" s="71"/>
      <c r="C159" s="71"/>
      <c r="D159" s="71"/>
      <c r="E159" s="134"/>
      <c r="F159" s="134"/>
      <c r="G159" s="134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4.25" customHeight="1">
      <c r="A160" s="71"/>
      <c r="B160" s="71"/>
      <c r="C160" s="71"/>
      <c r="D160" s="71"/>
      <c r="E160" s="134"/>
      <c r="F160" s="134"/>
      <c r="G160" s="134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4.25" customHeight="1">
      <c r="A161" s="71"/>
      <c r="B161" s="71"/>
      <c r="C161" s="71"/>
      <c r="D161" s="71"/>
      <c r="E161" s="134"/>
      <c r="F161" s="134"/>
      <c r="G161" s="134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4.25" customHeight="1">
      <c r="A162" s="71"/>
      <c r="B162" s="71"/>
      <c r="C162" s="71"/>
      <c r="D162" s="71"/>
      <c r="E162" s="134"/>
      <c r="F162" s="134"/>
      <c r="G162" s="134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4.25" customHeight="1">
      <c r="A163" s="71"/>
      <c r="B163" s="71"/>
      <c r="C163" s="71"/>
      <c r="D163" s="71"/>
      <c r="E163" s="134"/>
      <c r="F163" s="134"/>
      <c r="G163" s="134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4.25" customHeight="1">
      <c r="A164" s="71"/>
      <c r="B164" s="71"/>
      <c r="C164" s="71"/>
      <c r="D164" s="71"/>
      <c r="E164" s="134"/>
      <c r="F164" s="134"/>
      <c r="G164" s="134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4.25" customHeight="1">
      <c r="A165" s="71"/>
      <c r="B165" s="71"/>
      <c r="C165" s="71"/>
      <c r="D165" s="71"/>
      <c r="E165" s="134"/>
      <c r="F165" s="134"/>
      <c r="G165" s="134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4.25" customHeight="1">
      <c r="A166" s="71"/>
      <c r="B166" s="71"/>
      <c r="C166" s="71"/>
      <c r="D166" s="71"/>
      <c r="E166" s="134"/>
      <c r="F166" s="134"/>
      <c r="G166" s="134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4.25" customHeight="1">
      <c r="A167" s="71"/>
      <c r="B167" s="71"/>
      <c r="C167" s="71"/>
      <c r="D167" s="71"/>
      <c r="E167" s="134"/>
      <c r="F167" s="134"/>
      <c r="G167" s="134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4.25" customHeight="1">
      <c r="A168" s="71"/>
      <c r="B168" s="71"/>
      <c r="C168" s="71"/>
      <c r="D168" s="71"/>
      <c r="E168" s="134"/>
      <c r="F168" s="134"/>
      <c r="G168" s="134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4.25" customHeight="1">
      <c r="A169" s="71"/>
      <c r="B169" s="71"/>
      <c r="C169" s="71"/>
      <c r="D169" s="71"/>
      <c r="E169" s="134"/>
      <c r="F169" s="134"/>
      <c r="G169" s="134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4.25" customHeight="1">
      <c r="A170" s="71"/>
      <c r="B170" s="71"/>
      <c r="C170" s="71"/>
      <c r="D170" s="71"/>
      <c r="E170" s="134"/>
      <c r="F170" s="134"/>
      <c r="G170" s="134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4.25" customHeight="1">
      <c r="A171" s="71"/>
      <c r="B171" s="71"/>
      <c r="C171" s="71"/>
      <c r="D171" s="71"/>
      <c r="E171" s="134"/>
      <c r="F171" s="134"/>
      <c r="G171" s="134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4.25" customHeight="1">
      <c r="A172" s="71"/>
      <c r="B172" s="71"/>
      <c r="C172" s="71"/>
      <c r="D172" s="71"/>
      <c r="E172" s="134"/>
      <c r="F172" s="134"/>
      <c r="G172" s="134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4.25" customHeight="1">
      <c r="A173" s="71"/>
      <c r="B173" s="71"/>
      <c r="C173" s="71"/>
      <c r="D173" s="71"/>
      <c r="E173" s="134"/>
      <c r="F173" s="134"/>
      <c r="G173" s="134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4.25" customHeight="1">
      <c r="A174" s="71"/>
      <c r="B174" s="71"/>
      <c r="C174" s="71"/>
      <c r="D174" s="71"/>
      <c r="E174" s="134"/>
      <c r="F174" s="134"/>
      <c r="G174" s="134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4.25" customHeight="1">
      <c r="A175" s="71"/>
      <c r="B175" s="71"/>
      <c r="C175" s="71"/>
      <c r="D175" s="71"/>
      <c r="E175" s="134"/>
      <c r="F175" s="134"/>
      <c r="G175" s="134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4.25" customHeight="1">
      <c r="A176" s="71"/>
      <c r="B176" s="71"/>
      <c r="C176" s="71"/>
      <c r="D176" s="71"/>
      <c r="E176" s="134"/>
      <c r="F176" s="134"/>
      <c r="G176" s="134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4.25" customHeight="1">
      <c r="A177" s="71"/>
      <c r="B177" s="71"/>
      <c r="C177" s="71"/>
      <c r="D177" s="71"/>
      <c r="E177" s="134"/>
      <c r="F177" s="134"/>
      <c r="G177" s="134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4.25" customHeight="1">
      <c r="A178" s="71"/>
      <c r="B178" s="71"/>
      <c r="C178" s="71"/>
      <c r="D178" s="71"/>
      <c r="E178" s="134"/>
      <c r="F178" s="134"/>
      <c r="G178" s="134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4.25" customHeight="1">
      <c r="A179" s="71"/>
      <c r="B179" s="71"/>
      <c r="C179" s="71"/>
      <c r="D179" s="71"/>
      <c r="E179" s="134"/>
      <c r="F179" s="134"/>
      <c r="G179" s="134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4.25" customHeight="1">
      <c r="A180" s="71"/>
      <c r="B180" s="71"/>
      <c r="C180" s="71"/>
      <c r="D180" s="71"/>
      <c r="E180" s="134"/>
      <c r="F180" s="134"/>
      <c r="G180" s="134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4.25" customHeight="1">
      <c r="A181" s="71"/>
      <c r="B181" s="71"/>
      <c r="C181" s="71"/>
      <c r="D181" s="71"/>
      <c r="E181" s="134"/>
      <c r="F181" s="134"/>
      <c r="G181" s="134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4.25" customHeight="1">
      <c r="A182" s="71"/>
      <c r="B182" s="71"/>
      <c r="C182" s="71"/>
      <c r="D182" s="71"/>
      <c r="E182" s="134"/>
      <c r="F182" s="134"/>
      <c r="G182" s="134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4.25" customHeight="1">
      <c r="A183" s="71"/>
      <c r="B183" s="71"/>
      <c r="C183" s="71"/>
      <c r="D183" s="71"/>
      <c r="E183" s="134"/>
      <c r="F183" s="134"/>
      <c r="G183" s="134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4.25" customHeight="1">
      <c r="A184" s="71"/>
      <c r="B184" s="71"/>
      <c r="C184" s="71"/>
      <c r="D184" s="71"/>
      <c r="E184" s="134"/>
      <c r="F184" s="134"/>
      <c r="G184" s="134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4.25" customHeight="1">
      <c r="A185" s="71"/>
      <c r="B185" s="71"/>
      <c r="C185" s="71"/>
      <c r="D185" s="71"/>
      <c r="E185" s="134"/>
      <c r="F185" s="134"/>
      <c r="G185" s="134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4.25" customHeight="1">
      <c r="A186" s="71"/>
      <c r="B186" s="71"/>
      <c r="C186" s="71"/>
      <c r="D186" s="71"/>
      <c r="E186" s="134"/>
      <c r="F186" s="134"/>
      <c r="G186" s="134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4.25" customHeight="1">
      <c r="A187" s="71"/>
      <c r="B187" s="71"/>
      <c r="C187" s="71"/>
      <c r="D187" s="71"/>
      <c r="E187" s="134"/>
      <c r="F187" s="134"/>
      <c r="G187" s="134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4.25" customHeight="1">
      <c r="A188" s="71"/>
      <c r="B188" s="71"/>
      <c r="C188" s="71"/>
      <c r="D188" s="71"/>
      <c r="E188" s="134"/>
      <c r="F188" s="134"/>
      <c r="G188" s="134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4.25" customHeight="1">
      <c r="A189" s="71"/>
      <c r="B189" s="71"/>
      <c r="C189" s="71"/>
      <c r="D189" s="71"/>
      <c r="E189" s="134"/>
      <c r="F189" s="134"/>
      <c r="G189" s="134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4.25" customHeight="1">
      <c r="A190" s="71"/>
      <c r="B190" s="71"/>
      <c r="C190" s="71"/>
      <c r="D190" s="71"/>
      <c r="E190" s="134"/>
      <c r="F190" s="134"/>
      <c r="G190" s="134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4.25" customHeight="1">
      <c r="A191" s="71"/>
      <c r="B191" s="71"/>
      <c r="C191" s="71"/>
      <c r="D191" s="71"/>
      <c r="E191" s="134"/>
      <c r="F191" s="134"/>
      <c r="G191" s="134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4.25" customHeight="1">
      <c r="A192" s="71"/>
      <c r="B192" s="71"/>
      <c r="C192" s="71"/>
      <c r="D192" s="71"/>
      <c r="E192" s="134"/>
      <c r="F192" s="134"/>
      <c r="G192" s="134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4.25" customHeight="1">
      <c r="A193" s="71"/>
      <c r="B193" s="71"/>
      <c r="C193" s="71"/>
      <c r="D193" s="71"/>
      <c r="E193" s="134"/>
      <c r="F193" s="134"/>
      <c r="G193" s="134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4.25" customHeight="1">
      <c r="A194" s="71"/>
      <c r="B194" s="71"/>
      <c r="C194" s="71"/>
      <c r="D194" s="71"/>
      <c r="E194" s="134"/>
      <c r="F194" s="134"/>
      <c r="G194" s="134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4.25" customHeight="1">
      <c r="A195" s="71"/>
      <c r="B195" s="71"/>
      <c r="C195" s="71"/>
      <c r="D195" s="71"/>
      <c r="E195" s="134"/>
      <c r="F195" s="134"/>
      <c r="G195" s="134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4.25" customHeight="1">
      <c r="A196" s="71"/>
      <c r="B196" s="71"/>
      <c r="C196" s="71"/>
      <c r="D196" s="71"/>
      <c r="E196" s="134"/>
      <c r="F196" s="134"/>
      <c r="G196" s="134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4.25" customHeight="1">
      <c r="A197" s="71"/>
      <c r="B197" s="71"/>
      <c r="C197" s="71"/>
      <c r="D197" s="71"/>
      <c r="E197" s="134"/>
      <c r="F197" s="134"/>
      <c r="G197" s="134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4.25" customHeight="1">
      <c r="A198" s="71"/>
      <c r="B198" s="71"/>
      <c r="C198" s="71"/>
      <c r="D198" s="71"/>
      <c r="E198" s="134"/>
      <c r="F198" s="134"/>
      <c r="G198" s="134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4.25" customHeight="1">
      <c r="A199" s="71"/>
      <c r="B199" s="71"/>
      <c r="C199" s="71"/>
      <c r="D199" s="71"/>
      <c r="E199" s="134"/>
      <c r="F199" s="134"/>
      <c r="G199" s="134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4.25" customHeight="1">
      <c r="A200" s="71"/>
      <c r="B200" s="71"/>
      <c r="C200" s="71"/>
      <c r="D200" s="71"/>
      <c r="E200" s="134"/>
      <c r="F200" s="134"/>
      <c r="G200" s="134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4.25" customHeight="1">
      <c r="A201" s="71"/>
      <c r="B201" s="71"/>
      <c r="C201" s="71"/>
      <c r="D201" s="71"/>
      <c r="E201" s="134"/>
      <c r="F201" s="134"/>
      <c r="G201" s="134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4.25" customHeight="1">
      <c r="A202" s="71"/>
      <c r="B202" s="71"/>
      <c r="C202" s="71"/>
      <c r="D202" s="71"/>
      <c r="E202" s="134"/>
      <c r="F202" s="134"/>
      <c r="G202" s="134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4.25" customHeight="1">
      <c r="A203" s="71"/>
      <c r="B203" s="71"/>
      <c r="C203" s="71"/>
      <c r="D203" s="71"/>
      <c r="E203" s="134"/>
      <c r="F203" s="134"/>
      <c r="G203" s="134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4.25" customHeight="1">
      <c r="A204" s="71"/>
      <c r="B204" s="71"/>
      <c r="C204" s="71"/>
      <c r="D204" s="71"/>
      <c r="E204" s="134"/>
      <c r="F204" s="134"/>
      <c r="G204" s="134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4.25" customHeight="1">
      <c r="A205" s="71"/>
      <c r="B205" s="71"/>
      <c r="C205" s="71"/>
      <c r="D205" s="71"/>
      <c r="E205" s="134"/>
      <c r="F205" s="134"/>
      <c r="G205" s="134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4.25" customHeight="1">
      <c r="A206" s="71"/>
      <c r="B206" s="71"/>
      <c r="C206" s="71"/>
      <c r="D206" s="71"/>
      <c r="E206" s="134"/>
      <c r="F206" s="134"/>
      <c r="G206" s="134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4.25" customHeight="1">
      <c r="A207" s="71"/>
      <c r="B207" s="71"/>
      <c r="C207" s="71"/>
      <c r="D207" s="71"/>
      <c r="E207" s="134"/>
      <c r="F207" s="134"/>
      <c r="G207" s="134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4.25" customHeight="1">
      <c r="A208" s="71"/>
      <c r="B208" s="71"/>
      <c r="C208" s="71"/>
      <c r="D208" s="71"/>
      <c r="E208" s="134"/>
      <c r="F208" s="134"/>
      <c r="G208" s="134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4.25" customHeight="1">
      <c r="A209" s="71"/>
      <c r="B209" s="71"/>
      <c r="C209" s="71"/>
      <c r="D209" s="71"/>
      <c r="E209" s="134"/>
      <c r="F209" s="134"/>
      <c r="G209" s="134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4.25" customHeight="1">
      <c r="A210" s="71"/>
      <c r="B210" s="71"/>
      <c r="C210" s="71"/>
      <c r="D210" s="71"/>
      <c r="E210" s="134"/>
      <c r="F210" s="134"/>
      <c r="G210" s="134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4.25" customHeight="1">
      <c r="A211" s="71"/>
      <c r="B211" s="71"/>
      <c r="C211" s="71"/>
      <c r="D211" s="71"/>
      <c r="E211" s="134"/>
      <c r="F211" s="134"/>
      <c r="G211" s="134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4.25" customHeight="1">
      <c r="A212" s="71"/>
      <c r="B212" s="71"/>
      <c r="C212" s="71"/>
      <c r="D212" s="71"/>
      <c r="E212" s="134"/>
      <c r="F212" s="134"/>
      <c r="G212" s="134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4.25" customHeight="1">
      <c r="A213" s="71"/>
      <c r="B213" s="71"/>
      <c r="C213" s="71"/>
      <c r="D213" s="71"/>
      <c r="E213" s="134"/>
      <c r="F213" s="134"/>
      <c r="G213" s="134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4.25" customHeight="1">
      <c r="A214" s="71"/>
      <c r="B214" s="71"/>
      <c r="C214" s="71"/>
      <c r="D214" s="71"/>
      <c r="E214" s="134"/>
      <c r="F214" s="134"/>
      <c r="G214" s="134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4.25" customHeight="1">
      <c r="A215" s="71"/>
      <c r="B215" s="71"/>
      <c r="C215" s="71"/>
      <c r="D215" s="71"/>
      <c r="E215" s="134"/>
      <c r="F215" s="134"/>
      <c r="G215" s="134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4.25" customHeight="1">
      <c r="A216" s="71"/>
      <c r="B216" s="71"/>
      <c r="C216" s="71"/>
      <c r="D216" s="71"/>
      <c r="E216" s="134"/>
      <c r="F216" s="134"/>
      <c r="G216" s="134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4.25" customHeight="1">
      <c r="A217" s="71"/>
      <c r="B217" s="71"/>
      <c r="C217" s="71"/>
      <c r="D217" s="71"/>
      <c r="E217" s="134"/>
      <c r="F217" s="134"/>
      <c r="G217" s="134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4.25" customHeight="1">
      <c r="A218" s="71"/>
      <c r="B218" s="71"/>
      <c r="C218" s="71"/>
      <c r="D218" s="71"/>
      <c r="E218" s="134"/>
      <c r="F218" s="134"/>
      <c r="G218" s="134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4.25" customHeight="1">
      <c r="A219" s="71"/>
      <c r="B219" s="71"/>
      <c r="C219" s="71"/>
      <c r="D219" s="71"/>
      <c r="E219" s="134"/>
      <c r="F219" s="134"/>
      <c r="G219" s="134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4.25" customHeight="1">
      <c r="A220" s="71"/>
      <c r="B220" s="71"/>
      <c r="C220" s="71"/>
      <c r="D220" s="71"/>
      <c r="E220" s="134"/>
      <c r="F220" s="134"/>
      <c r="G220" s="134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4.25" customHeight="1">
      <c r="A221" s="71"/>
      <c r="B221" s="71"/>
      <c r="C221" s="71"/>
      <c r="D221" s="71"/>
      <c r="E221" s="134"/>
      <c r="F221" s="134"/>
      <c r="G221" s="134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4.25" customHeight="1">
      <c r="A222" s="71"/>
      <c r="B222" s="71"/>
      <c r="C222" s="71"/>
      <c r="D222" s="71"/>
      <c r="E222" s="134"/>
      <c r="F222" s="134"/>
      <c r="G222" s="134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4.25" customHeight="1">
      <c r="A223" s="71"/>
      <c r="B223" s="71"/>
      <c r="C223" s="71"/>
      <c r="D223" s="71"/>
      <c r="E223" s="134"/>
      <c r="F223" s="134"/>
      <c r="G223" s="134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4.25" customHeight="1">
      <c r="A224" s="71"/>
      <c r="B224" s="71"/>
      <c r="C224" s="71"/>
      <c r="D224" s="71"/>
      <c r="E224" s="134"/>
      <c r="F224" s="134"/>
      <c r="G224" s="134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4.25" customHeight="1">
      <c r="A225" s="71"/>
      <c r="B225" s="71"/>
      <c r="C225" s="71"/>
      <c r="D225" s="71"/>
      <c r="E225" s="134"/>
      <c r="F225" s="134"/>
      <c r="G225" s="134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4.25" customHeight="1">
      <c r="A226" s="71"/>
      <c r="B226" s="71"/>
      <c r="C226" s="71"/>
      <c r="D226" s="71"/>
      <c r="E226" s="134"/>
      <c r="F226" s="134"/>
      <c r="G226" s="134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4.25" customHeight="1">
      <c r="A227" s="71"/>
      <c r="B227" s="71"/>
      <c r="C227" s="71"/>
      <c r="D227" s="71"/>
      <c r="E227" s="134"/>
      <c r="F227" s="134"/>
      <c r="G227" s="134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4.25" customHeight="1">
      <c r="A228" s="71"/>
      <c r="B228" s="71"/>
      <c r="C228" s="71"/>
      <c r="D228" s="71"/>
      <c r="E228" s="134"/>
      <c r="F228" s="134"/>
      <c r="G228" s="134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4.25" customHeight="1">
      <c r="A229" s="71"/>
      <c r="B229" s="71"/>
      <c r="C229" s="71"/>
      <c r="D229" s="71"/>
      <c r="E229" s="134"/>
      <c r="F229" s="134"/>
      <c r="G229" s="134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4.25" customHeight="1">
      <c r="A230" s="71"/>
      <c r="B230" s="71"/>
      <c r="C230" s="71"/>
      <c r="D230" s="71"/>
      <c r="E230" s="134"/>
      <c r="F230" s="134"/>
      <c r="G230" s="134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4.25" customHeight="1">
      <c r="A231" s="71"/>
      <c r="B231" s="71"/>
      <c r="C231" s="71"/>
      <c r="D231" s="71"/>
      <c r="E231" s="134"/>
      <c r="F231" s="134"/>
      <c r="G231" s="134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4.25" customHeight="1">
      <c r="A232" s="71"/>
      <c r="B232" s="71"/>
      <c r="C232" s="71"/>
      <c r="D232" s="71"/>
      <c r="E232" s="134"/>
      <c r="F232" s="134"/>
      <c r="G232" s="134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4.25" customHeight="1">
      <c r="A233" s="71"/>
      <c r="B233" s="71"/>
      <c r="C233" s="71"/>
      <c r="D233" s="71"/>
      <c r="E233" s="134"/>
      <c r="F233" s="134"/>
      <c r="G233" s="134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4.25" customHeight="1">
      <c r="A234" s="71"/>
      <c r="B234" s="71"/>
      <c r="C234" s="71"/>
      <c r="D234" s="71"/>
      <c r="E234" s="134"/>
      <c r="F234" s="134"/>
      <c r="G234" s="134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4.25" customHeight="1">
      <c r="A235" s="71"/>
      <c r="B235" s="71"/>
      <c r="C235" s="71"/>
      <c r="D235" s="71"/>
      <c r="E235" s="134"/>
      <c r="F235" s="134"/>
      <c r="G235" s="134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4.25" customHeight="1">
      <c r="A236" s="71"/>
      <c r="B236" s="71"/>
      <c r="C236" s="71"/>
      <c r="D236" s="71"/>
      <c r="E236" s="134"/>
      <c r="F236" s="134"/>
      <c r="G236" s="134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4.25" customHeight="1">
      <c r="A237" s="71"/>
      <c r="B237" s="71"/>
      <c r="C237" s="71"/>
      <c r="D237" s="71"/>
      <c r="E237" s="134"/>
      <c r="F237" s="134"/>
      <c r="G237" s="134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4.25" customHeight="1">
      <c r="A238" s="71"/>
      <c r="B238" s="71"/>
      <c r="C238" s="71"/>
      <c r="D238" s="71"/>
      <c r="E238" s="134"/>
      <c r="F238" s="134"/>
      <c r="G238" s="134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4.25" customHeight="1">
      <c r="A239" s="71"/>
      <c r="B239" s="71"/>
      <c r="C239" s="71"/>
      <c r="D239" s="71"/>
      <c r="E239" s="134"/>
      <c r="F239" s="134"/>
      <c r="G239" s="134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4.25" customHeight="1">
      <c r="A240" s="71"/>
      <c r="B240" s="71"/>
      <c r="C240" s="71"/>
      <c r="D240" s="71"/>
      <c r="E240" s="134"/>
      <c r="F240" s="134"/>
      <c r="G240" s="134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4.25" customHeight="1">
      <c r="A241" s="71"/>
      <c r="B241" s="71"/>
      <c r="C241" s="71"/>
      <c r="D241" s="71"/>
      <c r="E241" s="134"/>
      <c r="F241" s="134"/>
      <c r="G241" s="134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4.25" customHeight="1">
      <c r="A242" s="71"/>
      <c r="B242" s="71"/>
      <c r="C242" s="71"/>
      <c r="D242" s="71"/>
      <c r="E242" s="134"/>
      <c r="F242" s="134"/>
      <c r="G242" s="134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4.25" customHeight="1">
      <c r="A243" s="71"/>
      <c r="B243" s="71"/>
      <c r="C243" s="71"/>
      <c r="D243" s="71"/>
      <c r="E243" s="134"/>
      <c r="F243" s="134"/>
      <c r="G243" s="134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4.25" customHeight="1">
      <c r="A244" s="71"/>
      <c r="B244" s="71"/>
      <c r="C244" s="71"/>
      <c r="D244" s="71"/>
      <c r="E244" s="134"/>
      <c r="F244" s="134"/>
      <c r="G244" s="134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4.25" customHeight="1">
      <c r="A245" s="71"/>
      <c r="B245" s="71"/>
      <c r="C245" s="71"/>
      <c r="D245" s="71"/>
      <c r="E245" s="134"/>
      <c r="F245" s="134"/>
      <c r="G245" s="134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4.25" customHeight="1">
      <c r="A246" s="71"/>
      <c r="B246" s="71"/>
      <c r="C246" s="71"/>
      <c r="D246" s="71"/>
      <c r="E246" s="134"/>
      <c r="F246" s="134"/>
      <c r="G246" s="134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4.25" customHeight="1">
      <c r="A247" s="71"/>
      <c r="B247" s="71"/>
      <c r="C247" s="71"/>
      <c r="D247" s="71"/>
      <c r="E247" s="134"/>
      <c r="F247" s="134"/>
      <c r="G247" s="134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4.25" customHeight="1">
      <c r="A248" s="71"/>
      <c r="B248" s="71"/>
      <c r="C248" s="71"/>
      <c r="D248" s="71"/>
      <c r="E248" s="134"/>
      <c r="F248" s="134"/>
      <c r="G248" s="134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4.25" customHeight="1">
      <c r="A249" s="71"/>
      <c r="B249" s="71"/>
      <c r="C249" s="71"/>
      <c r="D249" s="71"/>
      <c r="E249" s="134"/>
      <c r="F249" s="134"/>
      <c r="G249" s="134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4.25" customHeight="1">
      <c r="A250" s="71"/>
      <c r="B250" s="71"/>
      <c r="C250" s="71"/>
      <c r="D250" s="71"/>
      <c r="E250" s="134"/>
      <c r="F250" s="134"/>
      <c r="G250" s="134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4.25" customHeight="1">
      <c r="A251" s="71"/>
      <c r="B251" s="71"/>
      <c r="C251" s="71"/>
      <c r="D251" s="71"/>
      <c r="E251" s="134"/>
      <c r="F251" s="134"/>
      <c r="G251" s="134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4.25" customHeight="1">
      <c r="A252" s="71"/>
      <c r="B252" s="71"/>
      <c r="C252" s="71"/>
      <c r="D252" s="71"/>
      <c r="E252" s="134"/>
      <c r="F252" s="134"/>
      <c r="G252" s="134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4.25" customHeight="1">
      <c r="A253" s="71"/>
      <c r="B253" s="71"/>
      <c r="C253" s="71"/>
      <c r="D253" s="71"/>
      <c r="E253" s="134"/>
      <c r="F253" s="134"/>
      <c r="G253" s="134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4.25" customHeight="1">
      <c r="A254" s="71"/>
      <c r="B254" s="71"/>
      <c r="C254" s="71"/>
      <c r="D254" s="71"/>
      <c r="E254" s="134"/>
      <c r="F254" s="134"/>
      <c r="G254" s="134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4.25" customHeight="1">
      <c r="A255" s="71"/>
      <c r="B255" s="71"/>
      <c r="C255" s="71"/>
      <c r="D255" s="71"/>
      <c r="E255" s="134"/>
      <c r="F255" s="134"/>
      <c r="G255" s="134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4.25" customHeight="1">
      <c r="A256" s="71"/>
      <c r="B256" s="71"/>
      <c r="C256" s="71"/>
      <c r="D256" s="71"/>
      <c r="E256" s="134"/>
      <c r="F256" s="134"/>
      <c r="G256" s="134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4.25" customHeight="1">
      <c r="A257" s="71"/>
      <c r="B257" s="71"/>
      <c r="C257" s="71"/>
      <c r="D257" s="71"/>
      <c r="E257" s="134"/>
      <c r="F257" s="134"/>
      <c r="G257" s="134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4.25" customHeight="1">
      <c r="A258" s="71"/>
      <c r="B258" s="71"/>
      <c r="C258" s="71"/>
      <c r="D258" s="71"/>
      <c r="E258" s="134"/>
      <c r="F258" s="134"/>
      <c r="G258" s="134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4.25" customHeight="1">
      <c r="A259" s="71"/>
      <c r="B259" s="71"/>
      <c r="C259" s="71"/>
      <c r="D259" s="71"/>
      <c r="E259" s="134"/>
      <c r="F259" s="134"/>
      <c r="G259" s="134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4.25" customHeight="1">
      <c r="A260" s="71"/>
      <c r="B260" s="71"/>
      <c r="C260" s="71"/>
      <c r="D260" s="71"/>
      <c r="E260" s="134"/>
      <c r="F260" s="134"/>
      <c r="G260" s="134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4.25" customHeight="1">
      <c r="A261" s="71"/>
      <c r="B261" s="71"/>
      <c r="C261" s="71"/>
      <c r="D261" s="71"/>
      <c r="E261" s="134"/>
      <c r="F261" s="134"/>
      <c r="G261" s="134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4.25" customHeight="1">
      <c r="A262" s="71"/>
      <c r="B262" s="71"/>
      <c r="C262" s="71"/>
      <c r="D262" s="71"/>
      <c r="E262" s="134"/>
      <c r="F262" s="134"/>
      <c r="G262" s="134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4.25" customHeight="1">
      <c r="A263" s="71"/>
      <c r="B263" s="71"/>
      <c r="C263" s="71"/>
      <c r="D263" s="71"/>
      <c r="E263" s="134"/>
      <c r="F263" s="134"/>
      <c r="G263" s="134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4.25" customHeight="1">
      <c r="A264" s="71"/>
      <c r="B264" s="71"/>
      <c r="C264" s="71"/>
      <c r="D264" s="71"/>
      <c r="E264" s="134"/>
      <c r="F264" s="134"/>
      <c r="G264" s="134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4.25" customHeight="1">
      <c r="A265" s="71"/>
      <c r="B265" s="71"/>
      <c r="C265" s="71"/>
      <c r="D265" s="71"/>
      <c r="E265" s="134"/>
      <c r="F265" s="134"/>
      <c r="G265" s="134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4.25" customHeight="1">
      <c r="A266" s="71"/>
      <c r="B266" s="71"/>
      <c r="C266" s="71"/>
      <c r="D266" s="71"/>
      <c r="E266" s="134"/>
      <c r="F266" s="134"/>
      <c r="G266" s="134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4.25" customHeight="1">
      <c r="A267" s="71"/>
      <c r="B267" s="71"/>
      <c r="C267" s="71"/>
      <c r="D267" s="71"/>
      <c r="E267" s="134"/>
      <c r="F267" s="134"/>
      <c r="G267" s="134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4.25" customHeight="1">
      <c r="A268" s="71"/>
      <c r="B268" s="71"/>
      <c r="C268" s="71"/>
      <c r="D268" s="71"/>
      <c r="E268" s="134"/>
      <c r="F268" s="134"/>
      <c r="G268" s="134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4.25" customHeight="1">
      <c r="A269" s="71"/>
      <c r="B269" s="71"/>
      <c r="C269" s="71"/>
      <c r="D269" s="71"/>
      <c r="E269" s="134"/>
      <c r="F269" s="134"/>
      <c r="G269" s="134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4.25" customHeight="1">
      <c r="A270" s="71"/>
      <c r="B270" s="71"/>
      <c r="C270" s="71"/>
      <c r="D270" s="71"/>
      <c r="E270" s="134"/>
      <c r="F270" s="134"/>
      <c r="G270" s="134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4.25" customHeight="1">
      <c r="A271" s="71"/>
      <c r="B271" s="71"/>
      <c r="C271" s="71"/>
      <c r="D271" s="71"/>
      <c r="E271" s="134"/>
      <c r="F271" s="134"/>
      <c r="G271" s="134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4.25" customHeight="1">
      <c r="A272" s="71"/>
      <c r="B272" s="71"/>
      <c r="C272" s="71"/>
      <c r="D272" s="71"/>
      <c r="E272" s="134"/>
      <c r="F272" s="134"/>
      <c r="G272" s="134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4.25" customHeight="1">
      <c r="A273" s="71"/>
      <c r="B273" s="71"/>
      <c r="C273" s="71"/>
      <c r="D273" s="71"/>
      <c r="E273" s="134"/>
      <c r="F273" s="134"/>
      <c r="G273" s="134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4.25" customHeight="1">
      <c r="A274" s="71"/>
      <c r="B274" s="71"/>
      <c r="C274" s="71"/>
      <c r="D274" s="71"/>
      <c r="E274" s="134"/>
      <c r="F274" s="134"/>
      <c r="G274" s="134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4.25" customHeight="1">
      <c r="A275" s="71"/>
      <c r="B275" s="71"/>
      <c r="C275" s="71"/>
      <c r="D275" s="71"/>
      <c r="E275" s="134"/>
      <c r="F275" s="134"/>
      <c r="G275" s="134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4.25" customHeight="1">
      <c r="A276" s="71"/>
      <c r="B276" s="71"/>
      <c r="C276" s="71"/>
      <c r="D276" s="71"/>
      <c r="E276" s="134"/>
      <c r="F276" s="134"/>
      <c r="G276" s="134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4.25" customHeight="1">
      <c r="A277" s="71"/>
      <c r="B277" s="71"/>
      <c r="C277" s="71"/>
      <c r="D277" s="71"/>
      <c r="E277" s="134"/>
      <c r="F277" s="134"/>
      <c r="G277" s="134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4.25" customHeight="1">
      <c r="A278" s="71"/>
      <c r="B278" s="71"/>
      <c r="C278" s="71"/>
      <c r="D278" s="71"/>
      <c r="E278" s="134"/>
      <c r="F278" s="134"/>
      <c r="G278" s="134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4.25" customHeight="1">
      <c r="A279" s="71"/>
      <c r="B279" s="71"/>
      <c r="C279" s="71"/>
      <c r="D279" s="71"/>
      <c r="E279" s="134"/>
      <c r="F279" s="134"/>
      <c r="G279" s="134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4.25" customHeight="1">
      <c r="A280" s="71"/>
      <c r="B280" s="71"/>
      <c r="C280" s="71"/>
      <c r="D280" s="71"/>
      <c r="E280" s="134"/>
      <c r="F280" s="134"/>
      <c r="G280" s="134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4.25" customHeight="1">
      <c r="A281" s="71"/>
      <c r="B281" s="71"/>
      <c r="C281" s="71"/>
      <c r="D281" s="71"/>
      <c r="E281" s="134"/>
      <c r="F281" s="134"/>
      <c r="G281" s="134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4.25" customHeight="1">
      <c r="A282" s="71"/>
      <c r="B282" s="71"/>
      <c r="C282" s="71"/>
      <c r="D282" s="71"/>
      <c r="E282" s="134"/>
      <c r="F282" s="134"/>
      <c r="G282" s="134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4.25" customHeight="1">
      <c r="A283" s="71"/>
      <c r="B283" s="71"/>
      <c r="C283" s="71"/>
      <c r="D283" s="71"/>
      <c r="E283" s="134"/>
      <c r="F283" s="134"/>
      <c r="G283" s="134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4.25" customHeight="1">
      <c r="A284" s="71"/>
      <c r="B284" s="71"/>
      <c r="C284" s="71"/>
      <c r="D284" s="71"/>
      <c r="E284" s="134"/>
      <c r="F284" s="134"/>
      <c r="G284" s="134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4.25" customHeight="1">
      <c r="A285" s="71"/>
      <c r="B285" s="71"/>
      <c r="C285" s="71"/>
      <c r="D285" s="71"/>
      <c r="E285" s="134"/>
      <c r="F285" s="134"/>
      <c r="G285" s="134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4.25" customHeight="1">
      <c r="A286" s="71"/>
      <c r="B286" s="71"/>
      <c r="C286" s="71"/>
      <c r="D286" s="71"/>
      <c r="E286" s="134"/>
      <c r="F286" s="134"/>
      <c r="G286" s="134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4.25" customHeight="1">
      <c r="A287" s="71"/>
      <c r="B287" s="71"/>
      <c r="C287" s="71"/>
      <c r="D287" s="71"/>
      <c r="E287" s="134"/>
      <c r="F287" s="134"/>
      <c r="G287" s="134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4.25" customHeight="1">
      <c r="A288" s="71"/>
      <c r="B288" s="71"/>
      <c r="C288" s="71"/>
      <c r="D288" s="71"/>
      <c r="E288" s="134"/>
      <c r="F288" s="134"/>
      <c r="G288" s="134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4.25" customHeight="1">
      <c r="A289" s="71"/>
      <c r="B289" s="71"/>
      <c r="C289" s="71"/>
      <c r="D289" s="71"/>
      <c r="E289" s="134"/>
      <c r="F289" s="134"/>
      <c r="G289" s="134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4.25" customHeight="1">
      <c r="A290" s="71"/>
      <c r="B290" s="71"/>
      <c r="C290" s="71"/>
      <c r="D290" s="71"/>
      <c r="E290" s="134"/>
      <c r="F290" s="134"/>
      <c r="G290" s="134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4.25" customHeight="1">
      <c r="A291" s="71"/>
      <c r="B291" s="71"/>
      <c r="C291" s="71"/>
      <c r="D291" s="71"/>
      <c r="E291" s="134"/>
      <c r="F291" s="134"/>
      <c r="G291" s="134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4.25" customHeight="1">
      <c r="A292" s="71"/>
      <c r="B292" s="71"/>
      <c r="C292" s="71"/>
      <c r="D292" s="71"/>
      <c r="E292" s="134"/>
      <c r="F292" s="134"/>
      <c r="G292" s="134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4.25" customHeight="1">
      <c r="A293" s="71"/>
      <c r="B293" s="71"/>
      <c r="C293" s="71"/>
      <c r="D293" s="71"/>
      <c r="E293" s="134"/>
      <c r="F293" s="134"/>
      <c r="G293" s="134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4.25" customHeight="1">
      <c r="A294" s="71"/>
      <c r="B294" s="71"/>
      <c r="C294" s="71"/>
      <c r="D294" s="71"/>
      <c r="E294" s="134"/>
      <c r="F294" s="134"/>
      <c r="G294" s="134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4.25" customHeight="1">
      <c r="A295" s="71"/>
      <c r="B295" s="71"/>
      <c r="C295" s="71"/>
      <c r="D295" s="71"/>
      <c r="E295" s="134"/>
      <c r="F295" s="134"/>
      <c r="G295" s="134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4.25" customHeight="1">
      <c r="A296" s="71"/>
      <c r="B296" s="71"/>
      <c r="C296" s="71"/>
      <c r="D296" s="71"/>
      <c r="E296" s="134"/>
      <c r="F296" s="134"/>
      <c r="G296" s="134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4.25" customHeight="1">
      <c r="A297" s="71"/>
      <c r="B297" s="71"/>
      <c r="C297" s="71"/>
      <c r="D297" s="71"/>
      <c r="E297" s="134"/>
      <c r="F297" s="134"/>
      <c r="G297" s="134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4.25" customHeight="1">
      <c r="A298" s="71"/>
      <c r="B298" s="71"/>
      <c r="C298" s="71"/>
      <c r="D298" s="71"/>
      <c r="E298" s="134"/>
      <c r="F298" s="134"/>
      <c r="G298" s="134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4.25" customHeight="1">
      <c r="A299" s="71"/>
      <c r="B299" s="71"/>
      <c r="C299" s="71"/>
      <c r="D299" s="71"/>
      <c r="E299" s="134"/>
      <c r="F299" s="134"/>
      <c r="G299" s="134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4.25" customHeight="1">
      <c r="A300" s="71"/>
      <c r="B300" s="71"/>
      <c r="C300" s="71"/>
      <c r="D300" s="71"/>
      <c r="E300" s="134"/>
      <c r="F300" s="134"/>
      <c r="G300" s="134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4.25" customHeight="1">
      <c r="A301" s="71"/>
      <c r="B301" s="71"/>
      <c r="C301" s="71"/>
      <c r="D301" s="71"/>
      <c r="E301" s="134"/>
      <c r="F301" s="134"/>
      <c r="G301" s="134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4.25" customHeight="1">
      <c r="A302" s="71"/>
      <c r="B302" s="71"/>
      <c r="C302" s="71"/>
      <c r="D302" s="71"/>
      <c r="E302" s="134"/>
      <c r="F302" s="134"/>
      <c r="G302" s="134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4.25" customHeight="1">
      <c r="A303" s="71"/>
      <c r="B303" s="71"/>
      <c r="C303" s="71"/>
      <c r="D303" s="71"/>
      <c r="E303" s="134"/>
      <c r="F303" s="134"/>
      <c r="G303" s="134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4.25" customHeight="1">
      <c r="A304" s="71"/>
      <c r="B304" s="71"/>
      <c r="C304" s="71"/>
      <c r="D304" s="71"/>
      <c r="E304" s="134"/>
      <c r="F304" s="134"/>
      <c r="G304" s="134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4.25" customHeight="1">
      <c r="A305" s="71"/>
      <c r="B305" s="71"/>
      <c r="C305" s="71"/>
      <c r="D305" s="71"/>
      <c r="E305" s="134"/>
      <c r="F305" s="134"/>
      <c r="G305" s="134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4.25" customHeight="1">
      <c r="A306" s="71"/>
      <c r="B306" s="71"/>
      <c r="C306" s="71"/>
      <c r="D306" s="71"/>
      <c r="E306" s="134"/>
      <c r="F306" s="134"/>
      <c r="G306" s="134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4.25" customHeight="1">
      <c r="A307" s="71"/>
      <c r="B307" s="71"/>
      <c r="C307" s="71"/>
      <c r="D307" s="71"/>
      <c r="E307" s="134"/>
      <c r="F307" s="134"/>
      <c r="G307" s="134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4.25" customHeight="1">
      <c r="A308" s="71"/>
      <c r="B308" s="71"/>
      <c r="C308" s="71"/>
      <c r="D308" s="71"/>
      <c r="E308" s="134"/>
      <c r="F308" s="134"/>
      <c r="G308" s="134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4.25" customHeight="1">
      <c r="A309" s="71"/>
      <c r="B309" s="71"/>
      <c r="C309" s="71"/>
      <c r="D309" s="71"/>
      <c r="E309" s="134"/>
      <c r="F309" s="134"/>
      <c r="G309" s="134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4.25" customHeight="1">
      <c r="A310" s="71"/>
      <c r="B310" s="71"/>
      <c r="C310" s="71"/>
      <c r="D310" s="71"/>
      <c r="E310" s="134"/>
      <c r="F310" s="134"/>
      <c r="G310" s="134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4.25" customHeight="1">
      <c r="A311" s="71"/>
      <c r="B311" s="71"/>
      <c r="C311" s="71"/>
      <c r="D311" s="71"/>
      <c r="E311" s="134"/>
      <c r="F311" s="134"/>
      <c r="G311" s="134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4.25" customHeight="1">
      <c r="A312" s="71"/>
      <c r="B312" s="71"/>
      <c r="C312" s="71"/>
      <c r="D312" s="71"/>
      <c r="E312" s="134"/>
      <c r="F312" s="134"/>
      <c r="G312" s="134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4.25" customHeight="1">
      <c r="A313" s="71"/>
      <c r="B313" s="71"/>
      <c r="C313" s="71"/>
      <c r="D313" s="71"/>
      <c r="E313" s="134"/>
      <c r="F313" s="134"/>
      <c r="G313" s="134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4.25" customHeight="1">
      <c r="A314" s="71"/>
      <c r="B314" s="71"/>
      <c r="C314" s="71"/>
      <c r="D314" s="71"/>
      <c r="E314" s="134"/>
      <c r="F314" s="134"/>
      <c r="G314" s="134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4.25" customHeight="1">
      <c r="A315" s="71"/>
      <c r="B315" s="71"/>
      <c r="C315" s="71"/>
      <c r="D315" s="71"/>
      <c r="E315" s="134"/>
      <c r="F315" s="134"/>
      <c r="G315" s="134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4.25" customHeight="1">
      <c r="A316" s="71"/>
      <c r="B316" s="71"/>
      <c r="C316" s="71"/>
      <c r="D316" s="71"/>
      <c r="E316" s="134"/>
      <c r="F316" s="134"/>
      <c r="G316" s="134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4.25" customHeight="1">
      <c r="A317" s="71"/>
      <c r="B317" s="71"/>
      <c r="C317" s="71"/>
      <c r="D317" s="71"/>
      <c r="E317" s="134"/>
      <c r="F317" s="134"/>
      <c r="G317" s="134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4.25" customHeight="1">
      <c r="A318" s="71"/>
      <c r="B318" s="71"/>
      <c r="C318" s="71"/>
      <c r="D318" s="71"/>
      <c r="E318" s="134"/>
      <c r="F318" s="134"/>
      <c r="G318" s="134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4.25" customHeight="1">
      <c r="A319" s="71"/>
      <c r="B319" s="71"/>
      <c r="C319" s="71"/>
      <c r="D319" s="71"/>
      <c r="E319" s="134"/>
      <c r="F319" s="134"/>
      <c r="G319" s="134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4.25" customHeight="1">
      <c r="A320" s="71"/>
      <c r="B320" s="71"/>
      <c r="C320" s="71"/>
      <c r="D320" s="71"/>
      <c r="E320" s="134"/>
      <c r="F320" s="134"/>
      <c r="G320" s="134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4.25" customHeight="1">
      <c r="A321" s="71"/>
      <c r="B321" s="71"/>
      <c r="C321" s="71"/>
      <c r="D321" s="71"/>
      <c r="E321" s="134"/>
      <c r="F321" s="134"/>
      <c r="G321" s="134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4.25" customHeight="1">
      <c r="A322" s="71"/>
      <c r="B322" s="71"/>
      <c r="C322" s="71"/>
      <c r="D322" s="71"/>
      <c r="E322" s="134"/>
      <c r="F322" s="134"/>
      <c r="G322" s="134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4.25" customHeight="1">
      <c r="A323" s="71"/>
      <c r="B323" s="71"/>
      <c r="C323" s="71"/>
      <c r="D323" s="71"/>
      <c r="E323" s="134"/>
      <c r="F323" s="134"/>
      <c r="G323" s="134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4.25" customHeight="1">
      <c r="A324" s="71"/>
      <c r="B324" s="71"/>
      <c r="C324" s="71"/>
      <c r="D324" s="71"/>
      <c r="E324" s="134"/>
      <c r="F324" s="134"/>
      <c r="G324" s="134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4.25" customHeight="1">
      <c r="A325" s="71"/>
      <c r="B325" s="71"/>
      <c r="C325" s="71"/>
      <c r="D325" s="71"/>
      <c r="E325" s="134"/>
      <c r="F325" s="134"/>
      <c r="G325" s="134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4.25" customHeight="1">
      <c r="A326" s="71"/>
      <c r="B326" s="71"/>
      <c r="C326" s="71"/>
      <c r="D326" s="71"/>
      <c r="E326" s="134"/>
      <c r="F326" s="134"/>
      <c r="G326" s="134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4.25" customHeight="1">
      <c r="A327" s="71"/>
      <c r="B327" s="71"/>
      <c r="C327" s="71"/>
      <c r="D327" s="71"/>
      <c r="E327" s="134"/>
      <c r="F327" s="134"/>
      <c r="G327" s="134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4.25" customHeight="1">
      <c r="A328" s="71"/>
      <c r="B328" s="71"/>
      <c r="C328" s="71"/>
      <c r="D328" s="71"/>
      <c r="E328" s="134"/>
      <c r="F328" s="134"/>
      <c r="G328" s="134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4.25" customHeight="1">
      <c r="A329" s="71"/>
      <c r="B329" s="71"/>
      <c r="C329" s="71"/>
      <c r="D329" s="71"/>
      <c r="E329" s="134"/>
      <c r="F329" s="134"/>
      <c r="G329" s="134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4.25" customHeight="1">
      <c r="A330" s="71"/>
      <c r="B330" s="71"/>
      <c r="C330" s="71"/>
      <c r="D330" s="71"/>
      <c r="E330" s="134"/>
      <c r="F330" s="134"/>
      <c r="G330" s="134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4.25" customHeight="1">
      <c r="A331" s="71"/>
      <c r="B331" s="71"/>
      <c r="C331" s="71"/>
      <c r="D331" s="71"/>
      <c r="E331" s="134"/>
      <c r="F331" s="134"/>
      <c r="G331" s="134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4.25" customHeight="1">
      <c r="A332" s="71"/>
      <c r="B332" s="71"/>
      <c r="C332" s="71"/>
      <c r="D332" s="71"/>
      <c r="E332" s="134"/>
      <c r="F332" s="134"/>
      <c r="G332" s="134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4.25" customHeight="1">
      <c r="A333" s="71"/>
      <c r="B333" s="71"/>
      <c r="C333" s="71"/>
      <c r="D333" s="71"/>
      <c r="E333" s="134"/>
      <c r="F333" s="134"/>
      <c r="G333" s="134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4.25" customHeight="1">
      <c r="A334" s="71"/>
      <c r="B334" s="71"/>
      <c r="C334" s="71"/>
      <c r="D334" s="71"/>
      <c r="E334" s="134"/>
      <c r="F334" s="134"/>
      <c r="G334" s="134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4.25" customHeight="1">
      <c r="A335" s="71"/>
      <c r="B335" s="71"/>
      <c r="C335" s="71"/>
      <c r="D335" s="71"/>
      <c r="E335" s="134"/>
      <c r="F335" s="134"/>
      <c r="G335" s="134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4.25" customHeight="1">
      <c r="A336" s="71"/>
      <c r="B336" s="71"/>
      <c r="C336" s="71"/>
      <c r="D336" s="71"/>
      <c r="E336" s="134"/>
      <c r="F336" s="134"/>
      <c r="G336" s="134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4.25" customHeight="1">
      <c r="A337" s="71"/>
      <c r="B337" s="71"/>
      <c r="C337" s="71"/>
      <c r="D337" s="71"/>
      <c r="E337" s="134"/>
      <c r="F337" s="134"/>
      <c r="G337" s="134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4.25" customHeight="1">
      <c r="A338" s="71"/>
      <c r="B338" s="71"/>
      <c r="C338" s="71"/>
      <c r="D338" s="71"/>
      <c r="E338" s="134"/>
      <c r="F338" s="134"/>
      <c r="G338" s="134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4.25" customHeight="1">
      <c r="A339" s="71"/>
      <c r="B339" s="71"/>
      <c r="C339" s="71"/>
      <c r="D339" s="71"/>
      <c r="E339" s="134"/>
      <c r="F339" s="134"/>
      <c r="G339" s="134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4.25" customHeight="1">
      <c r="A340" s="71"/>
      <c r="B340" s="71"/>
      <c r="C340" s="71"/>
      <c r="D340" s="71"/>
      <c r="E340" s="134"/>
      <c r="F340" s="134"/>
      <c r="G340" s="134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4.25" customHeight="1">
      <c r="A341" s="71"/>
      <c r="B341" s="71"/>
      <c r="C341" s="71"/>
      <c r="D341" s="71"/>
      <c r="E341" s="134"/>
      <c r="F341" s="134"/>
      <c r="G341" s="134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4.25" customHeight="1">
      <c r="A342" s="71"/>
      <c r="B342" s="71"/>
      <c r="C342" s="71"/>
      <c r="D342" s="71"/>
      <c r="E342" s="134"/>
      <c r="F342" s="134"/>
      <c r="G342" s="134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4.25" customHeight="1">
      <c r="A343" s="71"/>
      <c r="B343" s="71"/>
      <c r="C343" s="71"/>
      <c r="D343" s="71"/>
      <c r="E343" s="134"/>
      <c r="F343" s="134"/>
      <c r="G343" s="134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4.25" customHeight="1">
      <c r="A344" s="71"/>
      <c r="B344" s="71"/>
      <c r="C344" s="71"/>
      <c r="D344" s="71"/>
      <c r="E344" s="134"/>
      <c r="F344" s="134"/>
      <c r="G344" s="134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4.25" customHeight="1">
      <c r="A345" s="71"/>
      <c r="B345" s="71"/>
      <c r="C345" s="71"/>
      <c r="D345" s="71"/>
      <c r="E345" s="134"/>
      <c r="F345" s="134"/>
      <c r="G345" s="134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4.25" customHeight="1">
      <c r="A346" s="71"/>
      <c r="B346" s="71"/>
      <c r="C346" s="71"/>
      <c r="D346" s="71"/>
      <c r="E346" s="134"/>
      <c r="F346" s="134"/>
      <c r="G346" s="134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4.25" customHeight="1">
      <c r="A347" s="71"/>
      <c r="B347" s="71"/>
      <c r="C347" s="71"/>
      <c r="D347" s="71"/>
      <c r="E347" s="134"/>
      <c r="F347" s="134"/>
      <c r="G347" s="134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4.25" customHeight="1">
      <c r="A348" s="71"/>
      <c r="B348" s="71"/>
      <c r="C348" s="71"/>
      <c r="D348" s="71"/>
      <c r="E348" s="134"/>
      <c r="F348" s="134"/>
      <c r="G348" s="134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4.25" customHeight="1">
      <c r="A349" s="71"/>
      <c r="B349" s="71"/>
      <c r="C349" s="71"/>
      <c r="D349" s="71"/>
      <c r="E349" s="134"/>
      <c r="F349" s="134"/>
      <c r="G349" s="134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4.25" customHeight="1">
      <c r="A350" s="71"/>
      <c r="B350" s="71"/>
      <c r="C350" s="71"/>
      <c r="D350" s="71"/>
      <c r="E350" s="134"/>
      <c r="F350" s="134"/>
      <c r="G350" s="134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4.25" customHeight="1">
      <c r="A351" s="71"/>
      <c r="B351" s="71"/>
      <c r="C351" s="71"/>
      <c r="D351" s="71"/>
      <c r="E351" s="134"/>
      <c r="F351" s="134"/>
      <c r="G351" s="134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4.25" customHeight="1">
      <c r="A352" s="71"/>
      <c r="B352" s="71"/>
      <c r="C352" s="71"/>
      <c r="D352" s="71"/>
      <c r="E352" s="134"/>
      <c r="F352" s="134"/>
      <c r="G352" s="134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4.25" customHeight="1">
      <c r="A353" s="71"/>
      <c r="B353" s="71"/>
      <c r="C353" s="71"/>
      <c r="D353" s="71"/>
      <c r="E353" s="134"/>
      <c r="F353" s="134"/>
      <c r="G353" s="134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4.25" customHeight="1">
      <c r="A354" s="71"/>
      <c r="B354" s="71"/>
      <c r="C354" s="71"/>
      <c r="D354" s="71"/>
      <c r="E354" s="134"/>
      <c r="F354" s="134"/>
      <c r="G354" s="134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4.25" customHeight="1">
      <c r="A355" s="71"/>
      <c r="B355" s="71"/>
      <c r="C355" s="71"/>
      <c r="D355" s="71"/>
      <c r="E355" s="134"/>
      <c r="F355" s="134"/>
      <c r="G355" s="134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4.25" customHeight="1">
      <c r="A356" s="71"/>
      <c r="B356" s="71"/>
      <c r="C356" s="71"/>
      <c r="D356" s="71"/>
      <c r="E356" s="134"/>
      <c r="F356" s="134"/>
      <c r="G356" s="134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4.25" customHeight="1">
      <c r="A357" s="71"/>
      <c r="B357" s="71"/>
      <c r="C357" s="71"/>
      <c r="D357" s="71"/>
      <c r="E357" s="134"/>
      <c r="F357" s="134"/>
      <c r="G357" s="134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4.25" customHeight="1">
      <c r="A358" s="71"/>
      <c r="B358" s="71"/>
      <c r="C358" s="71"/>
      <c r="D358" s="71"/>
      <c r="E358" s="134"/>
      <c r="F358" s="134"/>
      <c r="G358" s="134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4.25" customHeight="1">
      <c r="A359" s="71"/>
      <c r="B359" s="71"/>
      <c r="C359" s="71"/>
      <c r="D359" s="71"/>
      <c r="E359" s="134"/>
      <c r="F359" s="134"/>
      <c r="G359" s="134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4.25" customHeight="1">
      <c r="A360" s="71"/>
      <c r="B360" s="71"/>
      <c r="C360" s="71"/>
      <c r="D360" s="71"/>
      <c r="E360" s="134"/>
      <c r="F360" s="134"/>
      <c r="G360" s="134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4.25" customHeight="1">
      <c r="A361" s="71"/>
      <c r="B361" s="71"/>
      <c r="C361" s="71"/>
      <c r="D361" s="71"/>
      <c r="E361" s="134"/>
      <c r="F361" s="134"/>
      <c r="G361" s="134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4.25" customHeight="1">
      <c r="A362" s="71"/>
      <c r="B362" s="71"/>
      <c r="C362" s="71"/>
      <c r="D362" s="71"/>
      <c r="E362" s="134"/>
      <c r="F362" s="134"/>
      <c r="G362" s="134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4.25" customHeight="1">
      <c r="A363" s="71"/>
      <c r="B363" s="71"/>
      <c r="C363" s="71"/>
      <c r="D363" s="71"/>
      <c r="E363" s="134"/>
      <c r="F363" s="134"/>
      <c r="G363" s="134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4.25" customHeight="1">
      <c r="A364" s="71"/>
      <c r="B364" s="71"/>
      <c r="C364" s="71"/>
      <c r="D364" s="71"/>
      <c r="E364" s="134"/>
      <c r="F364" s="134"/>
      <c r="G364" s="134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4.25" customHeight="1">
      <c r="A365" s="71"/>
      <c r="B365" s="71"/>
      <c r="C365" s="71"/>
      <c r="D365" s="71"/>
      <c r="E365" s="134"/>
      <c r="F365" s="134"/>
      <c r="G365" s="134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4.25" customHeight="1">
      <c r="A366" s="71"/>
      <c r="B366" s="71"/>
      <c r="C366" s="71"/>
      <c r="D366" s="71"/>
      <c r="E366" s="134"/>
      <c r="F366" s="134"/>
      <c r="G366" s="134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4.25" customHeight="1">
      <c r="A367" s="71"/>
      <c r="B367" s="71"/>
      <c r="C367" s="71"/>
      <c r="D367" s="71"/>
      <c r="E367" s="134"/>
      <c r="F367" s="134"/>
      <c r="G367" s="134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4.25" customHeight="1">
      <c r="A368" s="71"/>
      <c r="B368" s="71"/>
      <c r="C368" s="71"/>
      <c r="D368" s="71"/>
      <c r="E368" s="134"/>
      <c r="F368" s="134"/>
      <c r="G368" s="134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4.25" customHeight="1">
      <c r="A369" s="71"/>
      <c r="B369" s="71"/>
      <c r="C369" s="71"/>
      <c r="D369" s="71"/>
      <c r="E369" s="134"/>
      <c r="F369" s="134"/>
      <c r="G369" s="134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4.25" customHeight="1">
      <c r="A370" s="71"/>
      <c r="B370" s="71"/>
      <c r="C370" s="71"/>
      <c r="D370" s="71"/>
      <c r="E370" s="134"/>
      <c r="F370" s="134"/>
      <c r="G370" s="134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4.25" customHeight="1">
      <c r="A371" s="71"/>
      <c r="B371" s="71"/>
      <c r="C371" s="71"/>
      <c r="D371" s="71"/>
      <c r="E371" s="134"/>
      <c r="F371" s="134"/>
      <c r="G371" s="134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4.25" customHeight="1">
      <c r="A372" s="71"/>
      <c r="B372" s="71"/>
      <c r="C372" s="71"/>
      <c r="D372" s="71"/>
      <c r="E372" s="134"/>
      <c r="F372" s="134"/>
      <c r="G372" s="134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4.25" customHeight="1">
      <c r="A373" s="71"/>
      <c r="B373" s="71"/>
      <c r="C373" s="71"/>
      <c r="D373" s="71"/>
      <c r="E373" s="134"/>
      <c r="F373" s="134"/>
      <c r="G373" s="134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4.25" customHeight="1">
      <c r="A374" s="71"/>
      <c r="B374" s="71"/>
      <c r="C374" s="71"/>
      <c r="D374" s="71"/>
      <c r="E374" s="134"/>
      <c r="F374" s="134"/>
      <c r="G374" s="134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4.25" customHeight="1">
      <c r="A375" s="71"/>
      <c r="B375" s="71"/>
      <c r="C375" s="71"/>
      <c r="D375" s="71"/>
      <c r="E375" s="134"/>
      <c r="F375" s="134"/>
      <c r="G375" s="134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4.25" customHeight="1">
      <c r="A376" s="71"/>
      <c r="B376" s="71"/>
      <c r="C376" s="71"/>
      <c r="D376" s="71"/>
      <c r="E376" s="134"/>
      <c r="F376" s="134"/>
      <c r="G376" s="134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4.25" customHeight="1">
      <c r="A377" s="71"/>
      <c r="B377" s="71"/>
      <c r="C377" s="71"/>
      <c r="D377" s="71"/>
      <c r="E377" s="134"/>
      <c r="F377" s="134"/>
      <c r="G377" s="134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4.25" customHeight="1">
      <c r="A378" s="71"/>
      <c r="B378" s="71"/>
      <c r="C378" s="71"/>
      <c r="D378" s="71"/>
      <c r="E378" s="134"/>
      <c r="F378" s="134"/>
      <c r="G378" s="134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4.25" customHeight="1">
      <c r="A379" s="71"/>
      <c r="B379" s="71"/>
      <c r="C379" s="71"/>
      <c r="D379" s="71"/>
      <c r="E379" s="134"/>
      <c r="F379" s="134"/>
      <c r="G379" s="134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4.25" customHeight="1">
      <c r="A380" s="71"/>
      <c r="B380" s="71"/>
      <c r="C380" s="71"/>
      <c r="D380" s="71"/>
      <c r="E380" s="134"/>
      <c r="F380" s="134"/>
      <c r="G380" s="134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4.25" customHeight="1">
      <c r="A381" s="71"/>
      <c r="B381" s="71"/>
      <c r="C381" s="71"/>
      <c r="D381" s="71"/>
      <c r="E381" s="134"/>
      <c r="F381" s="134"/>
      <c r="G381" s="134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4.25" customHeight="1">
      <c r="A382" s="71"/>
      <c r="B382" s="71"/>
      <c r="C382" s="71"/>
      <c r="D382" s="71"/>
      <c r="E382" s="134"/>
      <c r="F382" s="134"/>
      <c r="G382" s="134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4.25" customHeight="1">
      <c r="A383" s="71"/>
      <c r="B383" s="71"/>
      <c r="C383" s="71"/>
      <c r="D383" s="71"/>
      <c r="E383" s="134"/>
      <c r="F383" s="134"/>
      <c r="G383" s="134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4.25" customHeight="1">
      <c r="A384" s="71"/>
      <c r="B384" s="71"/>
      <c r="C384" s="71"/>
      <c r="D384" s="71"/>
      <c r="E384" s="134"/>
      <c r="F384" s="134"/>
      <c r="G384" s="134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4.25" customHeight="1">
      <c r="A385" s="71"/>
      <c r="B385" s="71"/>
      <c r="C385" s="71"/>
      <c r="D385" s="71"/>
      <c r="E385" s="134"/>
      <c r="F385" s="134"/>
      <c r="G385" s="134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4.25" customHeight="1">
      <c r="A386" s="71"/>
      <c r="B386" s="71"/>
      <c r="C386" s="71"/>
      <c r="D386" s="71"/>
      <c r="E386" s="134"/>
      <c r="F386" s="134"/>
      <c r="G386" s="134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4.25" customHeight="1">
      <c r="A387" s="71"/>
      <c r="B387" s="71"/>
      <c r="C387" s="71"/>
      <c r="D387" s="71"/>
      <c r="E387" s="134"/>
      <c r="F387" s="134"/>
      <c r="G387" s="134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4.25" customHeight="1">
      <c r="A388" s="71"/>
      <c r="B388" s="71"/>
      <c r="C388" s="71"/>
      <c r="D388" s="71"/>
      <c r="E388" s="134"/>
      <c r="F388" s="134"/>
      <c r="G388" s="134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4.25" customHeight="1">
      <c r="A389" s="71"/>
      <c r="B389" s="71"/>
      <c r="C389" s="71"/>
      <c r="D389" s="71"/>
      <c r="E389" s="134"/>
      <c r="F389" s="134"/>
      <c r="G389" s="134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4.25" customHeight="1">
      <c r="A390" s="71"/>
      <c r="B390" s="71"/>
      <c r="C390" s="71"/>
      <c r="D390" s="71"/>
      <c r="E390" s="134"/>
      <c r="F390" s="134"/>
      <c r="G390" s="134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4.25" customHeight="1">
      <c r="A391" s="71"/>
      <c r="B391" s="71"/>
      <c r="C391" s="71"/>
      <c r="D391" s="71"/>
      <c r="E391" s="134"/>
      <c r="F391" s="134"/>
      <c r="G391" s="134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4.25" customHeight="1">
      <c r="A392" s="71"/>
      <c r="B392" s="71"/>
      <c r="C392" s="71"/>
      <c r="D392" s="71"/>
      <c r="E392" s="134"/>
      <c r="F392" s="134"/>
      <c r="G392" s="134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4.25" customHeight="1">
      <c r="A393" s="71"/>
      <c r="B393" s="71"/>
      <c r="C393" s="71"/>
      <c r="D393" s="71"/>
      <c r="E393" s="134"/>
      <c r="F393" s="134"/>
      <c r="G393" s="134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4.25" customHeight="1">
      <c r="A394" s="71"/>
      <c r="B394" s="71"/>
      <c r="C394" s="71"/>
      <c r="D394" s="71"/>
      <c r="E394" s="134"/>
      <c r="F394" s="134"/>
      <c r="G394" s="134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4.25" customHeight="1">
      <c r="A395" s="71"/>
      <c r="B395" s="71"/>
      <c r="C395" s="71"/>
      <c r="D395" s="71"/>
      <c r="E395" s="134"/>
      <c r="F395" s="134"/>
      <c r="G395" s="134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4.25" customHeight="1">
      <c r="A396" s="71"/>
      <c r="B396" s="71"/>
      <c r="C396" s="71"/>
      <c r="D396" s="71"/>
      <c r="E396" s="134"/>
      <c r="F396" s="134"/>
      <c r="G396" s="134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4.25" customHeight="1">
      <c r="A397" s="71"/>
      <c r="B397" s="71"/>
      <c r="C397" s="71"/>
      <c r="D397" s="71"/>
      <c r="E397" s="134"/>
      <c r="F397" s="134"/>
      <c r="G397" s="134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4.25" customHeight="1">
      <c r="A398" s="71"/>
      <c r="B398" s="71"/>
      <c r="C398" s="71"/>
      <c r="D398" s="71"/>
      <c r="E398" s="134"/>
      <c r="F398" s="134"/>
      <c r="G398" s="134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4.25" customHeight="1">
      <c r="A399" s="71"/>
      <c r="B399" s="71"/>
      <c r="C399" s="71"/>
      <c r="D399" s="71"/>
      <c r="E399" s="134"/>
      <c r="F399" s="134"/>
      <c r="G399" s="134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4.25" customHeight="1">
      <c r="A400" s="71"/>
      <c r="B400" s="71"/>
      <c r="C400" s="71"/>
      <c r="D400" s="71"/>
      <c r="E400" s="134"/>
      <c r="F400" s="134"/>
      <c r="G400" s="134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4.25" customHeight="1">
      <c r="A401" s="71"/>
      <c r="B401" s="71"/>
      <c r="C401" s="71"/>
      <c r="D401" s="71"/>
      <c r="E401" s="134"/>
      <c r="F401" s="134"/>
      <c r="G401" s="134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4.25" customHeight="1">
      <c r="A402" s="71"/>
      <c r="B402" s="71"/>
      <c r="C402" s="71"/>
      <c r="D402" s="71"/>
      <c r="E402" s="134"/>
      <c r="F402" s="134"/>
      <c r="G402" s="134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4.25" customHeight="1">
      <c r="A403" s="71"/>
      <c r="B403" s="71"/>
      <c r="C403" s="71"/>
      <c r="D403" s="71"/>
      <c r="E403" s="134"/>
      <c r="F403" s="134"/>
      <c r="G403" s="134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4.25" customHeight="1">
      <c r="A404" s="71"/>
      <c r="B404" s="71"/>
      <c r="C404" s="71"/>
      <c r="D404" s="71"/>
      <c r="E404" s="134"/>
      <c r="F404" s="134"/>
      <c r="G404" s="134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4.25" customHeight="1">
      <c r="A405" s="71"/>
      <c r="B405" s="71"/>
      <c r="C405" s="71"/>
      <c r="D405" s="71"/>
      <c r="E405" s="134"/>
      <c r="F405" s="134"/>
      <c r="G405" s="134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4.25" customHeight="1">
      <c r="A406" s="71"/>
      <c r="B406" s="71"/>
      <c r="C406" s="71"/>
      <c r="D406" s="71"/>
      <c r="E406" s="134"/>
      <c r="F406" s="134"/>
      <c r="G406" s="134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4.25" customHeight="1">
      <c r="A407" s="71"/>
      <c r="B407" s="71"/>
      <c r="C407" s="71"/>
      <c r="D407" s="71"/>
      <c r="E407" s="134"/>
      <c r="F407" s="134"/>
      <c r="G407" s="134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4.25" customHeight="1">
      <c r="A408" s="71"/>
      <c r="B408" s="71"/>
      <c r="C408" s="71"/>
      <c r="D408" s="71"/>
      <c r="E408" s="134"/>
      <c r="F408" s="134"/>
      <c r="G408" s="134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4.25" customHeight="1">
      <c r="A409" s="71"/>
      <c r="B409" s="71"/>
      <c r="C409" s="71"/>
      <c r="D409" s="71"/>
      <c r="E409" s="134"/>
      <c r="F409" s="134"/>
      <c r="G409" s="134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4.25" customHeight="1">
      <c r="A410" s="71"/>
      <c r="B410" s="71"/>
      <c r="C410" s="71"/>
      <c r="D410" s="71"/>
      <c r="E410" s="134"/>
      <c r="F410" s="134"/>
      <c r="G410" s="134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4.25" customHeight="1">
      <c r="A411" s="71"/>
      <c r="B411" s="71"/>
      <c r="C411" s="71"/>
      <c r="D411" s="71"/>
      <c r="E411" s="134"/>
      <c r="F411" s="134"/>
      <c r="G411" s="134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4.25" customHeight="1">
      <c r="A412" s="71"/>
      <c r="B412" s="71"/>
      <c r="C412" s="71"/>
      <c r="D412" s="71"/>
      <c r="E412" s="134"/>
      <c r="F412" s="134"/>
      <c r="G412" s="134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4.25" customHeight="1">
      <c r="A413" s="71"/>
      <c r="B413" s="71"/>
      <c r="C413" s="71"/>
      <c r="D413" s="71"/>
      <c r="E413" s="134"/>
      <c r="F413" s="134"/>
      <c r="G413" s="134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4.25" customHeight="1">
      <c r="A414" s="71"/>
      <c r="B414" s="71"/>
      <c r="C414" s="71"/>
      <c r="D414" s="71"/>
      <c r="E414" s="134"/>
      <c r="F414" s="134"/>
      <c r="G414" s="134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4.25" customHeight="1">
      <c r="A415" s="71"/>
      <c r="B415" s="71"/>
      <c r="C415" s="71"/>
      <c r="D415" s="71"/>
      <c r="E415" s="134"/>
      <c r="F415" s="134"/>
      <c r="G415" s="134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4.25" customHeight="1">
      <c r="A416" s="71"/>
      <c r="B416" s="71"/>
      <c r="C416" s="71"/>
      <c r="D416" s="71"/>
      <c r="E416" s="134"/>
      <c r="F416" s="134"/>
      <c r="G416" s="134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4.25" customHeight="1">
      <c r="A417" s="71"/>
      <c r="B417" s="71"/>
      <c r="C417" s="71"/>
      <c r="D417" s="71"/>
      <c r="E417" s="134"/>
      <c r="F417" s="134"/>
      <c r="G417" s="134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4.25" customHeight="1">
      <c r="A418" s="71"/>
      <c r="B418" s="71"/>
      <c r="C418" s="71"/>
      <c r="D418" s="71"/>
      <c r="E418" s="134"/>
      <c r="F418" s="134"/>
      <c r="G418" s="134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4.25" customHeight="1">
      <c r="A419" s="71"/>
      <c r="B419" s="71"/>
      <c r="C419" s="71"/>
      <c r="D419" s="71"/>
      <c r="E419" s="134"/>
      <c r="F419" s="134"/>
      <c r="G419" s="134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4.25" customHeight="1">
      <c r="A420" s="71"/>
      <c r="B420" s="71"/>
      <c r="C420" s="71"/>
      <c r="D420" s="71"/>
      <c r="E420" s="134"/>
      <c r="F420" s="134"/>
      <c r="G420" s="134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4.25" customHeight="1">
      <c r="A421" s="71"/>
      <c r="B421" s="71"/>
      <c r="C421" s="71"/>
      <c r="D421" s="71"/>
      <c r="E421" s="134"/>
      <c r="F421" s="134"/>
      <c r="G421" s="134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4.25" customHeight="1">
      <c r="A422" s="71"/>
      <c r="B422" s="71"/>
      <c r="C422" s="71"/>
      <c r="D422" s="71"/>
      <c r="E422" s="134"/>
      <c r="F422" s="134"/>
      <c r="G422" s="134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4.25" customHeight="1">
      <c r="A423" s="71"/>
      <c r="B423" s="71"/>
      <c r="C423" s="71"/>
      <c r="D423" s="71"/>
      <c r="E423" s="134"/>
      <c r="F423" s="134"/>
      <c r="G423" s="134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4.25" customHeight="1">
      <c r="A424" s="71"/>
      <c r="B424" s="71"/>
      <c r="C424" s="71"/>
      <c r="D424" s="71"/>
      <c r="E424" s="134"/>
      <c r="F424" s="134"/>
      <c r="G424" s="134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4.25" customHeight="1">
      <c r="A425" s="71"/>
      <c r="B425" s="71"/>
      <c r="C425" s="71"/>
      <c r="D425" s="71"/>
      <c r="E425" s="134"/>
      <c r="F425" s="134"/>
      <c r="G425" s="134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4.25" customHeight="1">
      <c r="A426" s="71"/>
      <c r="B426" s="71"/>
      <c r="C426" s="71"/>
      <c r="D426" s="71"/>
      <c r="E426" s="134"/>
      <c r="F426" s="134"/>
      <c r="G426" s="134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4.25" customHeight="1">
      <c r="A427" s="71"/>
      <c r="B427" s="71"/>
      <c r="C427" s="71"/>
      <c r="D427" s="71"/>
      <c r="E427" s="134"/>
      <c r="F427" s="134"/>
      <c r="G427" s="134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4.25" customHeight="1">
      <c r="A428" s="71"/>
      <c r="B428" s="71"/>
      <c r="C428" s="71"/>
      <c r="D428" s="71"/>
      <c r="E428" s="134"/>
      <c r="F428" s="134"/>
      <c r="G428" s="134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4.25" customHeight="1">
      <c r="A429" s="71"/>
      <c r="B429" s="71"/>
      <c r="C429" s="71"/>
      <c r="D429" s="71"/>
      <c r="E429" s="134"/>
      <c r="F429" s="134"/>
      <c r="G429" s="134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4.25" customHeight="1">
      <c r="A430" s="71"/>
      <c r="B430" s="71"/>
      <c r="C430" s="71"/>
      <c r="D430" s="71"/>
      <c r="E430" s="134"/>
      <c r="F430" s="134"/>
      <c r="G430" s="134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4.25" customHeight="1">
      <c r="A431" s="71"/>
      <c r="B431" s="71"/>
      <c r="C431" s="71"/>
      <c r="D431" s="71"/>
      <c r="E431" s="134"/>
      <c r="F431" s="134"/>
      <c r="G431" s="134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4.25" customHeight="1">
      <c r="A432" s="71"/>
      <c r="B432" s="71"/>
      <c r="C432" s="71"/>
      <c r="D432" s="71"/>
      <c r="E432" s="134"/>
      <c r="F432" s="134"/>
      <c r="G432" s="134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4.25" customHeight="1">
      <c r="A433" s="71"/>
      <c r="B433" s="71"/>
      <c r="C433" s="71"/>
      <c r="D433" s="71"/>
      <c r="E433" s="134"/>
      <c r="F433" s="134"/>
      <c r="G433" s="134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4.25" customHeight="1">
      <c r="A434" s="71"/>
      <c r="B434" s="71"/>
      <c r="C434" s="71"/>
      <c r="D434" s="71"/>
      <c r="E434" s="134"/>
      <c r="F434" s="134"/>
      <c r="G434" s="134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4.25" customHeight="1">
      <c r="A435" s="71"/>
      <c r="B435" s="71"/>
      <c r="C435" s="71"/>
      <c r="D435" s="71"/>
      <c r="E435" s="134"/>
      <c r="F435" s="134"/>
      <c r="G435" s="134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4.25" customHeight="1">
      <c r="A436" s="71"/>
      <c r="B436" s="71"/>
      <c r="C436" s="71"/>
      <c r="D436" s="71"/>
      <c r="E436" s="134"/>
      <c r="F436" s="134"/>
      <c r="G436" s="134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4.25" customHeight="1">
      <c r="A437" s="71"/>
      <c r="B437" s="71"/>
      <c r="C437" s="71"/>
      <c r="D437" s="71"/>
      <c r="E437" s="134"/>
      <c r="F437" s="134"/>
      <c r="G437" s="134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4.25" customHeight="1">
      <c r="A438" s="71"/>
      <c r="B438" s="71"/>
      <c r="C438" s="71"/>
      <c r="D438" s="71"/>
      <c r="E438" s="134"/>
      <c r="F438" s="134"/>
      <c r="G438" s="134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4.25" customHeight="1">
      <c r="A439" s="71"/>
      <c r="B439" s="71"/>
      <c r="C439" s="71"/>
      <c r="D439" s="71"/>
      <c r="E439" s="134"/>
      <c r="F439" s="134"/>
      <c r="G439" s="134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4.25" customHeight="1">
      <c r="A440" s="71"/>
      <c r="B440" s="71"/>
      <c r="C440" s="71"/>
      <c r="D440" s="71"/>
      <c r="E440" s="134"/>
      <c r="F440" s="134"/>
      <c r="G440" s="134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4.25" customHeight="1">
      <c r="A441" s="71"/>
      <c r="B441" s="71"/>
      <c r="C441" s="71"/>
      <c r="D441" s="71"/>
      <c r="E441" s="134"/>
      <c r="F441" s="134"/>
      <c r="G441" s="134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4.25" customHeight="1">
      <c r="A442" s="71"/>
      <c r="B442" s="71"/>
      <c r="C442" s="71"/>
      <c r="D442" s="71"/>
      <c r="E442" s="134"/>
      <c r="F442" s="134"/>
      <c r="G442" s="134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4.25" customHeight="1">
      <c r="A443" s="71"/>
      <c r="B443" s="71"/>
      <c r="C443" s="71"/>
      <c r="D443" s="71"/>
      <c r="E443" s="134"/>
      <c r="F443" s="134"/>
      <c r="G443" s="134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4.25" customHeight="1">
      <c r="A444" s="71"/>
      <c r="B444" s="71"/>
      <c r="C444" s="71"/>
      <c r="D444" s="71"/>
      <c r="E444" s="134"/>
      <c r="F444" s="134"/>
      <c r="G444" s="134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4.25" customHeight="1">
      <c r="A445" s="71"/>
      <c r="B445" s="71"/>
      <c r="C445" s="71"/>
      <c r="D445" s="71"/>
      <c r="E445" s="134"/>
      <c r="F445" s="134"/>
      <c r="G445" s="134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4.25" customHeight="1">
      <c r="A446" s="71"/>
      <c r="B446" s="71"/>
      <c r="C446" s="71"/>
      <c r="D446" s="71"/>
      <c r="E446" s="134"/>
      <c r="F446" s="134"/>
      <c r="G446" s="134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4.25" customHeight="1">
      <c r="A447" s="71"/>
      <c r="B447" s="71"/>
      <c r="C447" s="71"/>
      <c r="D447" s="71"/>
      <c r="E447" s="134"/>
      <c r="F447" s="134"/>
      <c r="G447" s="134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4.25" customHeight="1">
      <c r="A448" s="71"/>
      <c r="B448" s="71"/>
      <c r="C448" s="71"/>
      <c r="D448" s="71"/>
      <c r="E448" s="134"/>
      <c r="F448" s="134"/>
      <c r="G448" s="134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4.25" customHeight="1">
      <c r="A449" s="71"/>
      <c r="B449" s="71"/>
      <c r="C449" s="71"/>
      <c r="D449" s="71"/>
      <c r="E449" s="134"/>
      <c r="F449" s="134"/>
      <c r="G449" s="134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4.25" customHeight="1">
      <c r="A450" s="71"/>
      <c r="B450" s="71"/>
      <c r="C450" s="71"/>
      <c r="D450" s="71"/>
      <c r="E450" s="134"/>
      <c r="F450" s="134"/>
      <c r="G450" s="134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4.25" customHeight="1">
      <c r="A451" s="71"/>
      <c r="B451" s="71"/>
      <c r="C451" s="71"/>
      <c r="D451" s="71"/>
      <c r="E451" s="134"/>
      <c r="F451" s="134"/>
      <c r="G451" s="134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4.25" customHeight="1">
      <c r="A452" s="71"/>
      <c r="B452" s="71"/>
      <c r="C452" s="71"/>
      <c r="D452" s="71"/>
      <c r="E452" s="134"/>
      <c r="F452" s="134"/>
      <c r="G452" s="134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4.25" customHeight="1">
      <c r="A453" s="71"/>
      <c r="B453" s="71"/>
      <c r="C453" s="71"/>
      <c r="D453" s="71"/>
      <c r="E453" s="134"/>
      <c r="F453" s="134"/>
      <c r="G453" s="134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4.25" customHeight="1">
      <c r="A454" s="71"/>
      <c r="B454" s="71"/>
      <c r="C454" s="71"/>
      <c r="D454" s="71"/>
      <c r="E454" s="134"/>
      <c r="F454" s="134"/>
      <c r="G454" s="134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4.25" customHeight="1">
      <c r="A455" s="71"/>
      <c r="B455" s="71"/>
      <c r="C455" s="71"/>
      <c r="D455" s="71"/>
      <c r="E455" s="134"/>
      <c r="F455" s="134"/>
      <c r="G455" s="134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4.25" customHeight="1">
      <c r="A456" s="71"/>
      <c r="B456" s="71"/>
      <c r="C456" s="71"/>
      <c r="D456" s="71"/>
      <c r="E456" s="134"/>
      <c r="F456" s="134"/>
      <c r="G456" s="134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4.25" customHeight="1">
      <c r="A457" s="71"/>
      <c r="B457" s="71"/>
      <c r="C457" s="71"/>
      <c r="D457" s="71"/>
      <c r="E457" s="134"/>
      <c r="F457" s="134"/>
      <c r="G457" s="134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4.25" customHeight="1">
      <c r="A458" s="71"/>
      <c r="B458" s="71"/>
      <c r="C458" s="71"/>
      <c r="D458" s="71"/>
      <c r="E458" s="134"/>
      <c r="F458" s="134"/>
      <c r="G458" s="134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4.25" customHeight="1">
      <c r="A459" s="71"/>
      <c r="B459" s="71"/>
      <c r="C459" s="71"/>
      <c r="D459" s="71"/>
      <c r="E459" s="134"/>
      <c r="F459" s="134"/>
      <c r="G459" s="134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4.25" customHeight="1">
      <c r="A460" s="71"/>
      <c r="B460" s="71"/>
      <c r="C460" s="71"/>
      <c r="D460" s="71"/>
      <c r="E460" s="134"/>
      <c r="F460" s="134"/>
      <c r="G460" s="134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4.25" customHeight="1">
      <c r="A461" s="71"/>
      <c r="B461" s="71"/>
      <c r="C461" s="71"/>
      <c r="D461" s="71"/>
      <c r="E461" s="134"/>
      <c r="F461" s="134"/>
      <c r="G461" s="134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4.25" customHeight="1">
      <c r="A462" s="71"/>
      <c r="B462" s="71"/>
      <c r="C462" s="71"/>
      <c r="D462" s="71"/>
      <c r="E462" s="134"/>
      <c r="F462" s="134"/>
      <c r="G462" s="134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4.25" customHeight="1">
      <c r="A463" s="71"/>
      <c r="B463" s="71"/>
      <c r="C463" s="71"/>
      <c r="D463" s="71"/>
      <c r="E463" s="134"/>
      <c r="F463" s="134"/>
      <c r="G463" s="134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4.25" customHeight="1">
      <c r="A464" s="71"/>
      <c r="B464" s="71"/>
      <c r="C464" s="71"/>
      <c r="D464" s="71"/>
      <c r="E464" s="134"/>
      <c r="F464" s="134"/>
      <c r="G464" s="134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4.25" customHeight="1">
      <c r="A465" s="71"/>
      <c r="B465" s="71"/>
      <c r="C465" s="71"/>
      <c r="D465" s="71"/>
      <c r="E465" s="134"/>
      <c r="F465" s="134"/>
      <c r="G465" s="134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4.25" customHeight="1">
      <c r="A466" s="71"/>
      <c r="B466" s="71"/>
      <c r="C466" s="71"/>
      <c r="D466" s="71"/>
      <c r="E466" s="134"/>
      <c r="F466" s="134"/>
      <c r="G466" s="134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4.25" customHeight="1">
      <c r="A467" s="71"/>
      <c r="B467" s="71"/>
      <c r="C467" s="71"/>
      <c r="D467" s="71"/>
      <c r="E467" s="134"/>
      <c r="F467" s="134"/>
      <c r="G467" s="134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4.25" customHeight="1">
      <c r="A468" s="71"/>
      <c r="B468" s="71"/>
      <c r="C468" s="71"/>
      <c r="D468" s="71"/>
      <c r="E468" s="134"/>
      <c r="F468" s="134"/>
      <c r="G468" s="134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4.25" customHeight="1">
      <c r="A469" s="71"/>
      <c r="B469" s="71"/>
      <c r="C469" s="71"/>
      <c r="D469" s="71"/>
      <c r="E469" s="134"/>
      <c r="F469" s="134"/>
      <c r="G469" s="134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4.25" customHeight="1">
      <c r="A470" s="71"/>
      <c r="B470" s="71"/>
      <c r="C470" s="71"/>
      <c r="D470" s="71"/>
      <c r="E470" s="134"/>
      <c r="F470" s="134"/>
      <c r="G470" s="134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4.25" customHeight="1">
      <c r="A471" s="71"/>
      <c r="B471" s="71"/>
      <c r="C471" s="71"/>
      <c r="D471" s="71"/>
      <c r="E471" s="134"/>
      <c r="F471" s="134"/>
      <c r="G471" s="134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4.25" customHeight="1">
      <c r="A472" s="71"/>
      <c r="B472" s="71"/>
      <c r="C472" s="71"/>
      <c r="D472" s="71"/>
      <c r="E472" s="134"/>
      <c r="F472" s="134"/>
      <c r="G472" s="134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4.25" customHeight="1">
      <c r="A473" s="71"/>
      <c r="B473" s="71"/>
      <c r="C473" s="71"/>
      <c r="D473" s="71"/>
      <c r="E473" s="134"/>
      <c r="F473" s="134"/>
      <c r="G473" s="134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4.25" customHeight="1">
      <c r="A474" s="71"/>
      <c r="B474" s="71"/>
      <c r="C474" s="71"/>
      <c r="D474" s="71"/>
      <c r="E474" s="134"/>
      <c r="F474" s="134"/>
      <c r="G474" s="134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4.25" customHeight="1">
      <c r="A475" s="71"/>
      <c r="B475" s="71"/>
      <c r="C475" s="71"/>
      <c r="D475" s="71"/>
      <c r="E475" s="134"/>
      <c r="F475" s="134"/>
      <c r="G475" s="134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4.25" customHeight="1">
      <c r="A476" s="71"/>
      <c r="B476" s="71"/>
      <c r="C476" s="71"/>
      <c r="D476" s="71"/>
      <c r="E476" s="134"/>
      <c r="F476" s="134"/>
      <c r="G476" s="134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4.25" customHeight="1">
      <c r="A477" s="71"/>
      <c r="B477" s="71"/>
      <c r="C477" s="71"/>
      <c r="D477" s="71"/>
      <c r="E477" s="134"/>
      <c r="F477" s="134"/>
      <c r="G477" s="134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4.25" customHeight="1">
      <c r="A478" s="71"/>
      <c r="B478" s="71"/>
      <c r="C478" s="71"/>
      <c r="D478" s="71"/>
      <c r="E478" s="134"/>
      <c r="F478" s="134"/>
      <c r="G478" s="134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4.25" customHeight="1">
      <c r="A479" s="71"/>
      <c r="B479" s="71"/>
      <c r="C479" s="71"/>
      <c r="D479" s="71"/>
      <c r="E479" s="134"/>
      <c r="F479" s="134"/>
      <c r="G479" s="134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4.25" customHeight="1">
      <c r="A480" s="71"/>
      <c r="B480" s="71"/>
      <c r="C480" s="71"/>
      <c r="D480" s="71"/>
      <c r="E480" s="134"/>
      <c r="F480" s="134"/>
      <c r="G480" s="134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4.25" customHeight="1">
      <c r="A481" s="71"/>
      <c r="B481" s="71"/>
      <c r="C481" s="71"/>
      <c r="D481" s="71"/>
      <c r="E481" s="134"/>
      <c r="F481" s="134"/>
      <c r="G481" s="134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4.25" customHeight="1">
      <c r="A482" s="71"/>
      <c r="B482" s="71"/>
      <c r="C482" s="71"/>
      <c r="D482" s="71"/>
      <c r="E482" s="134"/>
      <c r="F482" s="134"/>
      <c r="G482" s="134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4.25" customHeight="1">
      <c r="A483" s="71"/>
      <c r="B483" s="71"/>
      <c r="C483" s="71"/>
      <c r="D483" s="71"/>
      <c r="E483" s="134"/>
      <c r="F483" s="134"/>
      <c r="G483" s="134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4.25" customHeight="1">
      <c r="A484" s="71"/>
      <c r="B484" s="71"/>
      <c r="C484" s="71"/>
      <c r="D484" s="71"/>
      <c r="E484" s="134"/>
      <c r="F484" s="134"/>
      <c r="G484" s="134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4.25" customHeight="1">
      <c r="A485" s="71"/>
      <c r="B485" s="71"/>
      <c r="C485" s="71"/>
      <c r="D485" s="71"/>
      <c r="E485" s="134"/>
      <c r="F485" s="134"/>
      <c r="G485" s="134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4.25" customHeight="1">
      <c r="A486" s="71"/>
      <c r="B486" s="71"/>
      <c r="C486" s="71"/>
      <c r="D486" s="71"/>
      <c r="E486" s="134"/>
      <c r="F486" s="134"/>
      <c r="G486" s="134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4.25" customHeight="1">
      <c r="A487" s="71"/>
      <c r="B487" s="71"/>
      <c r="C487" s="71"/>
      <c r="D487" s="71"/>
      <c r="E487" s="134"/>
      <c r="F487" s="134"/>
      <c r="G487" s="134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4.25" customHeight="1">
      <c r="A488" s="71"/>
      <c r="B488" s="71"/>
      <c r="C488" s="71"/>
      <c r="D488" s="71"/>
      <c r="E488" s="134"/>
      <c r="F488" s="134"/>
      <c r="G488" s="134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4.25" customHeight="1">
      <c r="A489" s="71"/>
      <c r="B489" s="71"/>
      <c r="C489" s="71"/>
      <c r="D489" s="71"/>
      <c r="E489" s="134"/>
      <c r="F489" s="134"/>
      <c r="G489" s="134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4.25" customHeight="1">
      <c r="A490" s="71"/>
      <c r="B490" s="71"/>
      <c r="C490" s="71"/>
      <c r="D490" s="71"/>
      <c r="E490" s="134"/>
      <c r="F490" s="134"/>
      <c r="G490" s="134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4.25" customHeight="1">
      <c r="A491" s="71"/>
      <c r="B491" s="71"/>
      <c r="C491" s="71"/>
      <c r="D491" s="71"/>
      <c r="E491" s="134"/>
      <c r="F491" s="134"/>
      <c r="G491" s="134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4.25" customHeight="1">
      <c r="A492" s="71"/>
      <c r="B492" s="71"/>
      <c r="C492" s="71"/>
      <c r="D492" s="71"/>
      <c r="E492" s="134"/>
      <c r="F492" s="134"/>
      <c r="G492" s="134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4.25" customHeight="1">
      <c r="A493" s="71"/>
      <c r="B493" s="71"/>
      <c r="C493" s="71"/>
      <c r="D493" s="71"/>
      <c r="E493" s="134"/>
      <c r="F493" s="134"/>
      <c r="G493" s="134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4.25" customHeight="1">
      <c r="A494" s="71"/>
      <c r="B494" s="71"/>
      <c r="C494" s="71"/>
      <c r="D494" s="71"/>
      <c r="E494" s="134"/>
      <c r="F494" s="134"/>
      <c r="G494" s="134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4.25" customHeight="1">
      <c r="A495" s="71"/>
      <c r="B495" s="71"/>
      <c r="C495" s="71"/>
      <c r="D495" s="71"/>
      <c r="E495" s="134"/>
      <c r="F495" s="134"/>
      <c r="G495" s="134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4.25" customHeight="1">
      <c r="A496" s="71"/>
      <c r="B496" s="71"/>
      <c r="C496" s="71"/>
      <c r="D496" s="71"/>
      <c r="E496" s="134"/>
      <c r="F496" s="134"/>
      <c r="G496" s="134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4.25" customHeight="1">
      <c r="A497" s="71"/>
      <c r="B497" s="71"/>
      <c r="C497" s="71"/>
      <c r="D497" s="71"/>
      <c r="E497" s="134"/>
      <c r="F497" s="134"/>
      <c r="G497" s="134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4.25" customHeight="1">
      <c r="A498" s="71"/>
      <c r="B498" s="71"/>
      <c r="C498" s="71"/>
      <c r="D498" s="71"/>
      <c r="E498" s="134"/>
      <c r="F498" s="134"/>
      <c r="G498" s="134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4.25" customHeight="1">
      <c r="A499" s="71"/>
      <c r="B499" s="71"/>
      <c r="C499" s="71"/>
      <c r="D499" s="71"/>
      <c r="E499" s="134"/>
      <c r="F499" s="134"/>
      <c r="G499" s="134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4.25" customHeight="1">
      <c r="A500" s="71"/>
      <c r="B500" s="71"/>
      <c r="C500" s="71"/>
      <c r="D500" s="71"/>
      <c r="E500" s="134"/>
      <c r="F500" s="134"/>
      <c r="G500" s="134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4.25" customHeight="1">
      <c r="A501" s="71"/>
      <c r="B501" s="71"/>
      <c r="C501" s="71"/>
      <c r="D501" s="71"/>
      <c r="E501" s="134"/>
      <c r="F501" s="134"/>
      <c r="G501" s="134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4.25" customHeight="1">
      <c r="A502" s="71"/>
      <c r="B502" s="71"/>
      <c r="C502" s="71"/>
      <c r="D502" s="71"/>
      <c r="E502" s="134"/>
      <c r="F502" s="134"/>
      <c r="G502" s="134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4.25" customHeight="1">
      <c r="A503" s="71"/>
      <c r="B503" s="71"/>
      <c r="C503" s="71"/>
      <c r="D503" s="71"/>
      <c r="E503" s="134"/>
      <c r="F503" s="134"/>
      <c r="G503" s="134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4.25" customHeight="1">
      <c r="A504" s="71"/>
      <c r="B504" s="71"/>
      <c r="C504" s="71"/>
      <c r="D504" s="71"/>
      <c r="E504" s="134"/>
      <c r="F504" s="134"/>
      <c r="G504" s="134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4.25" customHeight="1">
      <c r="A505" s="71"/>
      <c r="B505" s="71"/>
      <c r="C505" s="71"/>
      <c r="D505" s="71"/>
      <c r="E505" s="134"/>
      <c r="F505" s="134"/>
      <c r="G505" s="134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4.25" customHeight="1">
      <c r="A506" s="71"/>
      <c r="B506" s="71"/>
      <c r="C506" s="71"/>
      <c r="D506" s="71"/>
      <c r="E506" s="134"/>
      <c r="F506" s="134"/>
      <c r="G506" s="134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4.25" customHeight="1">
      <c r="A507" s="71"/>
      <c r="B507" s="71"/>
      <c r="C507" s="71"/>
      <c r="D507" s="71"/>
      <c r="E507" s="134"/>
      <c r="F507" s="134"/>
      <c r="G507" s="134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4.25" customHeight="1">
      <c r="A508" s="71"/>
      <c r="B508" s="71"/>
      <c r="C508" s="71"/>
      <c r="D508" s="71"/>
      <c r="E508" s="134"/>
      <c r="F508" s="134"/>
      <c r="G508" s="134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4.25" customHeight="1">
      <c r="A509" s="71"/>
      <c r="B509" s="71"/>
      <c r="C509" s="71"/>
      <c r="D509" s="71"/>
      <c r="E509" s="134"/>
      <c r="F509" s="134"/>
      <c r="G509" s="134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4.25" customHeight="1">
      <c r="A510" s="71"/>
      <c r="B510" s="71"/>
      <c r="C510" s="71"/>
      <c r="D510" s="71"/>
      <c r="E510" s="134"/>
      <c r="F510" s="134"/>
      <c r="G510" s="134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4.25" customHeight="1">
      <c r="A511" s="71"/>
      <c r="B511" s="71"/>
      <c r="C511" s="71"/>
      <c r="D511" s="71"/>
      <c r="E511" s="134"/>
      <c r="F511" s="134"/>
      <c r="G511" s="134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4.25" customHeight="1">
      <c r="A512" s="71"/>
      <c r="B512" s="71"/>
      <c r="C512" s="71"/>
      <c r="D512" s="71"/>
      <c r="E512" s="134"/>
      <c r="F512" s="134"/>
      <c r="G512" s="134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4.25" customHeight="1">
      <c r="A513" s="71"/>
      <c r="B513" s="71"/>
      <c r="C513" s="71"/>
      <c r="D513" s="71"/>
      <c r="E513" s="134"/>
      <c r="F513" s="134"/>
      <c r="G513" s="134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4.25" customHeight="1">
      <c r="A514" s="71"/>
      <c r="B514" s="71"/>
      <c r="C514" s="71"/>
      <c r="D514" s="71"/>
      <c r="E514" s="134"/>
      <c r="F514" s="134"/>
      <c r="G514" s="134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4.25" customHeight="1">
      <c r="A515" s="71"/>
      <c r="B515" s="71"/>
      <c r="C515" s="71"/>
      <c r="D515" s="71"/>
      <c r="E515" s="134"/>
      <c r="F515" s="134"/>
      <c r="G515" s="134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4.25" customHeight="1">
      <c r="A516" s="71"/>
      <c r="B516" s="71"/>
      <c r="C516" s="71"/>
      <c r="D516" s="71"/>
      <c r="E516" s="134"/>
      <c r="F516" s="134"/>
      <c r="G516" s="134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4.25" customHeight="1">
      <c r="A517" s="71"/>
      <c r="B517" s="71"/>
      <c r="C517" s="71"/>
      <c r="D517" s="71"/>
      <c r="E517" s="134"/>
      <c r="F517" s="134"/>
      <c r="G517" s="134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4.25" customHeight="1">
      <c r="A518" s="71"/>
      <c r="B518" s="71"/>
      <c r="C518" s="71"/>
      <c r="D518" s="71"/>
      <c r="E518" s="134"/>
      <c r="F518" s="134"/>
      <c r="G518" s="134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4.25" customHeight="1">
      <c r="A519" s="71"/>
      <c r="B519" s="71"/>
      <c r="C519" s="71"/>
      <c r="D519" s="71"/>
      <c r="E519" s="134"/>
      <c r="F519" s="134"/>
      <c r="G519" s="134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4.25" customHeight="1">
      <c r="A520" s="71"/>
      <c r="B520" s="71"/>
      <c r="C520" s="71"/>
      <c r="D520" s="71"/>
      <c r="E520" s="134"/>
      <c r="F520" s="134"/>
      <c r="G520" s="134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4.25" customHeight="1">
      <c r="A521" s="71"/>
      <c r="B521" s="71"/>
      <c r="C521" s="71"/>
      <c r="D521" s="71"/>
      <c r="E521" s="134"/>
      <c r="F521" s="134"/>
      <c r="G521" s="134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4.25" customHeight="1">
      <c r="A522" s="71"/>
      <c r="B522" s="71"/>
      <c r="C522" s="71"/>
      <c r="D522" s="71"/>
      <c r="E522" s="134"/>
      <c r="F522" s="134"/>
      <c r="G522" s="134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4.25" customHeight="1">
      <c r="A523" s="71"/>
      <c r="B523" s="71"/>
      <c r="C523" s="71"/>
      <c r="D523" s="71"/>
      <c r="E523" s="134"/>
      <c r="F523" s="134"/>
      <c r="G523" s="134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4.25" customHeight="1">
      <c r="A524" s="71"/>
      <c r="B524" s="71"/>
      <c r="C524" s="71"/>
      <c r="D524" s="71"/>
      <c r="E524" s="134"/>
      <c r="F524" s="134"/>
      <c r="G524" s="134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4.25" customHeight="1">
      <c r="A525" s="71"/>
      <c r="B525" s="71"/>
      <c r="C525" s="71"/>
      <c r="D525" s="71"/>
      <c r="E525" s="134"/>
      <c r="F525" s="134"/>
      <c r="G525" s="134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4.25" customHeight="1">
      <c r="A526" s="71"/>
      <c r="B526" s="71"/>
      <c r="C526" s="71"/>
      <c r="D526" s="71"/>
      <c r="E526" s="134"/>
      <c r="F526" s="134"/>
      <c r="G526" s="134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4.25" customHeight="1">
      <c r="A527" s="71"/>
      <c r="B527" s="71"/>
      <c r="C527" s="71"/>
      <c r="D527" s="71"/>
      <c r="E527" s="134"/>
      <c r="F527" s="134"/>
      <c r="G527" s="134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4.25" customHeight="1">
      <c r="A528" s="71"/>
      <c r="B528" s="71"/>
      <c r="C528" s="71"/>
      <c r="D528" s="71"/>
      <c r="E528" s="134"/>
      <c r="F528" s="134"/>
      <c r="G528" s="134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4.25" customHeight="1">
      <c r="A529" s="71"/>
      <c r="B529" s="71"/>
      <c r="C529" s="71"/>
      <c r="D529" s="71"/>
      <c r="E529" s="134"/>
      <c r="F529" s="134"/>
      <c r="G529" s="134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4.25" customHeight="1">
      <c r="A530" s="71"/>
      <c r="B530" s="71"/>
      <c r="C530" s="71"/>
      <c r="D530" s="71"/>
      <c r="E530" s="134"/>
      <c r="F530" s="134"/>
      <c r="G530" s="134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4.25" customHeight="1">
      <c r="A531" s="71"/>
      <c r="B531" s="71"/>
      <c r="C531" s="71"/>
      <c r="D531" s="71"/>
      <c r="E531" s="134"/>
      <c r="F531" s="134"/>
      <c r="G531" s="134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4.25" customHeight="1">
      <c r="A532" s="71"/>
      <c r="B532" s="71"/>
      <c r="C532" s="71"/>
      <c r="D532" s="71"/>
      <c r="E532" s="134"/>
      <c r="F532" s="134"/>
      <c r="G532" s="134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4.25" customHeight="1">
      <c r="A533" s="71"/>
      <c r="B533" s="71"/>
      <c r="C533" s="71"/>
      <c r="D533" s="71"/>
      <c r="E533" s="134"/>
      <c r="F533" s="134"/>
      <c r="G533" s="134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4.25" customHeight="1">
      <c r="A534" s="71"/>
      <c r="B534" s="71"/>
      <c r="C534" s="71"/>
      <c r="D534" s="71"/>
      <c r="E534" s="134"/>
      <c r="F534" s="134"/>
      <c r="G534" s="134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4.25" customHeight="1">
      <c r="A535" s="71"/>
      <c r="B535" s="71"/>
      <c r="C535" s="71"/>
      <c r="D535" s="71"/>
      <c r="E535" s="134"/>
      <c r="F535" s="134"/>
      <c r="G535" s="134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4.25" customHeight="1">
      <c r="A536" s="71"/>
      <c r="B536" s="71"/>
      <c r="C536" s="71"/>
      <c r="D536" s="71"/>
      <c r="E536" s="134"/>
      <c r="F536" s="134"/>
      <c r="G536" s="134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4.25" customHeight="1">
      <c r="A537" s="71"/>
      <c r="B537" s="71"/>
      <c r="C537" s="71"/>
      <c r="D537" s="71"/>
      <c r="E537" s="134"/>
      <c r="F537" s="134"/>
      <c r="G537" s="134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4.25" customHeight="1">
      <c r="A538" s="71"/>
      <c r="B538" s="71"/>
      <c r="C538" s="71"/>
      <c r="D538" s="71"/>
      <c r="E538" s="134"/>
      <c r="F538" s="134"/>
      <c r="G538" s="134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4.25" customHeight="1">
      <c r="A539" s="71"/>
      <c r="B539" s="71"/>
      <c r="C539" s="71"/>
      <c r="D539" s="71"/>
      <c r="E539" s="134"/>
      <c r="F539" s="134"/>
      <c r="G539" s="134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4.25" customHeight="1">
      <c r="A540" s="71"/>
      <c r="B540" s="71"/>
      <c r="C540" s="71"/>
      <c r="D540" s="71"/>
      <c r="E540" s="134"/>
      <c r="F540" s="134"/>
      <c r="G540" s="134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4.25" customHeight="1">
      <c r="A541" s="71"/>
      <c r="B541" s="71"/>
      <c r="C541" s="71"/>
      <c r="D541" s="71"/>
      <c r="E541" s="134"/>
      <c r="F541" s="134"/>
      <c r="G541" s="134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4.25" customHeight="1">
      <c r="A542" s="71"/>
      <c r="B542" s="71"/>
      <c r="C542" s="71"/>
      <c r="D542" s="71"/>
      <c r="E542" s="134"/>
      <c r="F542" s="134"/>
      <c r="G542" s="134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4.25" customHeight="1">
      <c r="A543" s="71"/>
      <c r="B543" s="71"/>
      <c r="C543" s="71"/>
      <c r="D543" s="71"/>
      <c r="E543" s="134"/>
      <c r="F543" s="134"/>
      <c r="G543" s="134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4.25" customHeight="1">
      <c r="A544" s="71"/>
      <c r="B544" s="71"/>
      <c r="C544" s="71"/>
      <c r="D544" s="71"/>
      <c r="E544" s="134"/>
      <c r="F544" s="134"/>
      <c r="G544" s="134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4.25" customHeight="1">
      <c r="A545" s="71"/>
      <c r="B545" s="71"/>
      <c r="C545" s="71"/>
      <c r="D545" s="71"/>
      <c r="E545" s="134"/>
      <c r="F545" s="134"/>
      <c r="G545" s="134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4.25" customHeight="1">
      <c r="A546" s="71"/>
      <c r="B546" s="71"/>
      <c r="C546" s="71"/>
      <c r="D546" s="71"/>
      <c r="E546" s="134"/>
      <c r="F546" s="134"/>
      <c r="G546" s="134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4.25" customHeight="1">
      <c r="A547" s="71"/>
      <c r="B547" s="71"/>
      <c r="C547" s="71"/>
      <c r="D547" s="71"/>
      <c r="E547" s="134"/>
      <c r="F547" s="134"/>
      <c r="G547" s="134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4.25" customHeight="1">
      <c r="A548" s="71"/>
      <c r="B548" s="71"/>
      <c r="C548" s="71"/>
      <c r="D548" s="71"/>
      <c r="E548" s="134"/>
      <c r="F548" s="134"/>
      <c r="G548" s="134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4.25" customHeight="1">
      <c r="A549" s="71"/>
      <c r="B549" s="71"/>
      <c r="C549" s="71"/>
      <c r="D549" s="71"/>
      <c r="E549" s="134"/>
      <c r="F549" s="134"/>
      <c r="G549" s="134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4.25" customHeight="1">
      <c r="A550" s="71"/>
      <c r="B550" s="71"/>
      <c r="C550" s="71"/>
      <c r="D550" s="71"/>
      <c r="E550" s="134"/>
      <c r="F550" s="134"/>
      <c r="G550" s="134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4.25" customHeight="1">
      <c r="A551" s="71"/>
      <c r="B551" s="71"/>
      <c r="C551" s="71"/>
      <c r="D551" s="71"/>
      <c r="E551" s="134"/>
      <c r="F551" s="134"/>
      <c r="G551" s="134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4.25" customHeight="1">
      <c r="A552" s="71"/>
      <c r="B552" s="71"/>
      <c r="C552" s="71"/>
      <c r="D552" s="71"/>
      <c r="E552" s="134"/>
      <c r="F552" s="134"/>
      <c r="G552" s="134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4.25" customHeight="1">
      <c r="A553" s="71"/>
      <c r="B553" s="71"/>
      <c r="C553" s="71"/>
      <c r="D553" s="71"/>
      <c r="E553" s="134"/>
      <c r="F553" s="134"/>
      <c r="G553" s="134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4.25" customHeight="1">
      <c r="A554" s="71"/>
      <c r="B554" s="71"/>
      <c r="C554" s="71"/>
      <c r="D554" s="71"/>
      <c r="E554" s="134"/>
      <c r="F554" s="134"/>
      <c r="G554" s="134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4.25" customHeight="1">
      <c r="A555" s="71"/>
      <c r="B555" s="71"/>
      <c r="C555" s="71"/>
      <c r="D555" s="71"/>
      <c r="E555" s="134"/>
      <c r="F555" s="134"/>
      <c r="G555" s="134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4.25" customHeight="1">
      <c r="A556" s="71"/>
      <c r="B556" s="71"/>
      <c r="C556" s="71"/>
      <c r="D556" s="71"/>
      <c r="E556" s="134"/>
      <c r="F556" s="134"/>
      <c r="G556" s="134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4.25" customHeight="1">
      <c r="A557" s="71"/>
      <c r="B557" s="71"/>
      <c r="C557" s="71"/>
      <c r="D557" s="71"/>
      <c r="E557" s="134"/>
      <c r="F557" s="134"/>
      <c r="G557" s="134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4.25" customHeight="1">
      <c r="A558" s="71"/>
      <c r="B558" s="71"/>
      <c r="C558" s="71"/>
      <c r="D558" s="71"/>
      <c r="E558" s="134"/>
      <c r="F558" s="134"/>
      <c r="G558" s="134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4.25" customHeight="1">
      <c r="A559" s="71"/>
      <c r="B559" s="71"/>
      <c r="C559" s="71"/>
      <c r="D559" s="71"/>
      <c r="E559" s="134"/>
      <c r="F559" s="134"/>
      <c r="G559" s="134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4.25" customHeight="1">
      <c r="A560" s="71"/>
      <c r="B560" s="71"/>
      <c r="C560" s="71"/>
      <c r="D560" s="71"/>
      <c r="E560" s="134"/>
      <c r="F560" s="134"/>
      <c r="G560" s="134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4.25" customHeight="1">
      <c r="A561" s="71"/>
      <c r="B561" s="71"/>
      <c r="C561" s="71"/>
      <c r="D561" s="71"/>
      <c r="E561" s="134"/>
      <c r="F561" s="134"/>
      <c r="G561" s="134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4.25" customHeight="1">
      <c r="A562" s="71"/>
      <c r="B562" s="71"/>
      <c r="C562" s="71"/>
      <c r="D562" s="71"/>
      <c r="E562" s="134"/>
      <c r="F562" s="134"/>
      <c r="G562" s="134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4.25" customHeight="1">
      <c r="A563" s="71"/>
      <c r="B563" s="71"/>
      <c r="C563" s="71"/>
      <c r="D563" s="71"/>
      <c r="E563" s="134"/>
      <c r="F563" s="134"/>
      <c r="G563" s="134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4.25" customHeight="1">
      <c r="A564" s="71"/>
      <c r="B564" s="71"/>
      <c r="C564" s="71"/>
      <c r="D564" s="71"/>
      <c r="E564" s="134"/>
      <c r="F564" s="134"/>
      <c r="G564" s="134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4.25" customHeight="1">
      <c r="A565" s="71"/>
      <c r="B565" s="71"/>
      <c r="C565" s="71"/>
      <c r="D565" s="71"/>
      <c r="E565" s="134"/>
      <c r="F565" s="134"/>
      <c r="G565" s="134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4.25" customHeight="1">
      <c r="A566" s="71"/>
      <c r="B566" s="71"/>
      <c r="C566" s="71"/>
      <c r="D566" s="71"/>
      <c r="E566" s="134"/>
      <c r="F566" s="134"/>
      <c r="G566" s="134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4.25" customHeight="1">
      <c r="A567" s="71"/>
      <c r="B567" s="71"/>
      <c r="C567" s="71"/>
      <c r="D567" s="71"/>
      <c r="E567" s="134"/>
      <c r="F567" s="134"/>
      <c r="G567" s="134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4.25" customHeight="1">
      <c r="A568" s="71"/>
      <c r="B568" s="71"/>
      <c r="C568" s="71"/>
      <c r="D568" s="71"/>
      <c r="E568" s="134"/>
      <c r="F568" s="134"/>
      <c r="G568" s="134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4.25" customHeight="1">
      <c r="A569" s="71"/>
      <c r="B569" s="71"/>
      <c r="C569" s="71"/>
      <c r="D569" s="71"/>
      <c r="E569" s="134"/>
      <c r="F569" s="134"/>
      <c r="G569" s="134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4.25" customHeight="1">
      <c r="A570" s="71"/>
      <c r="B570" s="71"/>
      <c r="C570" s="71"/>
      <c r="D570" s="71"/>
      <c r="E570" s="134"/>
      <c r="F570" s="134"/>
      <c r="G570" s="134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4.25" customHeight="1">
      <c r="A571" s="71"/>
      <c r="B571" s="71"/>
      <c r="C571" s="71"/>
      <c r="D571" s="71"/>
      <c r="E571" s="134"/>
      <c r="F571" s="134"/>
      <c r="G571" s="134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4.25" customHeight="1">
      <c r="A572" s="71"/>
      <c r="B572" s="71"/>
      <c r="C572" s="71"/>
      <c r="D572" s="71"/>
      <c r="E572" s="134"/>
      <c r="F572" s="134"/>
      <c r="G572" s="134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4.25" customHeight="1">
      <c r="A573" s="71"/>
      <c r="B573" s="71"/>
      <c r="C573" s="71"/>
      <c r="D573" s="71"/>
      <c r="E573" s="134"/>
      <c r="F573" s="134"/>
      <c r="G573" s="134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4.25" customHeight="1">
      <c r="A574" s="71"/>
      <c r="B574" s="71"/>
      <c r="C574" s="71"/>
      <c r="D574" s="71"/>
      <c r="E574" s="134"/>
      <c r="F574" s="134"/>
      <c r="G574" s="134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4.25" customHeight="1">
      <c r="A575" s="71"/>
      <c r="B575" s="71"/>
      <c r="C575" s="71"/>
      <c r="D575" s="71"/>
      <c r="E575" s="134"/>
      <c r="F575" s="134"/>
      <c r="G575" s="134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4.25" customHeight="1">
      <c r="A576" s="71"/>
      <c r="B576" s="71"/>
      <c r="C576" s="71"/>
      <c r="D576" s="71"/>
      <c r="E576" s="134"/>
      <c r="F576" s="134"/>
      <c r="G576" s="134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4.25" customHeight="1">
      <c r="A577" s="71"/>
      <c r="B577" s="71"/>
      <c r="C577" s="71"/>
      <c r="D577" s="71"/>
      <c r="E577" s="134"/>
      <c r="F577" s="134"/>
      <c r="G577" s="134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4.25" customHeight="1">
      <c r="A578" s="71"/>
      <c r="B578" s="71"/>
      <c r="C578" s="71"/>
      <c r="D578" s="71"/>
      <c r="E578" s="134"/>
      <c r="F578" s="134"/>
      <c r="G578" s="134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4.25" customHeight="1">
      <c r="A579" s="71"/>
      <c r="B579" s="71"/>
      <c r="C579" s="71"/>
      <c r="D579" s="71"/>
      <c r="E579" s="134"/>
      <c r="F579" s="134"/>
      <c r="G579" s="134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4.25" customHeight="1">
      <c r="A580" s="71"/>
      <c r="B580" s="71"/>
      <c r="C580" s="71"/>
      <c r="D580" s="71"/>
      <c r="E580" s="134"/>
      <c r="F580" s="134"/>
      <c r="G580" s="134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4.25" customHeight="1">
      <c r="A581" s="71"/>
      <c r="B581" s="71"/>
      <c r="C581" s="71"/>
      <c r="D581" s="71"/>
      <c r="E581" s="134"/>
      <c r="F581" s="134"/>
      <c r="G581" s="134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4.25" customHeight="1">
      <c r="A582" s="71"/>
      <c r="B582" s="71"/>
      <c r="C582" s="71"/>
      <c r="D582" s="71"/>
      <c r="E582" s="134"/>
      <c r="F582" s="134"/>
      <c r="G582" s="134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4.25" customHeight="1">
      <c r="A583" s="71"/>
      <c r="B583" s="71"/>
      <c r="C583" s="71"/>
      <c r="D583" s="71"/>
      <c r="E583" s="134"/>
      <c r="F583" s="134"/>
      <c r="G583" s="134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4.25" customHeight="1">
      <c r="A584" s="71"/>
      <c r="B584" s="71"/>
      <c r="C584" s="71"/>
      <c r="D584" s="71"/>
      <c r="E584" s="134"/>
      <c r="F584" s="134"/>
      <c r="G584" s="134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4.25" customHeight="1">
      <c r="A585" s="71"/>
      <c r="B585" s="71"/>
      <c r="C585" s="71"/>
      <c r="D585" s="71"/>
      <c r="E585" s="134"/>
      <c r="F585" s="134"/>
      <c r="G585" s="134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4.25" customHeight="1">
      <c r="A586" s="71"/>
      <c r="B586" s="71"/>
      <c r="C586" s="71"/>
      <c r="D586" s="71"/>
      <c r="E586" s="134"/>
      <c r="F586" s="134"/>
      <c r="G586" s="134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4.25" customHeight="1">
      <c r="A587" s="71"/>
      <c r="B587" s="71"/>
      <c r="C587" s="71"/>
      <c r="D587" s="71"/>
      <c r="E587" s="134"/>
      <c r="F587" s="134"/>
      <c r="G587" s="134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4.25" customHeight="1">
      <c r="A588" s="71"/>
      <c r="B588" s="71"/>
      <c r="C588" s="71"/>
      <c r="D588" s="71"/>
      <c r="E588" s="134"/>
      <c r="F588" s="134"/>
      <c r="G588" s="134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4.25" customHeight="1">
      <c r="A589" s="71"/>
      <c r="B589" s="71"/>
      <c r="C589" s="71"/>
      <c r="D589" s="71"/>
      <c r="E589" s="134"/>
      <c r="F589" s="134"/>
      <c r="G589" s="134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4.25" customHeight="1">
      <c r="A590" s="71"/>
      <c r="B590" s="71"/>
      <c r="C590" s="71"/>
      <c r="D590" s="71"/>
      <c r="E590" s="134"/>
      <c r="F590" s="134"/>
      <c r="G590" s="134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4.25" customHeight="1">
      <c r="A591" s="71"/>
      <c r="B591" s="71"/>
      <c r="C591" s="71"/>
      <c r="D591" s="71"/>
      <c r="E591" s="134"/>
      <c r="F591" s="134"/>
      <c r="G591" s="134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4.25" customHeight="1">
      <c r="A592" s="71"/>
      <c r="B592" s="71"/>
      <c r="C592" s="71"/>
      <c r="D592" s="71"/>
      <c r="E592" s="134"/>
      <c r="F592" s="134"/>
      <c r="G592" s="134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4.25" customHeight="1">
      <c r="A593" s="71"/>
      <c r="B593" s="71"/>
      <c r="C593" s="71"/>
      <c r="D593" s="71"/>
      <c r="E593" s="134"/>
      <c r="F593" s="134"/>
      <c r="G593" s="134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4.25" customHeight="1">
      <c r="A594" s="71"/>
      <c r="B594" s="71"/>
      <c r="C594" s="71"/>
      <c r="D594" s="71"/>
      <c r="E594" s="134"/>
      <c r="F594" s="134"/>
      <c r="G594" s="134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4.25" customHeight="1">
      <c r="A595" s="71"/>
      <c r="B595" s="71"/>
      <c r="C595" s="71"/>
      <c r="D595" s="71"/>
      <c r="E595" s="134"/>
      <c r="F595" s="134"/>
      <c r="G595" s="134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4.25" customHeight="1">
      <c r="A596" s="71"/>
      <c r="B596" s="71"/>
      <c r="C596" s="71"/>
      <c r="D596" s="71"/>
      <c r="E596" s="134"/>
      <c r="F596" s="134"/>
      <c r="G596" s="134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4.25" customHeight="1">
      <c r="A597" s="71"/>
      <c r="B597" s="71"/>
      <c r="C597" s="71"/>
      <c r="D597" s="71"/>
      <c r="E597" s="134"/>
      <c r="F597" s="134"/>
      <c r="G597" s="134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4.25" customHeight="1">
      <c r="A598" s="71"/>
      <c r="B598" s="71"/>
      <c r="C598" s="71"/>
      <c r="D598" s="71"/>
      <c r="E598" s="134"/>
      <c r="F598" s="134"/>
      <c r="G598" s="134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4.25" customHeight="1">
      <c r="A599" s="71"/>
      <c r="B599" s="71"/>
      <c r="C599" s="71"/>
      <c r="D599" s="71"/>
      <c r="E599" s="134"/>
      <c r="F599" s="134"/>
      <c r="G599" s="134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4.25" customHeight="1">
      <c r="A600" s="71"/>
      <c r="B600" s="71"/>
      <c r="C600" s="71"/>
      <c r="D600" s="71"/>
      <c r="E600" s="134"/>
      <c r="F600" s="134"/>
      <c r="G600" s="134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4.25" customHeight="1">
      <c r="A601" s="71"/>
      <c r="B601" s="71"/>
      <c r="C601" s="71"/>
      <c r="D601" s="71"/>
      <c r="E601" s="134"/>
      <c r="F601" s="134"/>
      <c r="G601" s="134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4.25" customHeight="1">
      <c r="A602" s="71"/>
      <c r="B602" s="71"/>
      <c r="C602" s="71"/>
      <c r="D602" s="71"/>
      <c r="E602" s="134"/>
      <c r="F602" s="134"/>
      <c r="G602" s="134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4.25" customHeight="1">
      <c r="A603" s="71"/>
      <c r="B603" s="71"/>
      <c r="C603" s="71"/>
      <c r="D603" s="71"/>
      <c r="E603" s="134"/>
      <c r="F603" s="134"/>
      <c r="G603" s="134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4.25" customHeight="1">
      <c r="A604" s="71"/>
      <c r="B604" s="71"/>
      <c r="C604" s="71"/>
      <c r="D604" s="71"/>
      <c r="E604" s="134"/>
      <c r="F604" s="134"/>
      <c r="G604" s="134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4.25" customHeight="1">
      <c r="A605" s="71"/>
      <c r="B605" s="71"/>
      <c r="C605" s="71"/>
      <c r="D605" s="71"/>
      <c r="E605" s="134"/>
      <c r="F605" s="134"/>
      <c r="G605" s="134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4.25" customHeight="1">
      <c r="A606" s="71"/>
      <c r="B606" s="71"/>
      <c r="C606" s="71"/>
      <c r="D606" s="71"/>
      <c r="E606" s="134"/>
      <c r="F606" s="134"/>
      <c r="G606" s="134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4.25" customHeight="1">
      <c r="A607" s="71"/>
      <c r="B607" s="71"/>
      <c r="C607" s="71"/>
      <c r="D607" s="71"/>
      <c r="E607" s="134"/>
      <c r="F607" s="134"/>
      <c r="G607" s="134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4.25" customHeight="1">
      <c r="A608" s="71"/>
      <c r="B608" s="71"/>
      <c r="C608" s="71"/>
      <c r="D608" s="71"/>
      <c r="E608" s="134"/>
      <c r="F608" s="134"/>
      <c r="G608" s="134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4.25" customHeight="1">
      <c r="A609" s="71"/>
      <c r="B609" s="71"/>
      <c r="C609" s="71"/>
      <c r="D609" s="71"/>
      <c r="E609" s="134"/>
      <c r="F609" s="134"/>
      <c r="G609" s="134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4.25" customHeight="1">
      <c r="A610" s="71"/>
      <c r="B610" s="71"/>
      <c r="C610" s="71"/>
      <c r="D610" s="71"/>
      <c r="E610" s="134"/>
      <c r="F610" s="134"/>
      <c r="G610" s="134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4.25" customHeight="1">
      <c r="A611" s="71"/>
      <c r="B611" s="71"/>
      <c r="C611" s="71"/>
      <c r="D611" s="71"/>
      <c r="E611" s="134"/>
      <c r="F611" s="134"/>
      <c r="G611" s="134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4.25" customHeight="1">
      <c r="A612" s="71"/>
      <c r="B612" s="71"/>
      <c r="C612" s="71"/>
      <c r="D612" s="71"/>
      <c r="E612" s="134"/>
      <c r="F612" s="134"/>
      <c r="G612" s="134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4.25" customHeight="1">
      <c r="A613" s="71"/>
      <c r="B613" s="71"/>
      <c r="C613" s="71"/>
      <c r="D613" s="71"/>
      <c r="E613" s="134"/>
      <c r="F613" s="134"/>
      <c r="G613" s="134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4.25" customHeight="1">
      <c r="A614" s="71"/>
      <c r="B614" s="71"/>
      <c r="C614" s="71"/>
      <c r="D614" s="71"/>
      <c r="E614" s="134"/>
      <c r="F614" s="134"/>
      <c r="G614" s="134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4.25" customHeight="1">
      <c r="A615" s="71"/>
      <c r="B615" s="71"/>
      <c r="C615" s="71"/>
      <c r="D615" s="71"/>
      <c r="E615" s="134"/>
      <c r="F615" s="134"/>
      <c r="G615" s="134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4.25" customHeight="1">
      <c r="A616" s="71"/>
      <c r="B616" s="71"/>
      <c r="C616" s="71"/>
      <c r="D616" s="71"/>
      <c r="E616" s="134"/>
      <c r="F616" s="134"/>
      <c r="G616" s="134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4.25" customHeight="1">
      <c r="A617" s="71"/>
      <c r="B617" s="71"/>
      <c r="C617" s="71"/>
      <c r="D617" s="71"/>
      <c r="E617" s="134"/>
      <c r="F617" s="134"/>
      <c r="G617" s="134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4.25" customHeight="1">
      <c r="A618" s="71"/>
      <c r="B618" s="71"/>
      <c r="C618" s="71"/>
      <c r="D618" s="71"/>
      <c r="E618" s="134"/>
      <c r="F618" s="134"/>
      <c r="G618" s="134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4.25" customHeight="1">
      <c r="A619" s="71"/>
      <c r="B619" s="71"/>
      <c r="C619" s="71"/>
      <c r="D619" s="71"/>
      <c r="E619" s="134"/>
      <c r="F619" s="134"/>
      <c r="G619" s="134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4.25" customHeight="1">
      <c r="A620" s="71"/>
      <c r="B620" s="71"/>
      <c r="C620" s="71"/>
      <c r="D620" s="71"/>
      <c r="E620" s="134"/>
      <c r="F620" s="134"/>
      <c r="G620" s="134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4.25" customHeight="1">
      <c r="A621" s="71"/>
      <c r="B621" s="71"/>
      <c r="C621" s="71"/>
      <c r="D621" s="71"/>
      <c r="E621" s="134"/>
      <c r="F621" s="134"/>
      <c r="G621" s="134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4.25" customHeight="1">
      <c r="A622" s="71"/>
      <c r="B622" s="71"/>
      <c r="C622" s="71"/>
      <c r="D622" s="71"/>
      <c r="E622" s="134"/>
      <c r="F622" s="134"/>
      <c r="G622" s="134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4.25" customHeight="1">
      <c r="A623" s="71"/>
      <c r="B623" s="71"/>
      <c r="C623" s="71"/>
      <c r="D623" s="71"/>
      <c r="E623" s="134"/>
      <c r="F623" s="134"/>
      <c r="G623" s="134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4.25" customHeight="1">
      <c r="A624" s="71"/>
      <c r="B624" s="71"/>
      <c r="C624" s="71"/>
      <c r="D624" s="71"/>
      <c r="E624" s="134"/>
      <c r="F624" s="134"/>
      <c r="G624" s="134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4.25" customHeight="1">
      <c r="A625" s="71"/>
      <c r="B625" s="71"/>
      <c r="C625" s="71"/>
      <c r="D625" s="71"/>
      <c r="E625" s="134"/>
      <c r="F625" s="134"/>
      <c r="G625" s="134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4.25" customHeight="1">
      <c r="A626" s="71"/>
      <c r="B626" s="71"/>
      <c r="C626" s="71"/>
      <c r="D626" s="71"/>
      <c r="E626" s="134"/>
      <c r="F626" s="134"/>
      <c r="G626" s="134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4.25" customHeight="1">
      <c r="A627" s="71"/>
      <c r="B627" s="71"/>
      <c r="C627" s="71"/>
      <c r="D627" s="71"/>
      <c r="E627" s="134"/>
      <c r="F627" s="134"/>
      <c r="G627" s="134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4.25" customHeight="1">
      <c r="A628" s="71"/>
      <c r="B628" s="71"/>
      <c r="C628" s="71"/>
      <c r="D628" s="71"/>
      <c r="E628" s="134"/>
      <c r="F628" s="134"/>
      <c r="G628" s="134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4.25" customHeight="1">
      <c r="A629" s="71"/>
      <c r="B629" s="71"/>
      <c r="C629" s="71"/>
      <c r="D629" s="71"/>
      <c r="E629" s="134"/>
      <c r="F629" s="134"/>
      <c r="G629" s="134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4.25" customHeight="1">
      <c r="A630" s="71"/>
      <c r="B630" s="71"/>
      <c r="C630" s="71"/>
      <c r="D630" s="71"/>
      <c r="E630" s="134"/>
      <c r="F630" s="134"/>
      <c r="G630" s="134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4.25" customHeight="1">
      <c r="A631" s="71"/>
      <c r="B631" s="71"/>
      <c r="C631" s="71"/>
      <c r="D631" s="71"/>
      <c r="E631" s="134"/>
      <c r="F631" s="134"/>
      <c r="G631" s="134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4.25" customHeight="1">
      <c r="A632" s="71"/>
      <c r="B632" s="71"/>
      <c r="C632" s="71"/>
      <c r="D632" s="71"/>
      <c r="E632" s="134"/>
      <c r="F632" s="134"/>
      <c r="G632" s="134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4.25" customHeight="1">
      <c r="A633" s="71"/>
      <c r="B633" s="71"/>
      <c r="C633" s="71"/>
      <c r="D633" s="71"/>
      <c r="E633" s="134"/>
      <c r="F633" s="134"/>
      <c r="G633" s="134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4.25" customHeight="1">
      <c r="A634" s="71"/>
      <c r="B634" s="71"/>
      <c r="C634" s="71"/>
      <c r="D634" s="71"/>
      <c r="E634" s="134"/>
      <c r="F634" s="134"/>
      <c r="G634" s="134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4.25" customHeight="1">
      <c r="A635" s="71"/>
      <c r="B635" s="71"/>
      <c r="C635" s="71"/>
      <c r="D635" s="71"/>
      <c r="E635" s="134"/>
      <c r="F635" s="134"/>
      <c r="G635" s="134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4.25" customHeight="1">
      <c r="A636" s="71"/>
      <c r="B636" s="71"/>
      <c r="C636" s="71"/>
      <c r="D636" s="71"/>
      <c r="E636" s="134"/>
      <c r="F636" s="134"/>
      <c r="G636" s="134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4.25" customHeight="1">
      <c r="A637" s="71"/>
      <c r="B637" s="71"/>
      <c r="C637" s="71"/>
      <c r="D637" s="71"/>
      <c r="E637" s="134"/>
      <c r="F637" s="134"/>
      <c r="G637" s="134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4.25" customHeight="1">
      <c r="A638" s="71"/>
      <c r="B638" s="71"/>
      <c r="C638" s="71"/>
      <c r="D638" s="71"/>
      <c r="E638" s="134"/>
      <c r="F638" s="134"/>
      <c r="G638" s="134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4.25" customHeight="1">
      <c r="A639" s="71"/>
      <c r="B639" s="71"/>
      <c r="C639" s="71"/>
      <c r="D639" s="71"/>
      <c r="E639" s="134"/>
      <c r="F639" s="134"/>
      <c r="G639" s="134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4.25" customHeight="1">
      <c r="A640" s="71"/>
      <c r="B640" s="71"/>
      <c r="C640" s="71"/>
      <c r="D640" s="71"/>
      <c r="E640" s="134"/>
      <c r="F640" s="134"/>
      <c r="G640" s="134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4.25" customHeight="1">
      <c r="A641" s="71"/>
      <c r="B641" s="71"/>
      <c r="C641" s="71"/>
      <c r="D641" s="71"/>
      <c r="E641" s="134"/>
      <c r="F641" s="134"/>
      <c r="G641" s="134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4.25" customHeight="1">
      <c r="A642" s="71"/>
      <c r="B642" s="71"/>
      <c r="C642" s="71"/>
      <c r="D642" s="71"/>
      <c r="E642" s="134"/>
      <c r="F642" s="134"/>
      <c r="G642" s="134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4.25" customHeight="1">
      <c r="A643" s="71"/>
      <c r="B643" s="71"/>
      <c r="C643" s="71"/>
      <c r="D643" s="71"/>
      <c r="E643" s="134"/>
      <c r="F643" s="134"/>
      <c r="G643" s="134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4.25" customHeight="1">
      <c r="A644" s="71"/>
      <c r="B644" s="71"/>
      <c r="C644" s="71"/>
      <c r="D644" s="71"/>
      <c r="E644" s="134"/>
      <c r="F644" s="134"/>
      <c r="G644" s="134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4.25" customHeight="1">
      <c r="A645" s="71"/>
      <c r="B645" s="71"/>
      <c r="C645" s="71"/>
      <c r="D645" s="71"/>
      <c r="E645" s="134"/>
      <c r="F645" s="134"/>
      <c r="G645" s="134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4.25" customHeight="1">
      <c r="A646" s="71"/>
      <c r="B646" s="71"/>
      <c r="C646" s="71"/>
      <c r="D646" s="71"/>
      <c r="E646" s="134"/>
      <c r="F646" s="134"/>
      <c r="G646" s="134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4.25" customHeight="1">
      <c r="A647" s="71"/>
      <c r="B647" s="71"/>
      <c r="C647" s="71"/>
      <c r="D647" s="71"/>
      <c r="E647" s="134"/>
      <c r="F647" s="134"/>
      <c r="G647" s="134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4.25" customHeight="1">
      <c r="A648" s="71"/>
      <c r="B648" s="71"/>
      <c r="C648" s="71"/>
      <c r="D648" s="71"/>
      <c r="E648" s="134"/>
      <c r="F648" s="134"/>
      <c r="G648" s="134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4.25" customHeight="1">
      <c r="A649" s="71"/>
      <c r="B649" s="71"/>
      <c r="C649" s="71"/>
      <c r="D649" s="71"/>
      <c r="E649" s="134"/>
      <c r="F649" s="134"/>
      <c r="G649" s="134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4.25" customHeight="1">
      <c r="A650" s="71"/>
      <c r="B650" s="71"/>
      <c r="C650" s="71"/>
      <c r="D650" s="71"/>
      <c r="E650" s="134"/>
      <c r="F650" s="134"/>
      <c r="G650" s="134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4.25" customHeight="1">
      <c r="A651" s="71"/>
      <c r="B651" s="71"/>
      <c r="C651" s="71"/>
      <c r="D651" s="71"/>
      <c r="E651" s="134"/>
      <c r="F651" s="134"/>
      <c r="G651" s="134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4.25" customHeight="1">
      <c r="A652" s="71"/>
      <c r="B652" s="71"/>
      <c r="C652" s="71"/>
      <c r="D652" s="71"/>
      <c r="E652" s="134"/>
      <c r="F652" s="134"/>
      <c r="G652" s="134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4.25" customHeight="1">
      <c r="A653" s="71"/>
      <c r="B653" s="71"/>
      <c r="C653" s="71"/>
      <c r="D653" s="71"/>
      <c r="E653" s="134"/>
      <c r="F653" s="134"/>
      <c r="G653" s="134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4.25" customHeight="1">
      <c r="A654" s="71"/>
      <c r="B654" s="71"/>
      <c r="C654" s="71"/>
      <c r="D654" s="71"/>
      <c r="E654" s="134"/>
      <c r="F654" s="134"/>
      <c r="G654" s="134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4.25" customHeight="1">
      <c r="A655" s="71"/>
      <c r="B655" s="71"/>
      <c r="C655" s="71"/>
      <c r="D655" s="71"/>
      <c r="E655" s="134"/>
      <c r="F655" s="134"/>
      <c r="G655" s="134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4.25" customHeight="1">
      <c r="A656" s="71"/>
      <c r="B656" s="71"/>
      <c r="C656" s="71"/>
      <c r="D656" s="71"/>
      <c r="E656" s="134"/>
      <c r="F656" s="134"/>
      <c r="G656" s="134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4.25" customHeight="1">
      <c r="A657" s="71"/>
      <c r="B657" s="71"/>
      <c r="C657" s="71"/>
      <c r="D657" s="71"/>
      <c r="E657" s="134"/>
      <c r="F657" s="134"/>
      <c r="G657" s="134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4.25" customHeight="1">
      <c r="A658" s="71"/>
      <c r="B658" s="71"/>
      <c r="C658" s="71"/>
      <c r="D658" s="71"/>
      <c r="E658" s="134"/>
      <c r="F658" s="134"/>
      <c r="G658" s="134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4.25" customHeight="1">
      <c r="A659" s="71"/>
      <c r="B659" s="71"/>
      <c r="C659" s="71"/>
      <c r="D659" s="71"/>
      <c r="E659" s="134"/>
      <c r="F659" s="134"/>
      <c r="G659" s="134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4.25" customHeight="1">
      <c r="A660" s="71"/>
      <c r="B660" s="71"/>
      <c r="C660" s="71"/>
      <c r="D660" s="71"/>
      <c r="E660" s="134"/>
      <c r="F660" s="134"/>
      <c r="G660" s="134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4.25" customHeight="1">
      <c r="A661" s="71"/>
      <c r="B661" s="71"/>
      <c r="C661" s="71"/>
      <c r="D661" s="71"/>
      <c r="E661" s="134"/>
      <c r="F661" s="134"/>
      <c r="G661" s="134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4.25" customHeight="1">
      <c r="A662" s="71"/>
      <c r="B662" s="71"/>
      <c r="C662" s="71"/>
      <c r="D662" s="71"/>
      <c r="E662" s="134"/>
      <c r="F662" s="134"/>
      <c r="G662" s="134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4.25" customHeight="1">
      <c r="A663" s="71"/>
      <c r="B663" s="71"/>
      <c r="C663" s="71"/>
      <c r="D663" s="71"/>
      <c r="E663" s="134"/>
      <c r="F663" s="134"/>
      <c r="G663" s="134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4.25" customHeight="1">
      <c r="A664" s="71"/>
      <c r="B664" s="71"/>
      <c r="C664" s="71"/>
      <c r="D664" s="71"/>
      <c r="E664" s="134"/>
      <c r="F664" s="134"/>
      <c r="G664" s="134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4.25" customHeight="1">
      <c r="A665" s="71"/>
      <c r="B665" s="71"/>
      <c r="C665" s="71"/>
      <c r="D665" s="71"/>
      <c r="E665" s="134"/>
      <c r="F665" s="134"/>
      <c r="G665" s="134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4.25" customHeight="1">
      <c r="A666" s="71"/>
      <c r="B666" s="71"/>
      <c r="C666" s="71"/>
      <c r="D666" s="71"/>
      <c r="E666" s="134"/>
      <c r="F666" s="134"/>
      <c r="G666" s="134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4.25" customHeight="1">
      <c r="A667" s="71"/>
      <c r="B667" s="71"/>
      <c r="C667" s="71"/>
      <c r="D667" s="71"/>
      <c r="E667" s="134"/>
      <c r="F667" s="134"/>
      <c r="G667" s="134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4.25" customHeight="1">
      <c r="A668" s="71"/>
      <c r="B668" s="71"/>
      <c r="C668" s="71"/>
      <c r="D668" s="71"/>
      <c r="E668" s="134"/>
      <c r="F668" s="134"/>
      <c r="G668" s="134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4.25" customHeight="1">
      <c r="A669" s="71"/>
      <c r="B669" s="71"/>
      <c r="C669" s="71"/>
      <c r="D669" s="71"/>
      <c r="E669" s="134"/>
      <c r="F669" s="134"/>
      <c r="G669" s="134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4.25" customHeight="1">
      <c r="A670" s="71"/>
      <c r="B670" s="71"/>
      <c r="C670" s="71"/>
      <c r="D670" s="71"/>
      <c r="E670" s="134"/>
      <c r="F670" s="134"/>
      <c r="G670" s="134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4.25" customHeight="1">
      <c r="A671" s="71"/>
      <c r="B671" s="71"/>
      <c r="C671" s="71"/>
      <c r="D671" s="71"/>
      <c r="E671" s="134"/>
      <c r="F671" s="134"/>
      <c r="G671" s="134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4.25" customHeight="1">
      <c r="A672" s="71"/>
      <c r="B672" s="71"/>
      <c r="C672" s="71"/>
      <c r="D672" s="71"/>
      <c r="E672" s="134"/>
      <c r="F672" s="134"/>
      <c r="G672" s="134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4.25" customHeight="1">
      <c r="A673" s="71"/>
      <c r="B673" s="71"/>
      <c r="C673" s="71"/>
      <c r="D673" s="71"/>
      <c r="E673" s="134"/>
      <c r="F673" s="134"/>
      <c r="G673" s="134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4.25" customHeight="1">
      <c r="A674" s="71"/>
      <c r="B674" s="71"/>
      <c r="C674" s="71"/>
      <c r="D674" s="71"/>
      <c r="E674" s="134"/>
      <c r="F674" s="134"/>
      <c r="G674" s="134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4.25" customHeight="1">
      <c r="A675" s="71"/>
      <c r="B675" s="71"/>
      <c r="C675" s="71"/>
      <c r="D675" s="71"/>
      <c r="E675" s="134"/>
      <c r="F675" s="134"/>
      <c r="G675" s="134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4.25" customHeight="1">
      <c r="A676" s="71"/>
      <c r="B676" s="71"/>
      <c r="C676" s="71"/>
      <c r="D676" s="71"/>
      <c r="E676" s="134"/>
      <c r="F676" s="134"/>
      <c r="G676" s="134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4.25" customHeight="1">
      <c r="A677" s="71"/>
      <c r="B677" s="71"/>
      <c r="C677" s="71"/>
      <c r="D677" s="71"/>
      <c r="E677" s="134"/>
      <c r="F677" s="134"/>
      <c r="G677" s="134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4.25" customHeight="1">
      <c r="A678" s="71"/>
      <c r="B678" s="71"/>
      <c r="C678" s="71"/>
      <c r="D678" s="71"/>
      <c r="E678" s="134"/>
      <c r="F678" s="134"/>
      <c r="G678" s="134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4.25" customHeight="1">
      <c r="A679" s="71"/>
      <c r="B679" s="71"/>
      <c r="C679" s="71"/>
      <c r="D679" s="71"/>
      <c r="E679" s="134"/>
      <c r="F679" s="134"/>
      <c r="G679" s="134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4.25" customHeight="1">
      <c r="A680" s="71"/>
      <c r="B680" s="71"/>
      <c r="C680" s="71"/>
      <c r="D680" s="71"/>
      <c r="E680" s="134"/>
      <c r="F680" s="134"/>
      <c r="G680" s="134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4.25" customHeight="1">
      <c r="A681" s="71"/>
      <c r="B681" s="71"/>
      <c r="C681" s="71"/>
      <c r="D681" s="71"/>
      <c r="E681" s="134"/>
      <c r="F681" s="134"/>
      <c r="G681" s="134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4.25" customHeight="1">
      <c r="A682" s="71"/>
      <c r="B682" s="71"/>
      <c r="C682" s="71"/>
      <c r="D682" s="71"/>
      <c r="E682" s="134"/>
      <c r="F682" s="134"/>
      <c r="G682" s="134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4.25" customHeight="1">
      <c r="A683" s="71"/>
      <c r="B683" s="71"/>
      <c r="C683" s="71"/>
      <c r="D683" s="71"/>
      <c r="E683" s="134"/>
      <c r="F683" s="134"/>
      <c r="G683" s="134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4.25" customHeight="1">
      <c r="A684" s="71"/>
      <c r="B684" s="71"/>
      <c r="C684" s="71"/>
      <c r="D684" s="71"/>
      <c r="E684" s="134"/>
      <c r="F684" s="134"/>
      <c r="G684" s="134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4.25" customHeight="1">
      <c r="A685" s="71"/>
      <c r="B685" s="71"/>
      <c r="C685" s="71"/>
      <c r="D685" s="71"/>
      <c r="E685" s="134"/>
      <c r="F685" s="134"/>
      <c r="G685" s="134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4.25" customHeight="1">
      <c r="A686" s="71"/>
      <c r="B686" s="71"/>
      <c r="C686" s="71"/>
      <c r="D686" s="71"/>
      <c r="E686" s="134"/>
      <c r="F686" s="134"/>
      <c r="G686" s="134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4.25" customHeight="1">
      <c r="A687" s="71"/>
      <c r="B687" s="71"/>
      <c r="C687" s="71"/>
      <c r="D687" s="71"/>
      <c r="E687" s="134"/>
      <c r="F687" s="134"/>
      <c r="G687" s="134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4.25" customHeight="1">
      <c r="A688" s="71"/>
      <c r="B688" s="71"/>
      <c r="C688" s="71"/>
      <c r="D688" s="71"/>
      <c r="E688" s="134"/>
      <c r="F688" s="134"/>
      <c r="G688" s="134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4.25" customHeight="1">
      <c r="A689" s="71"/>
      <c r="B689" s="71"/>
      <c r="C689" s="71"/>
      <c r="D689" s="71"/>
      <c r="E689" s="134"/>
      <c r="F689" s="134"/>
      <c r="G689" s="134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4.25" customHeight="1">
      <c r="A690" s="71"/>
      <c r="B690" s="71"/>
      <c r="C690" s="71"/>
      <c r="D690" s="71"/>
      <c r="E690" s="134"/>
      <c r="F690" s="134"/>
      <c r="G690" s="134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4.25" customHeight="1">
      <c r="A691" s="71"/>
      <c r="B691" s="71"/>
      <c r="C691" s="71"/>
      <c r="D691" s="71"/>
      <c r="E691" s="134"/>
      <c r="F691" s="134"/>
      <c r="G691" s="134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4.25" customHeight="1">
      <c r="A692" s="71"/>
      <c r="B692" s="71"/>
      <c r="C692" s="71"/>
      <c r="D692" s="71"/>
      <c r="E692" s="134"/>
      <c r="F692" s="134"/>
      <c r="G692" s="134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4.25" customHeight="1">
      <c r="A693" s="71"/>
      <c r="B693" s="71"/>
      <c r="C693" s="71"/>
      <c r="D693" s="71"/>
      <c r="E693" s="134"/>
      <c r="F693" s="134"/>
      <c r="G693" s="134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4.25" customHeight="1">
      <c r="A694" s="71"/>
      <c r="B694" s="71"/>
      <c r="C694" s="71"/>
      <c r="D694" s="71"/>
      <c r="E694" s="134"/>
      <c r="F694" s="134"/>
      <c r="G694" s="134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4.25" customHeight="1">
      <c r="A695" s="71"/>
      <c r="B695" s="71"/>
      <c r="C695" s="71"/>
      <c r="D695" s="71"/>
      <c r="E695" s="134"/>
      <c r="F695" s="134"/>
      <c r="G695" s="134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4.25" customHeight="1">
      <c r="A696" s="71"/>
      <c r="B696" s="71"/>
      <c r="C696" s="71"/>
      <c r="D696" s="71"/>
      <c r="E696" s="134"/>
      <c r="F696" s="134"/>
      <c r="G696" s="134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4.25" customHeight="1">
      <c r="A697" s="71"/>
      <c r="B697" s="71"/>
      <c r="C697" s="71"/>
      <c r="D697" s="71"/>
      <c r="E697" s="134"/>
      <c r="F697" s="134"/>
      <c r="G697" s="134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4.25" customHeight="1">
      <c r="A698" s="71"/>
      <c r="B698" s="71"/>
      <c r="C698" s="71"/>
      <c r="D698" s="71"/>
      <c r="E698" s="134"/>
      <c r="F698" s="134"/>
      <c r="G698" s="134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4.25" customHeight="1">
      <c r="A699" s="71"/>
      <c r="B699" s="71"/>
      <c r="C699" s="71"/>
      <c r="D699" s="71"/>
      <c r="E699" s="134"/>
      <c r="F699" s="134"/>
      <c r="G699" s="134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4.25" customHeight="1">
      <c r="A700" s="71"/>
      <c r="B700" s="71"/>
      <c r="C700" s="71"/>
      <c r="D700" s="71"/>
      <c r="E700" s="134"/>
      <c r="F700" s="134"/>
      <c r="G700" s="134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4.25" customHeight="1">
      <c r="A701" s="71"/>
      <c r="B701" s="71"/>
      <c r="C701" s="71"/>
      <c r="D701" s="71"/>
      <c r="E701" s="134"/>
      <c r="F701" s="134"/>
      <c r="G701" s="134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4.25" customHeight="1">
      <c r="A702" s="71"/>
      <c r="B702" s="71"/>
      <c r="C702" s="71"/>
      <c r="D702" s="71"/>
      <c r="E702" s="134"/>
      <c r="F702" s="134"/>
      <c r="G702" s="134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4.25" customHeight="1">
      <c r="A703" s="71"/>
      <c r="B703" s="71"/>
      <c r="C703" s="71"/>
      <c r="D703" s="71"/>
      <c r="E703" s="134"/>
      <c r="F703" s="134"/>
      <c r="G703" s="134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4.25" customHeight="1">
      <c r="A704" s="71"/>
      <c r="B704" s="71"/>
      <c r="C704" s="71"/>
      <c r="D704" s="71"/>
      <c r="E704" s="134"/>
      <c r="F704" s="134"/>
      <c r="G704" s="134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4.25" customHeight="1">
      <c r="A705" s="71"/>
      <c r="B705" s="71"/>
      <c r="C705" s="71"/>
      <c r="D705" s="71"/>
      <c r="E705" s="134"/>
      <c r="F705" s="134"/>
      <c r="G705" s="134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4.25" customHeight="1">
      <c r="A706" s="71"/>
      <c r="B706" s="71"/>
      <c r="C706" s="71"/>
      <c r="D706" s="71"/>
      <c r="E706" s="134"/>
      <c r="F706" s="134"/>
      <c r="G706" s="134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4.25" customHeight="1">
      <c r="A707" s="71"/>
      <c r="B707" s="71"/>
      <c r="C707" s="71"/>
      <c r="D707" s="71"/>
      <c r="E707" s="134"/>
      <c r="F707" s="134"/>
      <c r="G707" s="134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4.25" customHeight="1">
      <c r="A708" s="71"/>
      <c r="B708" s="71"/>
      <c r="C708" s="71"/>
      <c r="D708" s="71"/>
      <c r="E708" s="134"/>
      <c r="F708" s="134"/>
      <c r="G708" s="134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4.25" customHeight="1">
      <c r="A709" s="71"/>
      <c r="B709" s="71"/>
      <c r="C709" s="71"/>
      <c r="D709" s="71"/>
      <c r="E709" s="134"/>
      <c r="F709" s="134"/>
      <c r="G709" s="134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4.25" customHeight="1">
      <c r="A710" s="71"/>
      <c r="B710" s="71"/>
      <c r="C710" s="71"/>
      <c r="D710" s="71"/>
      <c r="E710" s="134"/>
      <c r="F710" s="134"/>
      <c r="G710" s="134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4.25" customHeight="1">
      <c r="A711" s="71"/>
      <c r="B711" s="71"/>
      <c r="C711" s="71"/>
      <c r="D711" s="71"/>
      <c r="E711" s="134"/>
      <c r="F711" s="134"/>
      <c r="G711" s="134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4.25" customHeight="1">
      <c r="A712" s="71"/>
      <c r="B712" s="71"/>
      <c r="C712" s="71"/>
      <c r="D712" s="71"/>
      <c r="E712" s="134"/>
      <c r="F712" s="134"/>
      <c r="G712" s="134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4.25" customHeight="1">
      <c r="A713" s="71"/>
      <c r="B713" s="71"/>
      <c r="C713" s="71"/>
      <c r="D713" s="71"/>
      <c r="E713" s="134"/>
      <c r="F713" s="134"/>
      <c r="G713" s="134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4.25" customHeight="1">
      <c r="A714" s="71"/>
      <c r="B714" s="71"/>
      <c r="C714" s="71"/>
      <c r="D714" s="71"/>
      <c r="E714" s="134"/>
      <c r="F714" s="134"/>
      <c r="G714" s="134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4.25" customHeight="1">
      <c r="A715" s="71"/>
      <c r="B715" s="71"/>
      <c r="C715" s="71"/>
      <c r="D715" s="71"/>
      <c r="E715" s="134"/>
      <c r="F715" s="134"/>
      <c r="G715" s="134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4.25" customHeight="1">
      <c r="A716" s="71"/>
      <c r="B716" s="71"/>
      <c r="C716" s="71"/>
      <c r="D716" s="71"/>
      <c r="E716" s="134"/>
      <c r="F716" s="134"/>
      <c r="G716" s="134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4.25" customHeight="1">
      <c r="A717" s="71"/>
      <c r="B717" s="71"/>
      <c r="C717" s="71"/>
      <c r="D717" s="71"/>
      <c r="E717" s="134"/>
      <c r="F717" s="134"/>
      <c r="G717" s="134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4.25" customHeight="1">
      <c r="A718" s="71"/>
      <c r="B718" s="71"/>
      <c r="C718" s="71"/>
      <c r="D718" s="71"/>
      <c r="E718" s="134"/>
      <c r="F718" s="134"/>
      <c r="G718" s="134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4.25" customHeight="1">
      <c r="A719" s="71"/>
      <c r="B719" s="71"/>
      <c r="C719" s="71"/>
      <c r="D719" s="71"/>
      <c r="E719" s="134"/>
      <c r="F719" s="134"/>
      <c r="G719" s="134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4.25" customHeight="1">
      <c r="A720" s="71"/>
      <c r="B720" s="71"/>
      <c r="C720" s="71"/>
      <c r="D720" s="71"/>
      <c r="E720" s="134"/>
      <c r="F720" s="134"/>
      <c r="G720" s="134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4.25" customHeight="1">
      <c r="A721" s="71"/>
      <c r="B721" s="71"/>
      <c r="C721" s="71"/>
      <c r="D721" s="71"/>
      <c r="E721" s="134"/>
      <c r="F721" s="134"/>
      <c r="G721" s="134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4.25" customHeight="1">
      <c r="A722" s="71"/>
      <c r="B722" s="71"/>
      <c r="C722" s="71"/>
      <c r="D722" s="71"/>
      <c r="E722" s="134"/>
      <c r="F722" s="134"/>
      <c r="G722" s="134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4.25" customHeight="1">
      <c r="A723" s="71"/>
      <c r="B723" s="71"/>
      <c r="C723" s="71"/>
      <c r="D723" s="71"/>
      <c r="E723" s="134"/>
      <c r="F723" s="134"/>
      <c r="G723" s="134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4.25" customHeight="1">
      <c r="A724" s="71"/>
      <c r="B724" s="71"/>
      <c r="C724" s="71"/>
      <c r="D724" s="71"/>
      <c r="E724" s="134"/>
      <c r="F724" s="134"/>
      <c r="G724" s="134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4.25" customHeight="1">
      <c r="A725" s="71"/>
      <c r="B725" s="71"/>
      <c r="C725" s="71"/>
      <c r="D725" s="71"/>
      <c r="E725" s="134"/>
      <c r="F725" s="134"/>
      <c r="G725" s="134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4.25" customHeight="1">
      <c r="A726" s="71"/>
      <c r="B726" s="71"/>
      <c r="C726" s="71"/>
      <c r="D726" s="71"/>
      <c r="E726" s="134"/>
      <c r="F726" s="134"/>
      <c r="G726" s="134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4.25" customHeight="1">
      <c r="A727" s="71"/>
      <c r="B727" s="71"/>
      <c r="C727" s="71"/>
      <c r="D727" s="71"/>
      <c r="E727" s="134"/>
      <c r="F727" s="134"/>
      <c r="G727" s="134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4.25" customHeight="1">
      <c r="A728" s="71"/>
      <c r="B728" s="71"/>
      <c r="C728" s="71"/>
      <c r="D728" s="71"/>
      <c r="E728" s="134"/>
      <c r="F728" s="134"/>
      <c r="G728" s="134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4.25" customHeight="1">
      <c r="A729" s="71"/>
      <c r="B729" s="71"/>
      <c r="C729" s="71"/>
      <c r="D729" s="71"/>
      <c r="E729" s="134"/>
      <c r="F729" s="134"/>
      <c r="G729" s="134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4.25" customHeight="1">
      <c r="A730" s="71"/>
      <c r="B730" s="71"/>
      <c r="C730" s="71"/>
      <c r="D730" s="71"/>
      <c r="E730" s="134"/>
      <c r="F730" s="134"/>
      <c r="G730" s="134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4.25" customHeight="1">
      <c r="A731" s="71"/>
      <c r="B731" s="71"/>
      <c r="C731" s="71"/>
      <c r="D731" s="71"/>
      <c r="E731" s="134"/>
      <c r="F731" s="134"/>
      <c r="G731" s="134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4.25" customHeight="1">
      <c r="A732" s="71"/>
      <c r="B732" s="71"/>
      <c r="C732" s="71"/>
      <c r="D732" s="71"/>
      <c r="E732" s="134"/>
      <c r="F732" s="134"/>
      <c r="G732" s="134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4.25" customHeight="1">
      <c r="A733" s="71"/>
      <c r="B733" s="71"/>
      <c r="C733" s="71"/>
      <c r="D733" s="71"/>
      <c r="E733" s="134"/>
      <c r="F733" s="134"/>
      <c r="G733" s="134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4.25" customHeight="1">
      <c r="A734" s="71"/>
      <c r="B734" s="71"/>
      <c r="C734" s="71"/>
      <c r="D734" s="71"/>
      <c r="E734" s="134"/>
      <c r="F734" s="134"/>
      <c r="G734" s="134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4.25" customHeight="1">
      <c r="A735" s="71"/>
      <c r="B735" s="71"/>
      <c r="C735" s="71"/>
      <c r="D735" s="71"/>
      <c r="E735" s="134"/>
      <c r="F735" s="134"/>
      <c r="G735" s="134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4.25" customHeight="1">
      <c r="A736" s="71"/>
      <c r="B736" s="71"/>
      <c r="C736" s="71"/>
      <c r="D736" s="71"/>
      <c r="E736" s="134"/>
      <c r="F736" s="134"/>
      <c r="G736" s="134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4.25" customHeight="1">
      <c r="A737" s="71"/>
      <c r="B737" s="71"/>
      <c r="C737" s="71"/>
      <c r="D737" s="71"/>
      <c r="E737" s="134"/>
      <c r="F737" s="134"/>
      <c r="G737" s="134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4.25" customHeight="1">
      <c r="A738" s="71"/>
      <c r="B738" s="71"/>
      <c r="C738" s="71"/>
      <c r="D738" s="71"/>
      <c r="E738" s="134"/>
      <c r="F738" s="134"/>
      <c r="G738" s="134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4.25" customHeight="1">
      <c r="A739" s="71"/>
      <c r="B739" s="71"/>
      <c r="C739" s="71"/>
      <c r="D739" s="71"/>
      <c r="E739" s="134"/>
      <c r="F739" s="134"/>
      <c r="G739" s="134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4.25" customHeight="1">
      <c r="A740" s="71"/>
      <c r="B740" s="71"/>
      <c r="C740" s="71"/>
      <c r="D740" s="71"/>
      <c r="E740" s="134"/>
      <c r="F740" s="134"/>
      <c r="G740" s="134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4.25" customHeight="1">
      <c r="A741" s="71"/>
      <c r="B741" s="71"/>
      <c r="C741" s="71"/>
      <c r="D741" s="71"/>
      <c r="E741" s="134"/>
      <c r="F741" s="134"/>
      <c r="G741" s="134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4.25" customHeight="1">
      <c r="A742" s="71"/>
      <c r="B742" s="71"/>
      <c r="C742" s="71"/>
      <c r="D742" s="71"/>
      <c r="E742" s="134"/>
      <c r="F742" s="134"/>
      <c r="G742" s="134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4.25" customHeight="1">
      <c r="A743" s="71"/>
      <c r="B743" s="71"/>
      <c r="C743" s="71"/>
      <c r="D743" s="71"/>
      <c r="E743" s="134"/>
      <c r="F743" s="134"/>
      <c r="G743" s="134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4.25" customHeight="1">
      <c r="A744" s="71"/>
      <c r="B744" s="71"/>
      <c r="C744" s="71"/>
      <c r="D744" s="71"/>
      <c r="E744" s="134"/>
      <c r="F744" s="134"/>
      <c r="G744" s="134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4.25" customHeight="1">
      <c r="A745" s="71"/>
      <c r="B745" s="71"/>
      <c r="C745" s="71"/>
      <c r="D745" s="71"/>
      <c r="E745" s="134"/>
      <c r="F745" s="134"/>
      <c r="G745" s="134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4.25" customHeight="1">
      <c r="A746" s="71"/>
      <c r="B746" s="71"/>
      <c r="C746" s="71"/>
      <c r="D746" s="71"/>
      <c r="E746" s="134"/>
      <c r="F746" s="134"/>
      <c r="G746" s="134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4.25" customHeight="1">
      <c r="A747" s="71"/>
      <c r="B747" s="71"/>
      <c r="C747" s="71"/>
      <c r="D747" s="71"/>
      <c r="E747" s="134"/>
      <c r="F747" s="134"/>
      <c r="G747" s="134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4.25" customHeight="1">
      <c r="A748" s="71"/>
      <c r="B748" s="71"/>
      <c r="C748" s="71"/>
      <c r="D748" s="71"/>
      <c r="E748" s="134"/>
      <c r="F748" s="134"/>
      <c r="G748" s="134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4.25" customHeight="1">
      <c r="A749" s="71"/>
      <c r="B749" s="71"/>
      <c r="C749" s="71"/>
      <c r="D749" s="71"/>
      <c r="E749" s="134"/>
      <c r="F749" s="134"/>
      <c r="G749" s="134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4.25" customHeight="1">
      <c r="A750" s="71"/>
      <c r="B750" s="71"/>
      <c r="C750" s="71"/>
      <c r="D750" s="71"/>
      <c r="E750" s="134"/>
      <c r="F750" s="134"/>
      <c r="G750" s="134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4.25" customHeight="1">
      <c r="A751" s="71"/>
      <c r="B751" s="71"/>
      <c r="C751" s="71"/>
      <c r="D751" s="71"/>
      <c r="E751" s="134"/>
      <c r="F751" s="134"/>
      <c r="G751" s="134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4.25" customHeight="1">
      <c r="A752" s="71"/>
      <c r="B752" s="71"/>
      <c r="C752" s="71"/>
      <c r="D752" s="71"/>
      <c r="E752" s="134"/>
      <c r="F752" s="134"/>
      <c r="G752" s="134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4.25" customHeight="1">
      <c r="A753" s="71"/>
      <c r="B753" s="71"/>
      <c r="C753" s="71"/>
      <c r="D753" s="71"/>
      <c r="E753" s="134"/>
      <c r="F753" s="134"/>
      <c r="G753" s="134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4.25" customHeight="1">
      <c r="A754" s="71"/>
      <c r="B754" s="71"/>
      <c r="C754" s="71"/>
      <c r="D754" s="71"/>
      <c r="E754" s="134"/>
      <c r="F754" s="134"/>
      <c r="G754" s="134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4.25" customHeight="1">
      <c r="A755" s="71"/>
      <c r="B755" s="71"/>
      <c r="C755" s="71"/>
      <c r="D755" s="71"/>
      <c r="E755" s="134"/>
      <c r="F755" s="134"/>
      <c r="G755" s="134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4.25" customHeight="1">
      <c r="A756" s="71"/>
      <c r="B756" s="71"/>
      <c r="C756" s="71"/>
      <c r="D756" s="71"/>
      <c r="E756" s="134"/>
      <c r="F756" s="134"/>
      <c r="G756" s="134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4.25" customHeight="1">
      <c r="A757" s="71"/>
      <c r="B757" s="71"/>
      <c r="C757" s="71"/>
      <c r="D757" s="71"/>
      <c r="E757" s="134"/>
      <c r="F757" s="134"/>
      <c r="G757" s="134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4.25" customHeight="1">
      <c r="A758" s="71"/>
      <c r="B758" s="71"/>
      <c r="C758" s="71"/>
      <c r="D758" s="71"/>
      <c r="E758" s="134"/>
      <c r="F758" s="134"/>
      <c r="G758" s="134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4.25" customHeight="1">
      <c r="A759" s="71"/>
      <c r="B759" s="71"/>
      <c r="C759" s="71"/>
      <c r="D759" s="71"/>
      <c r="E759" s="134"/>
      <c r="F759" s="134"/>
      <c r="G759" s="134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4.25" customHeight="1">
      <c r="A760" s="71"/>
      <c r="B760" s="71"/>
      <c r="C760" s="71"/>
      <c r="D760" s="71"/>
      <c r="E760" s="134"/>
      <c r="F760" s="134"/>
      <c r="G760" s="134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4.25" customHeight="1">
      <c r="A761" s="71"/>
      <c r="B761" s="71"/>
      <c r="C761" s="71"/>
      <c r="D761" s="71"/>
      <c r="E761" s="134"/>
      <c r="F761" s="134"/>
      <c r="G761" s="134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4.25" customHeight="1">
      <c r="A762" s="71"/>
      <c r="B762" s="71"/>
      <c r="C762" s="71"/>
      <c r="D762" s="71"/>
      <c r="E762" s="134"/>
      <c r="F762" s="134"/>
      <c r="G762" s="134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4.25" customHeight="1">
      <c r="A763" s="71"/>
      <c r="B763" s="71"/>
      <c r="C763" s="71"/>
      <c r="D763" s="71"/>
      <c r="E763" s="134"/>
      <c r="F763" s="134"/>
      <c r="G763" s="134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4.25" customHeight="1">
      <c r="A764" s="71"/>
      <c r="B764" s="71"/>
      <c r="C764" s="71"/>
      <c r="D764" s="71"/>
      <c r="E764" s="134"/>
      <c r="F764" s="134"/>
      <c r="G764" s="134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4.25" customHeight="1">
      <c r="A765" s="71"/>
      <c r="B765" s="71"/>
      <c r="C765" s="71"/>
      <c r="D765" s="71"/>
      <c r="E765" s="134"/>
      <c r="F765" s="134"/>
      <c r="G765" s="134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4.25" customHeight="1">
      <c r="A766" s="71"/>
      <c r="B766" s="71"/>
      <c r="C766" s="71"/>
      <c r="D766" s="71"/>
      <c r="E766" s="134"/>
      <c r="F766" s="134"/>
      <c r="G766" s="134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4.25" customHeight="1">
      <c r="A767" s="71"/>
      <c r="B767" s="71"/>
      <c r="C767" s="71"/>
      <c r="D767" s="71"/>
      <c r="E767" s="134"/>
      <c r="F767" s="134"/>
      <c r="G767" s="134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4.25" customHeight="1">
      <c r="A768" s="71"/>
      <c r="B768" s="71"/>
      <c r="C768" s="71"/>
      <c r="D768" s="71"/>
      <c r="E768" s="134"/>
      <c r="F768" s="134"/>
      <c r="G768" s="134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4.25" customHeight="1">
      <c r="A769" s="71"/>
      <c r="B769" s="71"/>
      <c r="C769" s="71"/>
      <c r="D769" s="71"/>
      <c r="E769" s="134"/>
      <c r="F769" s="134"/>
      <c r="G769" s="134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4.25" customHeight="1">
      <c r="A770" s="71"/>
      <c r="B770" s="71"/>
      <c r="C770" s="71"/>
      <c r="D770" s="71"/>
      <c r="E770" s="134"/>
      <c r="F770" s="134"/>
      <c r="G770" s="134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4.25" customHeight="1">
      <c r="A771" s="71"/>
      <c r="B771" s="71"/>
      <c r="C771" s="71"/>
      <c r="D771" s="71"/>
      <c r="E771" s="134"/>
      <c r="F771" s="134"/>
      <c r="G771" s="134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4.25" customHeight="1">
      <c r="A772" s="71"/>
      <c r="B772" s="71"/>
      <c r="C772" s="71"/>
      <c r="D772" s="71"/>
      <c r="E772" s="134"/>
      <c r="F772" s="134"/>
      <c r="G772" s="134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4.25" customHeight="1">
      <c r="A773" s="71"/>
      <c r="B773" s="71"/>
      <c r="C773" s="71"/>
      <c r="D773" s="71"/>
      <c r="E773" s="134"/>
      <c r="F773" s="134"/>
      <c r="G773" s="134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4.25" customHeight="1">
      <c r="A774" s="71"/>
      <c r="B774" s="71"/>
      <c r="C774" s="71"/>
      <c r="D774" s="71"/>
      <c r="E774" s="134"/>
      <c r="F774" s="134"/>
      <c r="G774" s="134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4.25" customHeight="1">
      <c r="A775" s="71"/>
      <c r="B775" s="71"/>
      <c r="C775" s="71"/>
      <c r="D775" s="71"/>
      <c r="E775" s="134"/>
      <c r="F775" s="134"/>
      <c r="G775" s="134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4.25" customHeight="1">
      <c r="A776" s="71"/>
      <c r="B776" s="71"/>
      <c r="C776" s="71"/>
      <c r="D776" s="71"/>
      <c r="E776" s="134"/>
      <c r="F776" s="134"/>
      <c r="G776" s="134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4.25" customHeight="1">
      <c r="A777" s="71"/>
      <c r="B777" s="71"/>
      <c r="C777" s="71"/>
      <c r="D777" s="71"/>
      <c r="E777" s="134"/>
      <c r="F777" s="134"/>
      <c r="G777" s="134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4.25" customHeight="1">
      <c r="A778" s="71"/>
      <c r="B778" s="71"/>
      <c r="C778" s="71"/>
      <c r="D778" s="71"/>
      <c r="E778" s="134"/>
      <c r="F778" s="134"/>
      <c r="G778" s="134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4.25" customHeight="1">
      <c r="A779" s="71"/>
      <c r="B779" s="71"/>
      <c r="C779" s="71"/>
      <c r="D779" s="71"/>
      <c r="E779" s="134"/>
      <c r="F779" s="134"/>
      <c r="G779" s="134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4.25" customHeight="1">
      <c r="A780" s="71"/>
      <c r="B780" s="71"/>
      <c r="C780" s="71"/>
      <c r="D780" s="71"/>
      <c r="E780" s="134"/>
      <c r="F780" s="134"/>
      <c r="G780" s="134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4.25" customHeight="1">
      <c r="A781" s="71"/>
      <c r="B781" s="71"/>
      <c r="C781" s="71"/>
      <c r="D781" s="71"/>
      <c r="E781" s="134"/>
      <c r="F781" s="134"/>
      <c r="G781" s="134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4.25" customHeight="1">
      <c r="A782" s="71"/>
      <c r="B782" s="71"/>
      <c r="C782" s="71"/>
      <c r="D782" s="71"/>
      <c r="E782" s="134"/>
      <c r="F782" s="134"/>
      <c r="G782" s="134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4.25" customHeight="1">
      <c r="A783" s="71"/>
      <c r="B783" s="71"/>
      <c r="C783" s="71"/>
      <c r="D783" s="71"/>
      <c r="E783" s="134"/>
      <c r="F783" s="134"/>
      <c r="G783" s="134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4.25" customHeight="1">
      <c r="A784" s="71"/>
      <c r="B784" s="71"/>
      <c r="C784" s="71"/>
      <c r="D784" s="71"/>
      <c r="E784" s="134"/>
      <c r="F784" s="134"/>
      <c r="G784" s="134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4.25" customHeight="1">
      <c r="A785" s="71"/>
      <c r="B785" s="71"/>
      <c r="C785" s="71"/>
      <c r="D785" s="71"/>
      <c r="E785" s="134"/>
      <c r="F785" s="134"/>
      <c r="G785" s="134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4.25" customHeight="1">
      <c r="A786" s="71"/>
      <c r="B786" s="71"/>
      <c r="C786" s="71"/>
      <c r="D786" s="71"/>
      <c r="E786" s="134"/>
      <c r="F786" s="134"/>
      <c r="G786" s="134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4.25" customHeight="1">
      <c r="A787" s="71"/>
      <c r="B787" s="71"/>
      <c r="C787" s="71"/>
      <c r="D787" s="71"/>
      <c r="E787" s="134"/>
      <c r="F787" s="134"/>
      <c r="G787" s="134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4.25" customHeight="1">
      <c r="A788" s="71"/>
      <c r="B788" s="71"/>
      <c r="C788" s="71"/>
      <c r="D788" s="71"/>
      <c r="E788" s="134"/>
      <c r="F788" s="134"/>
      <c r="G788" s="134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4.25" customHeight="1">
      <c r="A789" s="71"/>
      <c r="B789" s="71"/>
      <c r="C789" s="71"/>
      <c r="D789" s="71"/>
      <c r="E789" s="134"/>
      <c r="F789" s="134"/>
      <c r="G789" s="134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4.25" customHeight="1">
      <c r="A790" s="71"/>
      <c r="B790" s="71"/>
      <c r="C790" s="71"/>
      <c r="D790" s="71"/>
      <c r="E790" s="134"/>
      <c r="F790" s="134"/>
      <c r="G790" s="134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4.25" customHeight="1">
      <c r="A791" s="71"/>
      <c r="B791" s="71"/>
      <c r="C791" s="71"/>
      <c r="D791" s="71"/>
      <c r="E791" s="134"/>
      <c r="F791" s="134"/>
      <c r="G791" s="134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4.25" customHeight="1">
      <c r="A792" s="71"/>
      <c r="B792" s="71"/>
      <c r="C792" s="71"/>
      <c r="D792" s="71"/>
      <c r="E792" s="134"/>
      <c r="F792" s="134"/>
      <c r="G792" s="134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4.25" customHeight="1">
      <c r="A793" s="71"/>
      <c r="B793" s="71"/>
      <c r="C793" s="71"/>
      <c r="D793" s="71"/>
      <c r="E793" s="134"/>
      <c r="F793" s="134"/>
      <c r="G793" s="134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4.25" customHeight="1">
      <c r="A794" s="71"/>
      <c r="B794" s="71"/>
      <c r="C794" s="71"/>
      <c r="D794" s="71"/>
      <c r="E794" s="134"/>
      <c r="F794" s="134"/>
      <c r="G794" s="134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4.25" customHeight="1">
      <c r="A795" s="71"/>
      <c r="B795" s="71"/>
      <c r="C795" s="71"/>
      <c r="D795" s="71"/>
      <c r="E795" s="134"/>
      <c r="F795" s="134"/>
      <c r="G795" s="134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4.25" customHeight="1">
      <c r="A796" s="71"/>
      <c r="B796" s="71"/>
      <c r="C796" s="71"/>
      <c r="D796" s="71"/>
      <c r="E796" s="134"/>
      <c r="F796" s="134"/>
      <c r="G796" s="134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4.25" customHeight="1">
      <c r="A797" s="71"/>
      <c r="B797" s="71"/>
      <c r="C797" s="71"/>
      <c r="D797" s="71"/>
      <c r="E797" s="134"/>
      <c r="F797" s="134"/>
      <c r="G797" s="134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4.25" customHeight="1">
      <c r="A798" s="71"/>
      <c r="B798" s="71"/>
      <c r="C798" s="71"/>
      <c r="D798" s="71"/>
      <c r="E798" s="134"/>
      <c r="F798" s="134"/>
      <c r="G798" s="134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4.25" customHeight="1">
      <c r="A799" s="71"/>
      <c r="B799" s="71"/>
      <c r="C799" s="71"/>
      <c r="D799" s="71"/>
      <c r="E799" s="134"/>
      <c r="F799" s="134"/>
      <c r="G799" s="134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4.25" customHeight="1">
      <c r="A800" s="71"/>
      <c r="B800" s="71"/>
      <c r="C800" s="71"/>
      <c r="D800" s="71"/>
      <c r="E800" s="134"/>
      <c r="F800" s="134"/>
      <c r="G800" s="134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4.25" customHeight="1">
      <c r="A801" s="71"/>
      <c r="B801" s="71"/>
      <c r="C801" s="71"/>
      <c r="D801" s="71"/>
      <c r="E801" s="134"/>
      <c r="F801" s="134"/>
      <c r="G801" s="134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4.25" customHeight="1">
      <c r="A802" s="71"/>
      <c r="B802" s="71"/>
      <c r="C802" s="71"/>
      <c r="D802" s="71"/>
      <c r="E802" s="134"/>
      <c r="F802" s="134"/>
      <c r="G802" s="134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4.25" customHeight="1">
      <c r="A803" s="71"/>
      <c r="B803" s="71"/>
      <c r="C803" s="71"/>
      <c r="D803" s="71"/>
      <c r="E803" s="134"/>
      <c r="F803" s="134"/>
      <c r="G803" s="134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4.25" customHeight="1">
      <c r="A804" s="71"/>
      <c r="B804" s="71"/>
      <c r="C804" s="71"/>
      <c r="D804" s="71"/>
      <c r="E804" s="134"/>
      <c r="F804" s="134"/>
      <c r="G804" s="134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4.25" customHeight="1">
      <c r="A805" s="71"/>
      <c r="B805" s="71"/>
      <c r="C805" s="71"/>
      <c r="D805" s="71"/>
      <c r="E805" s="134"/>
      <c r="F805" s="134"/>
      <c r="G805" s="134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4.25" customHeight="1">
      <c r="A806" s="71"/>
      <c r="B806" s="71"/>
      <c r="C806" s="71"/>
      <c r="D806" s="71"/>
      <c r="E806" s="134"/>
      <c r="F806" s="134"/>
      <c r="G806" s="134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4.25" customHeight="1">
      <c r="A807" s="71"/>
      <c r="B807" s="71"/>
      <c r="C807" s="71"/>
      <c r="D807" s="71"/>
      <c r="E807" s="134"/>
      <c r="F807" s="134"/>
      <c r="G807" s="134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4.25" customHeight="1">
      <c r="A808" s="71"/>
      <c r="B808" s="71"/>
      <c r="C808" s="71"/>
      <c r="D808" s="71"/>
      <c r="E808" s="134"/>
      <c r="F808" s="134"/>
      <c r="G808" s="134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4.25" customHeight="1">
      <c r="A809" s="71"/>
      <c r="B809" s="71"/>
      <c r="C809" s="71"/>
      <c r="D809" s="71"/>
      <c r="E809" s="134"/>
      <c r="F809" s="134"/>
      <c r="G809" s="134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4.25" customHeight="1">
      <c r="A810" s="71"/>
      <c r="B810" s="71"/>
      <c r="C810" s="71"/>
      <c r="D810" s="71"/>
      <c r="E810" s="134"/>
      <c r="F810" s="134"/>
      <c r="G810" s="134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4.25" customHeight="1">
      <c r="A811" s="71"/>
      <c r="B811" s="71"/>
      <c r="C811" s="71"/>
      <c r="D811" s="71"/>
      <c r="E811" s="134"/>
      <c r="F811" s="134"/>
      <c r="G811" s="134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4.25" customHeight="1">
      <c r="A812" s="71"/>
      <c r="B812" s="71"/>
      <c r="C812" s="71"/>
      <c r="D812" s="71"/>
      <c r="E812" s="134"/>
      <c r="F812" s="134"/>
      <c r="G812" s="134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4.25" customHeight="1">
      <c r="A813" s="71"/>
      <c r="B813" s="71"/>
      <c r="C813" s="71"/>
      <c r="D813" s="71"/>
      <c r="E813" s="134"/>
      <c r="F813" s="134"/>
      <c r="G813" s="134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4.25" customHeight="1">
      <c r="A814" s="71"/>
      <c r="B814" s="71"/>
      <c r="C814" s="71"/>
      <c r="D814" s="71"/>
      <c r="E814" s="134"/>
      <c r="F814" s="134"/>
      <c r="G814" s="134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4.25" customHeight="1">
      <c r="A815" s="71"/>
      <c r="B815" s="71"/>
      <c r="C815" s="71"/>
      <c r="D815" s="71"/>
      <c r="E815" s="134"/>
      <c r="F815" s="134"/>
      <c r="G815" s="134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4.25" customHeight="1">
      <c r="A816" s="71"/>
      <c r="B816" s="71"/>
      <c r="C816" s="71"/>
      <c r="D816" s="71"/>
      <c r="E816" s="134"/>
      <c r="F816" s="134"/>
      <c r="G816" s="134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4.25" customHeight="1">
      <c r="A817" s="71"/>
      <c r="B817" s="71"/>
      <c r="C817" s="71"/>
      <c r="D817" s="71"/>
      <c r="E817" s="134"/>
      <c r="F817" s="134"/>
      <c r="G817" s="134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4.25" customHeight="1">
      <c r="A818" s="71"/>
      <c r="B818" s="71"/>
      <c r="C818" s="71"/>
      <c r="D818" s="71"/>
      <c r="E818" s="134"/>
      <c r="F818" s="134"/>
      <c r="G818" s="134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4.25" customHeight="1">
      <c r="A819" s="71"/>
      <c r="B819" s="71"/>
      <c r="C819" s="71"/>
      <c r="D819" s="71"/>
      <c r="E819" s="134"/>
      <c r="F819" s="134"/>
      <c r="G819" s="134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4.25" customHeight="1">
      <c r="A820" s="71"/>
      <c r="B820" s="71"/>
      <c r="C820" s="71"/>
      <c r="D820" s="71"/>
      <c r="E820" s="134"/>
      <c r="F820" s="134"/>
      <c r="G820" s="134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4.25" customHeight="1">
      <c r="A821" s="71"/>
      <c r="B821" s="71"/>
      <c r="C821" s="71"/>
      <c r="D821" s="71"/>
      <c r="E821" s="134"/>
      <c r="F821" s="134"/>
      <c r="G821" s="134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4.25" customHeight="1">
      <c r="A822" s="71"/>
      <c r="B822" s="71"/>
      <c r="C822" s="71"/>
      <c r="D822" s="71"/>
      <c r="E822" s="134"/>
      <c r="F822" s="134"/>
      <c r="G822" s="134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4.25" customHeight="1">
      <c r="A823" s="71"/>
      <c r="B823" s="71"/>
      <c r="C823" s="71"/>
      <c r="D823" s="71"/>
      <c r="E823" s="134"/>
      <c r="F823" s="134"/>
      <c r="G823" s="134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4.25" customHeight="1">
      <c r="A824" s="71"/>
      <c r="B824" s="71"/>
      <c r="C824" s="71"/>
      <c r="D824" s="71"/>
      <c r="E824" s="134"/>
      <c r="F824" s="134"/>
      <c r="G824" s="134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4.25" customHeight="1">
      <c r="A825" s="71"/>
      <c r="B825" s="71"/>
      <c r="C825" s="71"/>
      <c r="D825" s="71"/>
      <c r="E825" s="134"/>
      <c r="F825" s="134"/>
      <c r="G825" s="134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4.25" customHeight="1">
      <c r="A826" s="71"/>
      <c r="B826" s="71"/>
      <c r="C826" s="71"/>
      <c r="D826" s="71"/>
      <c r="E826" s="134"/>
      <c r="F826" s="134"/>
      <c r="G826" s="134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4.25" customHeight="1">
      <c r="A827" s="71"/>
      <c r="B827" s="71"/>
      <c r="C827" s="71"/>
      <c r="D827" s="71"/>
      <c r="E827" s="134"/>
      <c r="F827" s="134"/>
      <c r="G827" s="134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4.25" customHeight="1">
      <c r="A828" s="71"/>
      <c r="B828" s="71"/>
      <c r="C828" s="71"/>
      <c r="D828" s="71"/>
      <c r="E828" s="134"/>
      <c r="F828" s="134"/>
      <c r="G828" s="134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4.25" customHeight="1">
      <c r="A829" s="71"/>
      <c r="B829" s="71"/>
      <c r="C829" s="71"/>
      <c r="D829" s="71"/>
      <c r="E829" s="134"/>
      <c r="F829" s="134"/>
      <c r="G829" s="134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4.25" customHeight="1">
      <c r="A830" s="71"/>
      <c r="B830" s="71"/>
      <c r="C830" s="71"/>
      <c r="D830" s="71"/>
      <c r="E830" s="134"/>
      <c r="F830" s="134"/>
      <c r="G830" s="134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4.25" customHeight="1">
      <c r="A831" s="71"/>
      <c r="B831" s="71"/>
      <c r="C831" s="71"/>
      <c r="D831" s="71"/>
      <c r="E831" s="134"/>
      <c r="F831" s="134"/>
      <c r="G831" s="134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4.25" customHeight="1">
      <c r="A832" s="71"/>
      <c r="B832" s="71"/>
      <c r="C832" s="71"/>
      <c r="D832" s="71"/>
      <c r="E832" s="134"/>
      <c r="F832" s="134"/>
      <c r="G832" s="134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4.25" customHeight="1">
      <c r="A833" s="71"/>
      <c r="B833" s="71"/>
      <c r="C833" s="71"/>
      <c r="D833" s="71"/>
      <c r="E833" s="134"/>
      <c r="F833" s="134"/>
      <c r="G833" s="134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4.25" customHeight="1">
      <c r="A834" s="71"/>
      <c r="B834" s="71"/>
      <c r="C834" s="71"/>
      <c r="D834" s="71"/>
      <c r="E834" s="134"/>
      <c r="F834" s="134"/>
      <c r="G834" s="134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4.25" customHeight="1">
      <c r="A835" s="71"/>
      <c r="B835" s="71"/>
      <c r="C835" s="71"/>
      <c r="D835" s="71"/>
      <c r="E835" s="134"/>
      <c r="F835" s="134"/>
      <c r="G835" s="134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4.25" customHeight="1">
      <c r="A836" s="71"/>
      <c r="B836" s="71"/>
      <c r="C836" s="71"/>
      <c r="D836" s="71"/>
      <c r="E836" s="134"/>
      <c r="F836" s="134"/>
      <c r="G836" s="134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4.25" customHeight="1">
      <c r="A837" s="71"/>
      <c r="B837" s="71"/>
      <c r="C837" s="71"/>
      <c r="D837" s="71"/>
      <c r="E837" s="134"/>
      <c r="F837" s="134"/>
      <c r="G837" s="134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4.25" customHeight="1">
      <c r="A838" s="71"/>
      <c r="B838" s="71"/>
      <c r="C838" s="71"/>
      <c r="D838" s="71"/>
      <c r="E838" s="134"/>
      <c r="F838" s="134"/>
      <c r="G838" s="134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4.25" customHeight="1">
      <c r="A839" s="71"/>
      <c r="B839" s="71"/>
      <c r="C839" s="71"/>
      <c r="D839" s="71"/>
      <c r="E839" s="134"/>
      <c r="F839" s="134"/>
      <c r="G839" s="134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4.25" customHeight="1">
      <c r="A840" s="71"/>
      <c r="B840" s="71"/>
      <c r="C840" s="71"/>
      <c r="D840" s="71"/>
      <c r="E840" s="134"/>
      <c r="F840" s="134"/>
      <c r="G840" s="134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4.25" customHeight="1">
      <c r="A841" s="71"/>
      <c r="B841" s="71"/>
      <c r="C841" s="71"/>
      <c r="D841" s="71"/>
      <c r="E841" s="134"/>
      <c r="F841" s="134"/>
      <c r="G841" s="134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4.25" customHeight="1">
      <c r="A842" s="71"/>
      <c r="B842" s="71"/>
      <c r="C842" s="71"/>
      <c r="D842" s="71"/>
      <c r="E842" s="134"/>
      <c r="F842" s="134"/>
      <c r="G842" s="134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4.25" customHeight="1">
      <c r="A843" s="71"/>
      <c r="B843" s="71"/>
      <c r="C843" s="71"/>
      <c r="D843" s="71"/>
      <c r="E843" s="134"/>
      <c r="F843" s="134"/>
      <c r="G843" s="134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4.25" customHeight="1">
      <c r="A844" s="71"/>
      <c r="B844" s="71"/>
      <c r="C844" s="71"/>
      <c r="D844" s="71"/>
      <c r="E844" s="134"/>
      <c r="F844" s="134"/>
      <c r="G844" s="134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4.25" customHeight="1">
      <c r="A845" s="71"/>
      <c r="B845" s="71"/>
      <c r="C845" s="71"/>
      <c r="D845" s="71"/>
      <c r="E845" s="134"/>
      <c r="F845" s="134"/>
      <c r="G845" s="134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4.25" customHeight="1">
      <c r="A846" s="71"/>
      <c r="B846" s="71"/>
      <c r="C846" s="71"/>
      <c r="D846" s="71"/>
      <c r="E846" s="134"/>
      <c r="F846" s="134"/>
      <c r="G846" s="134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4.25" customHeight="1">
      <c r="A847" s="71"/>
      <c r="B847" s="71"/>
      <c r="C847" s="71"/>
      <c r="D847" s="71"/>
      <c r="E847" s="134"/>
      <c r="F847" s="134"/>
      <c r="G847" s="134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4.25" customHeight="1">
      <c r="A848" s="71"/>
      <c r="B848" s="71"/>
      <c r="C848" s="71"/>
      <c r="D848" s="71"/>
      <c r="E848" s="134"/>
      <c r="F848" s="134"/>
      <c r="G848" s="134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4.25" customHeight="1">
      <c r="A849" s="71"/>
      <c r="B849" s="71"/>
      <c r="C849" s="71"/>
      <c r="D849" s="71"/>
      <c r="E849" s="134"/>
      <c r="F849" s="134"/>
      <c r="G849" s="134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4.25" customHeight="1">
      <c r="A850" s="71"/>
      <c r="B850" s="71"/>
      <c r="C850" s="71"/>
      <c r="D850" s="71"/>
      <c r="E850" s="134"/>
      <c r="F850" s="134"/>
      <c r="G850" s="134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4.25" customHeight="1">
      <c r="A851" s="71"/>
      <c r="B851" s="71"/>
      <c r="C851" s="71"/>
      <c r="D851" s="71"/>
      <c r="E851" s="134"/>
      <c r="F851" s="134"/>
      <c r="G851" s="134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4.25" customHeight="1">
      <c r="A852" s="71"/>
      <c r="B852" s="71"/>
      <c r="C852" s="71"/>
      <c r="D852" s="71"/>
      <c r="E852" s="134"/>
      <c r="F852" s="134"/>
      <c r="G852" s="134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4.25" customHeight="1">
      <c r="A853" s="71"/>
      <c r="B853" s="71"/>
      <c r="C853" s="71"/>
      <c r="D853" s="71"/>
      <c r="E853" s="134"/>
      <c r="F853" s="134"/>
      <c r="G853" s="134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4.25" customHeight="1">
      <c r="A854" s="71"/>
      <c r="B854" s="71"/>
      <c r="C854" s="71"/>
      <c r="D854" s="71"/>
      <c r="E854" s="134"/>
      <c r="F854" s="134"/>
      <c r="G854" s="134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4.25" customHeight="1">
      <c r="A855" s="71"/>
      <c r="B855" s="71"/>
      <c r="C855" s="71"/>
      <c r="D855" s="71"/>
      <c r="E855" s="134"/>
      <c r="F855" s="134"/>
      <c r="G855" s="134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4.25" customHeight="1">
      <c r="A856" s="71"/>
      <c r="B856" s="71"/>
      <c r="C856" s="71"/>
      <c r="D856" s="71"/>
      <c r="E856" s="134"/>
      <c r="F856" s="134"/>
      <c r="G856" s="134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4.25" customHeight="1">
      <c r="A857" s="71"/>
      <c r="B857" s="71"/>
      <c r="C857" s="71"/>
      <c r="D857" s="71"/>
      <c r="E857" s="134"/>
      <c r="F857" s="134"/>
      <c r="G857" s="134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4.25" customHeight="1">
      <c r="A858" s="71"/>
      <c r="B858" s="71"/>
      <c r="C858" s="71"/>
      <c r="D858" s="71"/>
      <c r="E858" s="134"/>
      <c r="F858" s="134"/>
      <c r="G858" s="134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4.25" customHeight="1">
      <c r="A859" s="71"/>
      <c r="B859" s="71"/>
      <c r="C859" s="71"/>
      <c r="D859" s="71"/>
      <c r="E859" s="134"/>
      <c r="F859" s="134"/>
      <c r="G859" s="134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4.25" customHeight="1">
      <c r="A860" s="71"/>
      <c r="B860" s="71"/>
      <c r="C860" s="71"/>
      <c r="D860" s="71"/>
      <c r="E860" s="134"/>
      <c r="F860" s="134"/>
      <c r="G860" s="134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4.25" customHeight="1">
      <c r="A861" s="71"/>
      <c r="B861" s="71"/>
      <c r="C861" s="71"/>
      <c r="D861" s="71"/>
      <c r="E861" s="134"/>
      <c r="F861" s="134"/>
      <c r="G861" s="134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4.25" customHeight="1">
      <c r="A862" s="71"/>
      <c r="B862" s="71"/>
      <c r="C862" s="71"/>
      <c r="D862" s="71"/>
      <c r="E862" s="134"/>
      <c r="F862" s="134"/>
      <c r="G862" s="134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4.25" customHeight="1">
      <c r="A863" s="71"/>
      <c r="B863" s="71"/>
      <c r="C863" s="71"/>
      <c r="D863" s="71"/>
      <c r="E863" s="134"/>
      <c r="F863" s="134"/>
      <c r="G863" s="134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4.25" customHeight="1">
      <c r="A864" s="71"/>
      <c r="B864" s="71"/>
      <c r="C864" s="71"/>
      <c r="D864" s="71"/>
      <c r="E864" s="134"/>
      <c r="F864" s="134"/>
      <c r="G864" s="134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4.25" customHeight="1">
      <c r="A865" s="71"/>
      <c r="B865" s="71"/>
      <c r="C865" s="71"/>
      <c r="D865" s="71"/>
      <c r="E865" s="134"/>
      <c r="F865" s="134"/>
      <c r="G865" s="134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4.25" customHeight="1">
      <c r="A866" s="71"/>
      <c r="B866" s="71"/>
      <c r="C866" s="71"/>
      <c r="D866" s="71"/>
      <c r="E866" s="134"/>
      <c r="F866" s="134"/>
      <c r="G866" s="134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4.25" customHeight="1">
      <c r="A867" s="71"/>
      <c r="B867" s="71"/>
      <c r="C867" s="71"/>
      <c r="D867" s="71"/>
      <c r="E867" s="134"/>
      <c r="F867" s="134"/>
      <c r="G867" s="134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4.25" customHeight="1">
      <c r="A868" s="71"/>
      <c r="B868" s="71"/>
      <c r="C868" s="71"/>
      <c r="D868" s="71"/>
      <c r="E868" s="134"/>
      <c r="F868" s="134"/>
      <c r="G868" s="134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4.25" customHeight="1">
      <c r="A869" s="71"/>
      <c r="B869" s="71"/>
      <c r="C869" s="71"/>
      <c r="D869" s="71"/>
      <c r="E869" s="134"/>
      <c r="F869" s="134"/>
      <c r="G869" s="134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4.25" customHeight="1">
      <c r="A870" s="71"/>
      <c r="B870" s="71"/>
      <c r="C870" s="71"/>
      <c r="D870" s="71"/>
      <c r="E870" s="134"/>
      <c r="F870" s="134"/>
      <c r="G870" s="134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4.25" customHeight="1">
      <c r="A871" s="71"/>
      <c r="B871" s="71"/>
      <c r="C871" s="71"/>
      <c r="D871" s="71"/>
      <c r="E871" s="134"/>
      <c r="F871" s="134"/>
      <c r="G871" s="134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4.25" customHeight="1">
      <c r="A872" s="71"/>
      <c r="B872" s="71"/>
      <c r="C872" s="71"/>
      <c r="D872" s="71"/>
      <c r="E872" s="134"/>
      <c r="F872" s="134"/>
      <c r="G872" s="134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4.25" customHeight="1">
      <c r="A873" s="71"/>
      <c r="B873" s="71"/>
      <c r="C873" s="71"/>
      <c r="D873" s="71"/>
      <c r="E873" s="134"/>
      <c r="F873" s="134"/>
      <c r="G873" s="134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4.25" customHeight="1">
      <c r="A874" s="71"/>
      <c r="B874" s="71"/>
      <c r="C874" s="71"/>
      <c r="D874" s="71"/>
      <c r="E874" s="134"/>
      <c r="F874" s="134"/>
      <c r="G874" s="134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4.25" customHeight="1">
      <c r="A875" s="71"/>
      <c r="B875" s="71"/>
      <c r="C875" s="71"/>
      <c r="D875" s="71"/>
      <c r="E875" s="134"/>
      <c r="F875" s="134"/>
      <c r="G875" s="134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4.25" customHeight="1">
      <c r="A876" s="71"/>
      <c r="B876" s="71"/>
      <c r="C876" s="71"/>
      <c r="D876" s="71"/>
      <c r="E876" s="134"/>
      <c r="F876" s="134"/>
      <c r="G876" s="134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4.25" customHeight="1">
      <c r="A877" s="71"/>
      <c r="B877" s="71"/>
      <c r="C877" s="71"/>
      <c r="D877" s="71"/>
      <c r="E877" s="134"/>
      <c r="F877" s="134"/>
      <c r="G877" s="134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4.25" customHeight="1">
      <c r="A878" s="71"/>
      <c r="B878" s="71"/>
      <c r="C878" s="71"/>
      <c r="D878" s="71"/>
      <c r="E878" s="134"/>
      <c r="F878" s="134"/>
      <c r="G878" s="134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4.25" customHeight="1">
      <c r="A879" s="71"/>
      <c r="B879" s="71"/>
      <c r="C879" s="71"/>
      <c r="D879" s="71"/>
      <c r="E879" s="134"/>
      <c r="F879" s="134"/>
      <c r="G879" s="134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4.25" customHeight="1">
      <c r="A880" s="71"/>
      <c r="B880" s="71"/>
      <c r="C880" s="71"/>
      <c r="D880" s="71"/>
      <c r="E880" s="134"/>
      <c r="F880" s="134"/>
      <c r="G880" s="134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4.25" customHeight="1">
      <c r="A881" s="71"/>
      <c r="B881" s="71"/>
      <c r="C881" s="71"/>
      <c r="D881" s="71"/>
      <c r="E881" s="134"/>
      <c r="F881" s="134"/>
      <c r="G881" s="134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4.25" customHeight="1">
      <c r="A882" s="71"/>
      <c r="B882" s="71"/>
      <c r="C882" s="71"/>
      <c r="D882" s="71"/>
      <c r="E882" s="134"/>
      <c r="F882" s="134"/>
      <c r="G882" s="134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4.25" customHeight="1">
      <c r="A883" s="71"/>
      <c r="B883" s="71"/>
      <c r="C883" s="71"/>
      <c r="D883" s="71"/>
      <c r="E883" s="134"/>
      <c r="F883" s="134"/>
      <c r="G883" s="134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4.25" customHeight="1">
      <c r="A884" s="71"/>
      <c r="B884" s="71"/>
      <c r="C884" s="71"/>
      <c r="D884" s="71"/>
      <c r="E884" s="134"/>
      <c r="F884" s="134"/>
      <c r="G884" s="134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4.25" customHeight="1">
      <c r="A885" s="71"/>
      <c r="B885" s="71"/>
      <c r="C885" s="71"/>
      <c r="D885" s="71"/>
      <c r="E885" s="134"/>
      <c r="F885" s="134"/>
      <c r="G885" s="134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4.25" customHeight="1">
      <c r="A886" s="71"/>
      <c r="B886" s="71"/>
      <c r="C886" s="71"/>
      <c r="D886" s="71"/>
      <c r="E886" s="134"/>
      <c r="F886" s="134"/>
      <c r="G886" s="134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4.25" customHeight="1">
      <c r="A887" s="71"/>
      <c r="B887" s="71"/>
      <c r="C887" s="71"/>
      <c r="D887" s="71"/>
      <c r="E887" s="134"/>
      <c r="F887" s="134"/>
      <c r="G887" s="134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4.25" customHeight="1">
      <c r="A888" s="71"/>
      <c r="B888" s="71"/>
      <c r="C888" s="71"/>
      <c r="D888" s="71"/>
      <c r="E888" s="134"/>
      <c r="F888" s="134"/>
      <c r="G888" s="134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4.25" customHeight="1">
      <c r="A889" s="71"/>
      <c r="B889" s="71"/>
      <c r="C889" s="71"/>
      <c r="D889" s="71"/>
      <c r="E889" s="134"/>
      <c r="F889" s="134"/>
      <c r="G889" s="134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4.25" customHeight="1">
      <c r="A890" s="71"/>
      <c r="B890" s="71"/>
      <c r="C890" s="71"/>
      <c r="D890" s="71"/>
      <c r="E890" s="134"/>
      <c r="F890" s="134"/>
      <c r="G890" s="134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4.25" customHeight="1">
      <c r="A891" s="71"/>
      <c r="B891" s="71"/>
      <c r="C891" s="71"/>
      <c r="D891" s="71"/>
      <c r="E891" s="134"/>
      <c r="F891" s="134"/>
      <c r="G891" s="134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4.25" customHeight="1">
      <c r="A892" s="71"/>
      <c r="B892" s="71"/>
      <c r="C892" s="71"/>
      <c r="D892" s="71"/>
      <c r="E892" s="134"/>
      <c r="F892" s="134"/>
      <c r="G892" s="134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4.25" customHeight="1">
      <c r="A893" s="71"/>
      <c r="B893" s="71"/>
      <c r="C893" s="71"/>
      <c r="D893" s="71"/>
      <c r="E893" s="134"/>
      <c r="F893" s="134"/>
      <c r="G893" s="134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4.25" customHeight="1">
      <c r="A894" s="71"/>
      <c r="B894" s="71"/>
      <c r="C894" s="71"/>
      <c r="D894" s="71"/>
      <c r="E894" s="134"/>
      <c r="F894" s="134"/>
      <c r="G894" s="134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4.25" customHeight="1">
      <c r="A895" s="71"/>
      <c r="B895" s="71"/>
      <c r="C895" s="71"/>
      <c r="D895" s="71"/>
      <c r="E895" s="134"/>
      <c r="F895" s="134"/>
      <c r="G895" s="134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4.25" customHeight="1">
      <c r="A896" s="71"/>
      <c r="B896" s="71"/>
      <c r="C896" s="71"/>
      <c r="D896" s="71"/>
      <c r="E896" s="134"/>
      <c r="F896" s="134"/>
      <c r="G896" s="134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4.25" customHeight="1">
      <c r="A897" s="71"/>
      <c r="B897" s="71"/>
      <c r="C897" s="71"/>
      <c r="D897" s="71"/>
      <c r="E897" s="134"/>
      <c r="F897" s="134"/>
      <c r="G897" s="134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4.25" customHeight="1">
      <c r="A898" s="71"/>
      <c r="B898" s="71"/>
      <c r="C898" s="71"/>
      <c r="D898" s="71"/>
      <c r="E898" s="134"/>
      <c r="F898" s="134"/>
      <c r="G898" s="134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4.25" customHeight="1">
      <c r="A899" s="71"/>
      <c r="B899" s="71"/>
      <c r="C899" s="71"/>
      <c r="D899" s="71"/>
      <c r="E899" s="134"/>
      <c r="F899" s="134"/>
      <c r="G899" s="134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4.25" customHeight="1">
      <c r="A900" s="71"/>
      <c r="B900" s="71"/>
      <c r="C900" s="71"/>
      <c r="D900" s="71"/>
      <c r="E900" s="134"/>
      <c r="F900" s="134"/>
      <c r="G900" s="134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4.25" customHeight="1">
      <c r="A901" s="71"/>
      <c r="B901" s="71"/>
      <c r="C901" s="71"/>
      <c r="D901" s="71"/>
      <c r="E901" s="134"/>
      <c r="F901" s="134"/>
      <c r="G901" s="134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4.25" customHeight="1">
      <c r="A902" s="71"/>
      <c r="B902" s="71"/>
      <c r="C902" s="71"/>
      <c r="D902" s="71"/>
      <c r="E902" s="134"/>
      <c r="F902" s="134"/>
      <c r="G902" s="134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4.25" customHeight="1">
      <c r="A903" s="71"/>
      <c r="B903" s="71"/>
      <c r="C903" s="71"/>
      <c r="D903" s="71"/>
      <c r="E903" s="134"/>
      <c r="F903" s="134"/>
      <c r="G903" s="134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4.25" customHeight="1">
      <c r="A904" s="71"/>
      <c r="B904" s="71"/>
      <c r="C904" s="71"/>
      <c r="D904" s="71"/>
      <c r="E904" s="134"/>
      <c r="F904" s="134"/>
      <c r="G904" s="134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4.25" customHeight="1">
      <c r="A905" s="71"/>
      <c r="B905" s="71"/>
      <c r="C905" s="71"/>
      <c r="D905" s="71"/>
      <c r="E905" s="134"/>
      <c r="F905" s="134"/>
      <c r="G905" s="134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4.25" customHeight="1">
      <c r="A906" s="71"/>
      <c r="B906" s="71"/>
      <c r="C906" s="71"/>
      <c r="D906" s="71"/>
      <c r="E906" s="134"/>
      <c r="F906" s="134"/>
      <c r="G906" s="134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4.25" customHeight="1">
      <c r="A907" s="71"/>
      <c r="B907" s="71"/>
      <c r="C907" s="71"/>
      <c r="D907" s="71"/>
      <c r="E907" s="134"/>
      <c r="F907" s="134"/>
      <c r="G907" s="134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4.25" customHeight="1">
      <c r="A908" s="71"/>
      <c r="B908" s="71"/>
      <c r="C908" s="71"/>
      <c r="D908" s="71"/>
      <c r="E908" s="134"/>
      <c r="F908" s="134"/>
      <c r="G908" s="134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4.25" customHeight="1">
      <c r="A909" s="71"/>
      <c r="B909" s="71"/>
      <c r="C909" s="71"/>
      <c r="D909" s="71"/>
      <c r="E909" s="134"/>
      <c r="F909" s="134"/>
      <c r="G909" s="134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4.25" customHeight="1">
      <c r="A910" s="71"/>
      <c r="B910" s="71"/>
      <c r="C910" s="71"/>
      <c r="D910" s="71"/>
      <c r="E910" s="134"/>
      <c r="F910" s="134"/>
      <c r="G910" s="134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4.25" customHeight="1">
      <c r="A911" s="71"/>
      <c r="B911" s="71"/>
      <c r="C911" s="71"/>
      <c r="D911" s="71"/>
      <c r="E911" s="134"/>
      <c r="F911" s="134"/>
      <c r="G911" s="134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4.25" customHeight="1">
      <c r="A912" s="71"/>
      <c r="B912" s="71"/>
      <c r="C912" s="71"/>
      <c r="D912" s="71"/>
      <c r="E912" s="134"/>
      <c r="F912" s="134"/>
      <c r="G912" s="134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4.25" customHeight="1">
      <c r="A913" s="71"/>
      <c r="B913" s="71"/>
      <c r="C913" s="71"/>
      <c r="D913" s="71"/>
      <c r="E913" s="134"/>
      <c r="F913" s="134"/>
      <c r="G913" s="134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4.25" customHeight="1">
      <c r="A914" s="71"/>
      <c r="B914" s="71"/>
      <c r="C914" s="71"/>
      <c r="D914" s="71"/>
      <c r="E914" s="134"/>
      <c r="F914" s="134"/>
      <c r="G914" s="134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4.25" customHeight="1">
      <c r="A915" s="71"/>
      <c r="B915" s="71"/>
      <c r="C915" s="71"/>
      <c r="D915" s="71"/>
      <c r="E915" s="134"/>
      <c r="F915" s="134"/>
      <c r="G915" s="134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4.25" customHeight="1">
      <c r="A916" s="71"/>
      <c r="B916" s="71"/>
      <c r="C916" s="71"/>
      <c r="D916" s="71"/>
      <c r="E916" s="134"/>
      <c r="F916" s="134"/>
      <c r="G916" s="134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4.25" customHeight="1">
      <c r="A917" s="71"/>
      <c r="B917" s="71"/>
      <c r="C917" s="71"/>
      <c r="D917" s="71"/>
      <c r="E917" s="134"/>
      <c r="F917" s="134"/>
      <c r="G917" s="134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4.25" customHeight="1">
      <c r="A918" s="71"/>
      <c r="B918" s="71"/>
      <c r="C918" s="71"/>
      <c r="D918" s="71"/>
      <c r="E918" s="134"/>
      <c r="F918" s="134"/>
      <c r="G918" s="134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4.25" customHeight="1">
      <c r="A919" s="71"/>
      <c r="B919" s="71"/>
      <c r="C919" s="71"/>
      <c r="D919" s="71"/>
      <c r="E919" s="134"/>
      <c r="F919" s="134"/>
      <c r="G919" s="134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4.25" customHeight="1">
      <c r="A920" s="71"/>
      <c r="B920" s="71"/>
      <c r="C920" s="71"/>
      <c r="D920" s="71"/>
      <c r="E920" s="134"/>
      <c r="F920" s="134"/>
      <c r="G920" s="134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4.25" customHeight="1">
      <c r="A921" s="71"/>
      <c r="B921" s="71"/>
      <c r="C921" s="71"/>
      <c r="D921" s="71"/>
      <c r="E921" s="134"/>
      <c r="F921" s="134"/>
      <c r="G921" s="134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4.25" customHeight="1">
      <c r="A922" s="71"/>
      <c r="B922" s="71"/>
      <c r="C922" s="71"/>
      <c r="D922" s="71"/>
      <c r="E922" s="134"/>
      <c r="F922" s="134"/>
      <c r="G922" s="134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4.25" customHeight="1">
      <c r="A923" s="71"/>
      <c r="B923" s="71"/>
      <c r="C923" s="71"/>
      <c r="D923" s="71"/>
      <c r="E923" s="134"/>
      <c r="F923" s="134"/>
      <c r="G923" s="134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4.25" customHeight="1">
      <c r="A924" s="71"/>
      <c r="B924" s="71"/>
      <c r="C924" s="71"/>
      <c r="D924" s="71"/>
      <c r="E924" s="134"/>
      <c r="F924" s="134"/>
      <c r="G924" s="134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4.25" customHeight="1">
      <c r="A925" s="71"/>
      <c r="B925" s="71"/>
      <c r="C925" s="71"/>
      <c r="D925" s="71"/>
      <c r="E925" s="134"/>
      <c r="F925" s="134"/>
      <c r="G925" s="134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4.25" customHeight="1">
      <c r="A926" s="71"/>
      <c r="B926" s="71"/>
      <c r="C926" s="71"/>
      <c r="D926" s="71"/>
      <c r="E926" s="134"/>
      <c r="F926" s="134"/>
      <c r="G926" s="134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4.25" customHeight="1">
      <c r="A927" s="71"/>
      <c r="B927" s="71"/>
      <c r="C927" s="71"/>
      <c r="D927" s="71"/>
      <c r="E927" s="134"/>
      <c r="F927" s="134"/>
      <c r="G927" s="134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4.25" customHeight="1">
      <c r="A928" s="71"/>
      <c r="B928" s="71"/>
      <c r="C928" s="71"/>
      <c r="D928" s="71"/>
      <c r="E928" s="134"/>
      <c r="F928" s="134"/>
      <c r="G928" s="134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4.25" customHeight="1">
      <c r="A929" s="71"/>
      <c r="B929" s="71"/>
      <c r="C929" s="71"/>
      <c r="D929" s="71"/>
      <c r="E929" s="134"/>
      <c r="F929" s="134"/>
      <c r="G929" s="134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4.25" customHeight="1">
      <c r="A930" s="71"/>
      <c r="B930" s="71"/>
      <c r="C930" s="71"/>
      <c r="D930" s="71"/>
      <c r="E930" s="134"/>
      <c r="F930" s="134"/>
      <c r="G930" s="134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4.25" customHeight="1">
      <c r="A931" s="71"/>
      <c r="B931" s="71"/>
      <c r="C931" s="71"/>
      <c r="D931" s="71"/>
      <c r="E931" s="134"/>
      <c r="F931" s="134"/>
      <c r="G931" s="134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4.25" customHeight="1">
      <c r="A932" s="71"/>
      <c r="B932" s="71"/>
      <c r="C932" s="71"/>
      <c r="D932" s="71"/>
      <c r="E932" s="134"/>
      <c r="F932" s="134"/>
      <c r="G932" s="134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4.25" customHeight="1">
      <c r="A933" s="71"/>
      <c r="B933" s="71"/>
      <c r="C933" s="71"/>
      <c r="D933" s="71"/>
      <c r="E933" s="134"/>
      <c r="F933" s="134"/>
      <c r="G933" s="134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4.25" customHeight="1">
      <c r="A934" s="71"/>
      <c r="B934" s="71"/>
      <c r="C934" s="71"/>
      <c r="D934" s="71"/>
      <c r="E934" s="134"/>
      <c r="F934" s="134"/>
      <c r="G934" s="134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4.25" customHeight="1">
      <c r="A935" s="71"/>
      <c r="B935" s="71"/>
      <c r="C935" s="71"/>
      <c r="D935" s="71"/>
      <c r="E935" s="134"/>
      <c r="F935" s="134"/>
      <c r="G935" s="134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4.25" customHeight="1">
      <c r="A936" s="71"/>
      <c r="B936" s="71"/>
      <c r="C936" s="71"/>
      <c r="D936" s="71"/>
      <c r="E936" s="134"/>
      <c r="F936" s="134"/>
      <c r="G936" s="134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4.25" customHeight="1">
      <c r="A937" s="71"/>
      <c r="B937" s="71"/>
      <c r="C937" s="71"/>
      <c r="D937" s="71"/>
      <c r="E937" s="134"/>
      <c r="F937" s="134"/>
      <c r="G937" s="134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4.25" customHeight="1">
      <c r="A938" s="71"/>
      <c r="B938" s="71"/>
      <c r="C938" s="71"/>
      <c r="D938" s="71"/>
      <c r="E938" s="134"/>
      <c r="F938" s="134"/>
      <c r="G938" s="134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4.25" customHeight="1">
      <c r="A939" s="71"/>
      <c r="B939" s="71"/>
      <c r="C939" s="71"/>
      <c r="D939" s="71"/>
      <c r="E939" s="134"/>
      <c r="F939" s="134"/>
      <c r="G939" s="134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4.25" customHeight="1">
      <c r="A940" s="71"/>
      <c r="B940" s="71"/>
      <c r="C940" s="71"/>
      <c r="D940" s="71"/>
      <c r="E940" s="134"/>
      <c r="F940" s="134"/>
      <c r="G940" s="134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4.25" customHeight="1">
      <c r="A941" s="71"/>
      <c r="B941" s="71"/>
      <c r="C941" s="71"/>
      <c r="D941" s="71"/>
      <c r="E941" s="134"/>
      <c r="F941" s="134"/>
      <c r="G941" s="134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4.25" customHeight="1">
      <c r="A942" s="71"/>
      <c r="B942" s="71"/>
      <c r="C942" s="71"/>
      <c r="D942" s="71"/>
      <c r="E942" s="134"/>
      <c r="F942" s="134"/>
      <c r="G942" s="134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4.25" customHeight="1">
      <c r="A943" s="71"/>
      <c r="B943" s="71"/>
      <c r="C943" s="71"/>
      <c r="D943" s="71"/>
      <c r="E943" s="134"/>
      <c r="F943" s="134"/>
      <c r="G943" s="134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4.25" customHeight="1">
      <c r="A944" s="71"/>
      <c r="B944" s="71"/>
      <c r="C944" s="71"/>
      <c r="D944" s="71"/>
      <c r="E944" s="134"/>
      <c r="F944" s="134"/>
      <c r="G944" s="134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4.25" customHeight="1">
      <c r="A945" s="71"/>
      <c r="B945" s="71"/>
      <c r="C945" s="71"/>
      <c r="D945" s="71"/>
      <c r="E945" s="134"/>
      <c r="F945" s="134"/>
      <c r="G945" s="134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4.25" customHeight="1">
      <c r="A946" s="71"/>
      <c r="B946" s="71"/>
      <c r="C946" s="71"/>
      <c r="D946" s="71"/>
      <c r="E946" s="134"/>
      <c r="F946" s="134"/>
      <c r="G946" s="134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4.25" customHeight="1">
      <c r="A947" s="71"/>
      <c r="B947" s="71"/>
      <c r="C947" s="71"/>
      <c r="D947" s="71"/>
      <c r="E947" s="134"/>
      <c r="F947" s="134"/>
      <c r="G947" s="134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4.25" customHeight="1">
      <c r="A948" s="71"/>
      <c r="B948" s="71"/>
      <c r="C948" s="71"/>
      <c r="D948" s="71"/>
      <c r="E948" s="134"/>
      <c r="F948" s="134"/>
      <c r="G948" s="134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4.25" customHeight="1">
      <c r="A949" s="71"/>
      <c r="B949" s="71"/>
      <c r="C949" s="71"/>
      <c r="D949" s="71"/>
      <c r="E949" s="134"/>
      <c r="F949" s="134"/>
      <c r="G949" s="134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4.25" customHeight="1">
      <c r="A950" s="71"/>
      <c r="B950" s="71"/>
      <c r="C950" s="71"/>
      <c r="D950" s="71"/>
      <c r="E950" s="134"/>
      <c r="F950" s="134"/>
      <c r="G950" s="134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4.25" customHeight="1">
      <c r="A951" s="71"/>
      <c r="B951" s="71"/>
      <c r="C951" s="71"/>
      <c r="D951" s="71"/>
      <c r="E951" s="134"/>
      <c r="F951" s="134"/>
      <c r="G951" s="134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4.25" customHeight="1">
      <c r="A952" s="71"/>
      <c r="B952" s="71"/>
      <c r="C952" s="71"/>
      <c r="D952" s="71"/>
      <c r="E952" s="134"/>
      <c r="F952" s="134"/>
      <c r="G952" s="134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4.25" customHeight="1">
      <c r="A953" s="71"/>
      <c r="B953" s="71"/>
      <c r="C953" s="71"/>
      <c r="D953" s="71"/>
      <c r="E953" s="134"/>
      <c r="F953" s="134"/>
      <c r="G953" s="134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4.25" customHeight="1">
      <c r="A954" s="71"/>
      <c r="B954" s="71"/>
      <c r="C954" s="71"/>
      <c r="D954" s="71"/>
      <c r="E954" s="134"/>
      <c r="F954" s="134"/>
      <c r="G954" s="134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4.25" customHeight="1">
      <c r="A955" s="71"/>
      <c r="B955" s="71"/>
      <c r="C955" s="71"/>
      <c r="D955" s="71"/>
      <c r="E955" s="134"/>
      <c r="F955" s="134"/>
      <c r="G955" s="134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4.25" customHeight="1">
      <c r="A956" s="71"/>
      <c r="B956" s="71"/>
      <c r="C956" s="71"/>
      <c r="D956" s="71"/>
      <c r="E956" s="134"/>
      <c r="F956" s="134"/>
      <c r="G956" s="134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4.25" customHeight="1">
      <c r="A957" s="71"/>
      <c r="B957" s="71"/>
      <c r="C957" s="71"/>
      <c r="D957" s="71"/>
      <c r="E957" s="134"/>
      <c r="F957" s="134"/>
      <c r="G957" s="134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4.25" customHeight="1">
      <c r="A958" s="71"/>
      <c r="B958" s="71"/>
      <c r="C958" s="71"/>
      <c r="D958" s="71"/>
      <c r="E958" s="134"/>
      <c r="F958" s="134"/>
      <c r="G958" s="134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4.25" customHeight="1">
      <c r="A959" s="71"/>
      <c r="B959" s="71"/>
      <c r="C959" s="71"/>
      <c r="D959" s="71"/>
      <c r="E959" s="134"/>
      <c r="F959" s="134"/>
      <c r="G959" s="134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4.25" customHeight="1">
      <c r="A960" s="71"/>
      <c r="B960" s="71"/>
      <c r="C960" s="71"/>
      <c r="D960" s="71"/>
      <c r="E960" s="134"/>
      <c r="F960" s="134"/>
      <c r="G960" s="134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4.25" customHeight="1">
      <c r="A961" s="71"/>
      <c r="B961" s="71"/>
      <c r="C961" s="71"/>
      <c r="D961" s="71"/>
      <c r="E961" s="134"/>
      <c r="F961" s="134"/>
      <c r="G961" s="134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4.25" customHeight="1">
      <c r="A962" s="71"/>
      <c r="B962" s="71"/>
      <c r="C962" s="71"/>
      <c r="D962" s="71"/>
      <c r="E962" s="134"/>
      <c r="F962" s="134"/>
      <c r="G962" s="134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4.25" customHeight="1">
      <c r="A963" s="71"/>
      <c r="B963" s="71"/>
      <c r="C963" s="71"/>
      <c r="D963" s="71"/>
      <c r="E963" s="134"/>
      <c r="F963" s="134"/>
      <c r="G963" s="134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4.25" customHeight="1">
      <c r="A964" s="71"/>
      <c r="B964" s="71"/>
      <c r="C964" s="71"/>
      <c r="D964" s="71"/>
      <c r="E964" s="134"/>
      <c r="F964" s="134"/>
      <c r="G964" s="134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4.25" customHeight="1">
      <c r="A965" s="71"/>
      <c r="B965" s="71"/>
      <c r="C965" s="71"/>
      <c r="D965" s="71"/>
      <c r="E965" s="134"/>
      <c r="F965" s="134"/>
      <c r="G965" s="134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4.25" customHeight="1">
      <c r="A966" s="71"/>
      <c r="B966" s="71"/>
      <c r="C966" s="71"/>
      <c r="D966" s="71"/>
      <c r="E966" s="134"/>
      <c r="F966" s="134"/>
      <c r="G966" s="134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4.25" customHeight="1">
      <c r="A967" s="71"/>
      <c r="B967" s="71"/>
      <c r="C967" s="71"/>
      <c r="D967" s="71"/>
      <c r="E967" s="134"/>
      <c r="F967" s="134"/>
      <c r="G967" s="134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4.25" customHeight="1">
      <c r="A968" s="71"/>
      <c r="B968" s="71"/>
      <c r="C968" s="71"/>
      <c r="D968" s="71"/>
      <c r="E968" s="134"/>
      <c r="F968" s="134"/>
      <c r="G968" s="134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4.25" customHeight="1">
      <c r="A969" s="71"/>
      <c r="B969" s="71"/>
      <c r="C969" s="71"/>
      <c r="D969" s="71"/>
      <c r="E969" s="134"/>
      <c r="F969" s="134"/>
      <c r="G969" s="134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4.25" customHeight="1">
      <c r="A970" s="71"/>
      <c r="B970" s="71"/>
      <c r="C970" s="71"/>
      <c r="D970" s="71"/>
      <c r="E970" s="134"/>
      <c r="F970" s="134"/>
      <c r="G970" s="134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4.25" customHeight="1">
      <c r="A971" s="71"/>
      <c r="B971" s="71"/>
      <c r="C971" s="71"/>
      <c r="D971" s="71"/>
      <c r="E971" s="134"/>
      <c r="F971" s="134"/>
      <c r="G971" s="134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4.25" customHeight="1">
      <c r="A972" s="71"/>
      <c r="B972" s="71"/>
      <c r="C972" s="71"/>
      <c r="D972" s="71"/>
      <c r="E972" s="134"/>
      <c r="F972" s="134"/>
      <c r="G972" s="134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4.25" customHeight="1">
      <c r="A973" s="71"/>
      <c r="B973" s="71"/>
      <c r="C973" s="71"/>
      <c r="D973" s="71"/>
      <c r="E973" s="134"/>
      <c r="F973" s="134"/>
      <c r="G973" s="134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4.25" customHeight="1">
      <c r="A974" s="71"/>
      <c r="B974" s="71"/>
      <c r="C974" s="71"/>
      <c r="D974" s="71"/>
      <c r="E974" s="134"/>
      <c r="F974" s="134"/>
      <c r="G974" s="134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4.25" customHeight="1">
      <c r="A975" s="71"/>
      <c r="B975" s="71"/>
      <c r="C975" s="71"/>
      <c r="D975" s="71"/>
      <c r="E975" s="134"/>
      <c r="F975" s="134"/>
      <c r="G975" s="134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4.25" customHeight="1">
      <c r="A976" s="71"/>
      <c r="B976" s="71"/>
      <c r="C976" s="71"/>
      <c r="D976" s="71"/>
      <c r="E976" s="134"/>
      <c r="F976" s="134"/>
      <c r="G976" s="134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4.25" customHeight="1">
      <c r="A977" s="71"/>
      <c r="B977" s="71"/>
      <c r="C977" s="71"/>
      <c r="D977" s="71"/>
      <c r="E977" s="134"/>
      <c r="F977" s="134"/>
      <c r="G977" s="134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4.25" customHeight="1">
      <c r="A978" s="71"/>
      <c r="B978" s="71"/>
      <c r="C978" s="71"/>
      <c r="D978" s="71"/>
      <c r="E978" s="134"/>
      <c r="F978" s="134"/>
      <c r="G978" s="134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4.25" customHeight="1">
      <c r="A979" s="71"/>
      <c r="B979" s="71"/>
      <c r="C979" s="71"/>
      <c r="D979" s="71"/>
      <c r="E979" s="134"/>
      <c r="F979" s="134"/>
      <c r="G979" s="134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4.25" customHeight="1">
      <c r="A980" s="71"/>
      <c r="B980" s="71"/>
      <c r="C980" s="71"/>
      <c r="D980" s="71"/>
      <c r="E980" s="134"/>
      <c r="F980" s="134"/>
      <c r="G980" s="134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4.25" customHeight="1">
      <c r="A981" s="71"/>
      <c r="B981" s="71"/>
      <c r="C981" s="71"/>
      <c r="D981" s="71"/>
      <c r="E981" s="134"/>
      <c r="F981" s="134"/>
      <c r="G981" s="134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4.25" customHeight="1">
      <c r="A982" s="71"/>
      <c r="B982" s="71"/>
      <c r="C982" s="71"/>
      <c r="D982" s="71"/>
      <c r="E982" s="134"/>
      <c r="F982" s="134"/>
      <c r="G982" s="134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4.25" customHeight="1">
      <c r="A983" s="71"/>
      <c r="B983" s="71"/>
      <c r="C983" s="71"/>
      <c r="D983" s="71"/>
      <c r="E983" s="134"/>
      <c r="F983" s="134"/>
      <c r="G983" s="134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4.25" customHeight="1">
      <c r="A984" s="71"/>
      <c r="B984" s="71"/>
      <c r="C984" s="71"/>
      <c r="D984" s="71"/>
      <c r="E984" s="134"/>
      <c r="F984" s="134"/>
      <c r="G984" s="134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4.25" customHeight="1">
      <c r="A985" s="71"/>
      <c r="B985" s="71"/>
      <c r="C985" s="71"/>
      <c r="D985" s="71"/>
      <c r="E985" s="134"/>
      <c r="F985" s="134"/>
      <c r="G985" s="134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4.25" customHeight="1">
      <c r="A986" s="71"/>
      <c r="B986" s="71"/>
      <c r="C986" s="71"/>
      <c r="D986" s="71"/>
      <c r="E986" s="134"/>
      <c r="F986" s="134"/>
      <c r="G986" s="134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4.25" customHeight="1">
      <c r="A987" s="71"/>
      <c r="B987" s="71"/>
      <c r="C987" s="71"/>
      <c r="D987" s="71"/>
      <c r="E987" s="134"/>
      <c r="F987" s="134"/>
      <c r="G987" s="134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4.25" customHeight="1">
      <c r="A988" s="71"/>
      <c r="B988" s="71"/>
      <c r="C988" s="71"/>
      <c r="D988" s="71"/>
      <c r="E988" s="134"/>
      <c r="F988" s="134"/>
      <c r="G988" s="134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4.25" customHeight="1">
      <c r="A989" s="71"/>
      <c r="B989" s="71"/>
      <c r="C989" s="71"/>
      <c r="D989" s="71"/>
      <c r="E989" s="134"/>
      <c r="F989" s="134"/>
      <c r="G989" s="134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4.25" customHeight="1">
      <c r="A990" s="71"/>
      <c r="B990" s="71"/>
      <c r="C990" s="71"/>
      <c r="D990" s="71"/>
      <c r="E990" s="134"/>
      <c r="F990" s="134"/>
      <c r="G990" s="134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4.25" customHeight="1">
      <c r="A991" s="71"/>
      <c r="B991" s="71"/>
      <c r="C991" s="71"/>
      <c r="D991" s="71"/>
      <c r="E991" s="134"/>
      <c r="F991" s="134"/>
      <c r="G991" s="134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4.25" customHeight="1">
      <c r="A992" s="71"/>
      <c r="B992" s="71"/>
      <c r="C992" s="71"/>
      <c r="D992" s="71"/>
      <c r="E992" s="134"/>
      <c r="F992" s="134"/>
      <c r="G992" s="134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4.25" customHeight="1">
      <c r="A993" s="71"/>
      <c r="B993" s="71"/>
      <c r="C993" s="71"/>
      <c r="D993" s="71"/>
      <c r="E993" s="134"/>
      <c r="F993" s="134"/>
      <c r="G993" s="134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4.25" customHeight="1">
      <c r="A994" s="71"/>
      <c r="B994" s="71"/>
      <c r="C994" s="71"/>
      <c r="D994" s="71"/>
      <c r="E994" s="134"/>
      <c r="F994" s="134"/>
      <c r="G994" s="134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4.25" customHeight="1">
      <c r="A995" s="71"/>
      <c r="B995" s="71"/>
      <c r="C995" s="71"/>
      <c r="D995" s="71"/>
      <c r="E995" s="134"/>
      <c r="F995" s="134"/>
      <c r="G995" s="134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4.25" customHeight="1">
      <c r="A996" s="71"/>
      <c r="B996" s="71"/>
      <c r="C996" s="71"/>
      <c r="D996" s="71"/>
      <c r="E996" s="134"/>
      <c r="F996" s="134"/>
      <c r="G996" s="134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4.25" customHeight="1">
      <c r="A997" s="71"/>
      <c r="B997" s="71"/>
      <c r="C997" s="71"/>
      <c r="D997" s="71"/>
      <c r="E997" s="134"/>
      <c r="F997" s="134"/>
      <c r="G997" s="134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4.25" customHeight="1">
      <c r="A998" s="71"/>
      <c r="B998" s="71"/>
      <c r="C998" s="71"/>
      <c r="D998" s="71"/>
      <c r="E998" s="134"/>
      <c r="F998" s="134"/>
      <c r="G998" s="134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</sheetData>
  <mergeCells count="3">
    <mergeCell ref="D2:G2"/>
    <mergeCell ref="D12:E12"/>
    <mergeCell ref="F12:G12"/>
  </mergeCells>
  <conditionalFormatting sqref="F12:G12">
    <cfRule type="expression" dxfId="9" priority="1" stopIfTrue="1">
      <formula>$D$12&lt;&gt;"Pilih Tanggal"</formula>
    </cfRule>
  </conditionalFormatting>
  <dataValidations>
    <dataValidation type="list" allowBlank="1" sqref="D12">
      <formula1>"Hari Ini,Pilih Tanggal,Bulan Ini"</formula1>
    </dataValidation>
    <dataValidation type="custom" allowBlank="1" showErrorMessage="1" sqref="F12">
      <formula1>OR(NOT(ISERROR(DATEVALUE(F12))), AND(ISNUMBER(F12), LEFT(CELL("format", F12))="D"))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8.63"/>
    <col customWidth="1" min="3" max="3" width="43.13"/>
    <col customWidth="1" min="4" max="4" width="18.25"/>
    <col customWidth="1" min="5" max="5" width="18.5"/>
    <col customWidth="1" min="6" max="6" width="16.13"/>
    <col customWidth="1" min="7" max="7" width="10.25"/>
    <col customWidth="1" min="8" max="8" width="19.75"/>
    <col customWidth="1" min="9" max="9" width="17.13"/>
    <col customWidth="1" min="10" max="10" width="19.75"/>
    <col customWidth="1" min="11" max="11" width="16.88"/>
    <col customWidth="1" min="12" max="12" width="21.63"/>
    <col customWidth="1" min="13" max="22" width="7.63"/>
  </cols>
  <sheetData>
    <row r="1" ht="33.0" customHeight="1">
      <c r="A1" s="74" t="s">
        <v>9</v>
      </c>
      <c r="B1" s="76" t="s">
        <v>2</v>
      </c>
      <c r="C1" s="78" t="s">
        <v>20</v>
      </c>
      <c r="D1" s="80" t="s">
        <v>3</v>
      </c>
      <c r="E1" s="80" t="s">
        <v>6</v>
      </c>
      <c r="F1" s="80" t="s">
        <v>5</v>
      </c>
      <c r="G1" s="80" t="s">
        <v>739</v>
      </c>
      <c r="H1" s="80" t="s">
        <v>10</v>
      </c>
      <c r="I1" s="80" t="s">
        <v>740</v>
      </c>
      <c r="J1" s="80" t="s">
        <v>11</v>
      </c>
      <c r="K1" s="80" t="s">
        <v>743</v>
      </c>
      <c r="L1" s="82" t="s">
        <v>744</v>
      </c>
      <c r="M1" s="83"/>
      <c r="N1" s="83"/>
      <c r="O1" s="83"/>
      <c r="P1" s="83"/>
      <c r="Q1" s="83"/>
      <c r="R1" s="83"/>
      <c r="S1" s="83"/>
      <c r="T1" s="83"/>
      <c r="U1" s="83"/>
      <c r="V1" s="83"/>
    </row>
    <row r="2" ht="24.0" customHeight="1">
      <c r="A2" s="84"/>
      <c r="B2" s="85"/>
      <c r="C2" s="86"/>
      <c r="D2" s="87"/>
      <c r="E2" s="87"/>
      <c r="F2" s="88"/>
      <c r="G2" s="89"/>
      <c r="H2" s="90"/>
      <c r="I2" s="91"/>
      <c r="J2" s="90"/>
      <c r="K2" s="92"/>
      <c r="L2" s="93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ht="24.0" customHeight="1">
      <c r="A3" s="96"/>
      <c r="B3" s="97"/>
      <c r="C3" s="98"/>
      <c r="D3" s="99"/>
      <c r="E3" s="99"/>
      <c r="F3" s="100"/>
      <c r="G3" s="101"/>
      <c r="H3" s="102"/>
      <c r="I3" s="91"/>
      <c r="J3" s="102"/>
      <c r="K3" s="103"/>
      <c r="L3" s="104"/>
      <c r="M3" s="94"/>
      <c r="N3" s="94"/>
      <c r="O3" s="94"/>
      <c r="P3" s="94"/>
      <c r="Q3" s="94"/>
      <c r="R3" s="94"/>
      <c r="S3" s="94"/>
      <c r="T3" s="94"/>
      <c r="U3" s="94"/>
      <c r="V3" s="94"/>
    </row>
    <row r="4" ht="24.0" customHeight="1">
      <c r="A4" s="84"/>
      <c r="B4" s="85"/>
      <c r="C4" s="86"/>
      <c r="D4" s="87"/>
      <c r="E4" s="87"/>
      <c r="F4" s="88"/>
      <c r="G4" s="89"/>
      <c r="H4" s="90"/>
      <c r="I4" s="91"/>
      <c r="J4" s="90"/>
      <c r="K4" s="107"/>
      <c r="L4" s="93"/>
      <c r="M4" s="94"/>
      <c r="N4" s="94"/>
      <c r="O4" s="94"/>
      <c r="P4" s="94"/>
      <c r="Q4" s="94"/>
      <c r="R4" s="94"/>
      <c r="S4" s="94"/>
      <c r="T4" s="94"/>
      <c r="U4" s="94"/>
      <c r="V4" s="94"/>
    </row>
    <row r="5" ht="24.0" customHeight="1">
      <c r="A5" s="96"/>
      <c r="B5" s="97"/>
      <c r="C5" s="98"/>
      <c r="D5" s="99"/>
      <c r="E5" s="109"/>
      <c r="F5" s="100"/>
      <c r="G5" s="110"/>
      <c r="H5" s="102"/>
      <c r="I5" s="111"/>
      <c r="J5" s="102"/>
      <c r="K5" s="103"/>
      <c r="L5" s="104"/>
      <c r="M5" s="94"/>
      <c r="N5" s="94"/>
      <c r="O5" s="94"/>
      <c r="P5" s="94"/>
      <c r="Q5" s="94"/>
      <c r="R5" s="94"/>
      <c r="S5" s="94"/>
      <c r="T5" s="94"/>
      <c r="U5" s="94"/>
      <c r="V5" s="94"/>
    </row>
    <row r="6" ht="24.0" customHeight="1">
      <c r="A6" s="84"/>
      <c r="B6" s="85"/>
      <c r="C6" s="86"/>
      <c r="D6" s="87"/>
      <c r="E6" s="113"/>
      <c r="F6" s="88"/>
      <c r="G6" s="114"/>
      <c r="H6" s="90"/>
      <c r="I6" s="115"/>
      <c r="J6" s="90"/>
      <c r="K6" s="92"/>
      <c r="L6" s="93"/>
      <c r="M6" s="94"/>
      <c r="N6" s="94"/>
      <c r="O6" s="94"/>
      <c r="P6" s="94"/>
      <c r="Q6" s="94"/>
      <c r="R6" s="94"/>
      <c r="S6" s="94"/>
      <c r="T6" s="94"/>
      <c r="U6" s="94"/>
      <c r="V6" s="94"/>
    </row>
    <row r="7" ht="24.0" customHeight="1">
      <c r="A7" s="96"/>
      <c r="B7" s="97"/>
      <c r="C7" s="98"/>
      <c r="D7" s="99"/>
      <c r="E7" s="99"/>
      <c r="F7" s="100"/>
      <c r="G7" s="110"/>
      <c r="H7" s="102"/>
      <c r="I7" s="91"/>
      <c r="J7" s="102"/>
      <c r="K7" s="103"/>
      <c r="L7" s="104"/>
      <c r="M7" s="94"/>
      <c r="N7" s="94"/>
      <c r="O7" s="94"/>
      <c r="P7" s="94"/>
      <c r="Q7" s="94"/>
      <c r="R7" s="94"/>
      <c r="S7" s="94"/>
      <c r="T7" s="94"/>
      <c r="U7" s="94"/>
      <c r="V7" s="94"/>
    </row>
    <row r="8" ht="24.0" customHeight="1">
      <c r="A8" s="84"/>
      <c r="B8" s="85"/>
      <c r="C8" s="86"/>
      <c r="D8" s="87"/>
      <c r="E8" s="87"/>
      <c r="F8" s="88"/>
      <c r="G8" s="114"/>
      <c r="H8" s="90"/>
      <c r="I8" s="91"/>
      <c r="J8" s="90"/>
      <c r="K8" s="92"/>
      <c r="L8" s="93"/>
      <c r="M8" s="94"/>
      <c r="N8" s="94"/>
      <c r="O8" s="94"/>
      <c r="P8" s="94"/>
      <c r="Q8" s="94"/>
      <c r="R8" s="94"/>
      <c r="S8" s="94"/>
      <c r="T8" s="94"/>
      <c r="U8" s="94"/>
      <c r="V8" s="94"/>
    </row>
    <row r="9" ht="24.0" customHeight="1">
      <c r="A9" s="96"/>
      <c r="B9" s="97"/>
      <c r="C9" s="98"/>
      <c r="D9" s="99"/>
      <c r="E9" s="99"/>
      <c r="F9" s="100"/>
      <c r="G9" s="110"/>
      <c r="H9" s="102"/>
      <c r="I9" s="91"/>
      <c r="J9" s="102"/>
      <c r="K9" s="103"/>
      <c r="L9" s="104"/>
      <c r="M9" s="94"/>
      <c r="N9" s="94"/>
      <c r="O9" s="94"/>
      <c r="P9" s="94"/>
      <c r="Q9" s="94"/>
      <c r="R9" s="94"/>
      <c r="S9" s="94"/>
      <c r="T9" s="94"/>
      <c r="U9" s="94"/>
      <c r="V9" s="94"/>
    </row>
    <row r="10" ht="24.0" customHeight="1">
      <c r="A10" s="84"/>
      <c r="B10" s="85"/>
      <c r="C10" s="86"/>
      <c r="D10" s="87"/>
      <c r="E10" s="87"/>
      <c r="F10" s="88"/>
      <c r="G10" s="114"/>
      <c r="H10" s="90"/>
      <c r="I10" s="91"/>
      <c r="J10" s="90"/>
      <c r="K10" s="92"/>
      <c r="L10" s="93"/>
      <c r="M10" s="94"/>
      <c r="N10" s="94"/>
      <c r="O10" s="94"/>
      <c r="P10" s="94"/>
      <c r="Q10" s="94"/>
      <c r="R10" s="94"/>
      <c r="S10" s="94"/>
      <c r="T10" s="94"/>
      <c r="U10" s="94"/>
      <c r="V10" s="94"/>
    </row>
    <row r="11" ht="33.0" customHeight="1">
      <c r="A11" s="96"/>
      <c r="B11" s="97"/>
      <c r="C11" s="98"/>
      <c r="D11" s="99"/>
      <c r="E11" s="109"/>
      <c r="F11" s="100"/>
      <c r="G11" s="110"/>
      <c r="H11" s="102"/>
      <c r="I11" s="111"/>
      <c r="J11" s="102"/>
      <c r="K11" s="103"/>
      <c r="L11" s="104"/>
      <c r="M11" s="94"/>
      <c r="N11" s="94"/>
      <c r="O11" s="94"/>
      <c r="P11" s="94"/>
      <c r="Q11" s="94"/>
      <c r="R11" s="94"/>
      <c r="S11" s="94"/>
      <c r="T11" s="94"/>
      <c r="U11" s="94"/>
      <c r="V11" s="94"/>
    </row>
    <row r="12" ht="24.0" customHeight="1">
      <c r="A12" s="84"/>
      <c r="B12" s="85"/>
      <c r="C12" s="86"/>
      <c r="D12" s="87"/>
      <c r="E12" s="113"/>
      <c r="F12" s="88"/>
      <c r="G12" s="114"/>
      <c r="H12" s="90"/>
      <c r="I12" s="111"/>
      <c r="J12" s="90"/>
      <c r="K12" s="92"/>
      <c r="L12" s="93"/>
      <c r="M12" s="94"/>
      <c r="N12" s="94"/>
      <c r="O12" s="94"/>
      <c r="P12" s="94"/>
      <c r="Q12" s="94"/>
      <c r="R12" s="94"/>
      <c r="S12" s="94"/>
      <c r="T12" s="94"/>
      <c r="U12" s="94"/>
      <c r="V12" s="94"/>
    </row>
    <row r="13" ht="24.0" customHeight="1">
      <c r="A13" s="96"/>
      <c r="B13" s="97"/>
      <c r="C13" s="98"/>
      <c r="D13" s="99"/>
      <c r="E13" s="99"/>
      <c r="F13" s="100"/>
      <c r="G13" s="110"/>
      <c r="H13" s="102"/>
      <c r="I13" s="91"/>
      <c r="J13" s="102"/>
      <c r="K13" s="103"/>
      <c r="L13" s="104"/>
      <c r="M13" s="94"/>
      <c r="N13" s="94"/>
      <c r="O13" s="94"/>
      <c r="P13" s="94"/>
      <c r="Q13" s="94"/>
      <c r="R13" s="94"/>
      <c r="S13" s="94"/>
      <c r="T13" s="94"/>
      <c r="U13" s="94"/>
      <c r="V13" s="94"/>
    </row>
    <row r="14" ht="24.0" customHeight="1">
      <c r="A14" s="84"/>
      <c r="B14" s="85"/>
      <c r="C14" s="86"/>
      <c r="D14" s="87"/>
      <c r="E14" s="113"/>
      <c r="F14" s="88"/>
      <c r="G14" s="114"/>
      <c r="H14" s="90"/>
      <c r="I14" s="125"/>
      <c r="J14" s="90"/>
      <c r="K14" s="92"/>
      <c r="L14" s="93"/>
      <c r="M14" s="94"/>
      <c r="N14" s="94"/>
      <c r="O14" s="94"/>
      <c r="P14" s="94"/>
      <c r="Q14" s="94"/>
      <c r="R14" s="94"/>
      <c r="S14" s="94"/>
      <c r="T14" s="94"/>
      <c r="U14" s="94"/>
      <c r="V14" s="94"/>
    </row>
    <row r="15" ht="24.0" customHeight="1">
      <c r="A15" s="96"/>
      <c r="B15" s="97"/>
      <c r="C15" s="98"/>
      <c r="D15" s="99"/>
      <c r="E15" s="99"/>
      <c r="F15" s="100"/>
      <c r="G15" s="110"/>
      <c r="H15" s="102"/>
      <c r="I15" s="91"/>
      <c r="J15" s="102"/>
      <c r="K15" s="103"/>
      <c r="L15" s="104"/>
      <c r="M15" s="94"/>
      <c r="N15" s="94"/>
      <c r="O15" s="94"/>
      <c r="P15" s="94"/>
      <c r="Q15" s="94"/>
      <c r="R15" s="94"/>
      <c r="S15" s="94"/>
      <c r="T15" s="94"/>
      <c r="U15" s="94"/>
      <c r="V15" s="94"/>
    </row>
    <row r="16" ht="24.0" customHeight="1">
      <c r="A16" s="84"/>
      <c r="B16" s="85"/>
      <c r="C16" s="86"/>
      <c r="D16" s="128"/>
      <c r="E16" s="87"/>
      <c r="F16" s="88"/>
      <c r="G16" s="114"/>
      <c r="H16" s="90"/>
      <c r="I16" s="91"/>
      <c r="J16" s="90"/>
      <c r="K16" s="92"/>
      <c r="L16" s="93"/>
      <c r="M16" s="94"/>
      <c r="N16" s="94"/>
      <c r="O16" s="94"/>
      <c r="P16" s="94"/>
      <c r="Q16" s="94"/>
      <c r="R16" s="94"/>
      <c r="S16" s="94"/>
      <c r="T16" s="94"/>
      <c r="U16" s="94"/>
      <c r="V16" s="94"/>
    </row>
    <row r="17" ht="24.0" customHeight="1">
      <c r="A17" s="96"/>
      <c r="B17" s="97"/>
      <c r="C17" s="98"/>
      <c r="D17" s="99"/>
      <c r="E17" s="99"/>
      <c r="F17" s="100"/>
      <c r="G17" s="110"/>
      <c r="H17" s="102"/>
      <c r="I17" s="91"/>
      <c r="J17" s="102"/>
      <c r="K17" s="103"/>
      <c r="L17" s="104"/>
      <c r="M17" s="94"/>
      <c r="N17" s="94"/>
      <c r="O17" s="94"/>
      <c r="P17" s="94"/>
      <c r="Q17" s="94"/>
      <c r="R17" s="94"/>
      <c r="S17" s="94"/>
      <c r="T17" s="94"/>
      <c r="U17" s="94"/>
      <c r="V17" s="94"/>
    </row>
    <row r="18" ht="24.0" customHeight="1">
      <c r="A18" s="84"/>
      <c r="B18" s="85"/>
      <c r="C18" s="86"/>
      <c r="D18" s="128"/>
      <c r="E18" s="87"/>
      <c r="F18" s="88"/>
      <c r="G18" s="114"/>
      <c r="H18" s="90"/>
      <c r="I18" s="91"/>
      <c r="J18" s="90"/>
      <c r="K18" s="92"/>
      <c r="L18" s="93"/>
      <c r="M18" s="94"/>
      <c r="N18" s="94"/>
      <c r="O18" s="94"/>
      <c r="P18" s="94"/>
      <c r="Q18" s="94"/>
      <c r="R18" s="94"/>
      <c r="S18" s="94"/>
      <c r="T18" s="94"/>
      <c r="U18" s="94"/>
      <c r="V18" s="94"/>
    </row>
    <row r="19" ht="24.0" customHeight="1">
      <c r="A19" s="96"/>
      <c r="B19" s="97"/>
      <c r="C19" s="98"/>
      <c r="D19" s="99"/>
      <c r="E19" s="109"/>
      <c r="F19" s="100"/>
      <c r="G19" s="110"/>
      <c r="H19" s="102"/>
      <c r="I19" s="111"/>
      <c r="J19" s="102"/>
      <c r="K19" s="103"/>
      <c r="L19" s="104"/>
      <c r="M19" s="94"/>
      <c r="N19" s="94"/>
      <c r="O19" s="94"/>
      <c r="P19" s="94"/>
      <c r="Q19" s="94"/>
      <c r="R19" s="94"/>
      <c r="S19" s="94"/>
      <c r="T19" s="94"/>
      <c r="U19" s="94"/>
      <c r="V19" s="94"/>
    </row>
    <row r="20" ht="24.0" customHeight="1">
      <c r="A20" s="84"/>
      <c r="B20" s="85"/>
      <c r="C20" s="86"/>
      <c r="D20" s="87"/>
      <c r="E20" s="113"/>
      <c r="F20" s="88"/>
      <c r="G20" s="114"/>
      <c r="H20" s="90"/>
      <c r="I20" s="125"/>
      <c r="J20" s="90"/>
      <c r="K20" s="92"/>
      <c r="L20" s="93"/>
      <c r="M20" s="94"/>
      <c r="N20" s="94"/>
      <c r="O20" s="94"/>
      <c r="P20" s="94"/>
      <c r="Q20" s="94"/>
      <c r="R20" s="94"/>
      <c r="S20" s="94"/>
      <c r="T20" s="94"/>
      <c r="U20" s="94"/>
      <c r="V20" s="94"/>
    </row>
    <row r="21" ht="24.0" customHeight="1">
      <c r="A21" s="96"/>
      <c r="B21" s="97"/>
      <c r="C21" s="98"/>
      <c r="D21" s="99"/>
      <c r="E21" s="109"/>
      <c r="F21" s="100"/>
      <c r="G21" s="110"/>
      <c r="H21" s="102"/>
      <c r="I21" s="115"/>
      <c r="J21" s="102"/>
      <c r="K21" s="103"/>
      <c r="L21" s="104"/>
      <c r="M21" s="94"/>
      <c r="N21" s="94"/>
      <c r="O21" s="94"/>
      <c r="P21" s="94"/>
      <c r="Q21" s="94"/>
      <c r="R21" s="94"/>
      <c r="S21" s="94"/>
      <c r="T21" s="94"/>
      <c r="U21" s="94"/>
      <c r="V21" s="94"/>
    </row>
    <row r="22" ht="24.0" customHeight="1">
      <c r="A22" s="84"/>
      <c r="B22" s="85"/>
      <c r="C22" s="86"/>
      <c r="D22" s="87"/>
      <c r="E22" s="113"/>
      <c r="F22" s="88"/>
      <c r="G22" s="114"/>
      <c r="H22" s="90"/>
      <c r="I22" s="115"/>
      <c r="J22" s="90"/>
      <c r="K22" s="92"/>
      <c r="L22" s="93"/>
      <c r="M22" s="94"/>
      <c r="N22" s="94"/>
      <c r="O22" s="94"/>
      <c r="P22" s="94"/>
      <c r="Q22" s="94"/>
      <c r="R22" s="94"/>
      <c r="S22" s="94"/>
      <c r="T22" s="94"/>
      <c r="U22" s="94"/>
      <c r="V22" s="94"/>
    </row>
    <row r="23" ht="24.0" customHeight="1">
      <c r="A23" s="96"/>
      <c r="B23" s="97"/>
      <c r="C23" s="98"/>
      <c r="D23" s="99"/>
      <c r="E23" s="109"/>
      <c r="F23" s="100"/>
      <c r="G23" s="110"/>
      <c r="H23" s="102"/>
      <c r="I23" s="115"/>
      <c r="J23" s="102"/>
      <c r="K23" s="103"/>
      <c r="L23" s="104"/>
      <c r="M23" s="94"/>
      <c r="N23" s="94"/>
      <c r="O23" s="94"/>
      <c r="P23" s="94"/>
      <c r="Q23" s="94"/>
      <c r="R23" s="94"/>
      <c r="S23" s="94"/>
      <c r="T23" s="94"/>
      <c r="U23" s="94"/>
      <c r="V23" s="94"/>
    </row>
    <row r="24" ht="24.0" customHeight="1">
      <c r="A24" s="84"/>
      <c r="B24" s="85"/>
      <c r="C24" s="86"/>
      <c r="D24" s="87"/>
      <c r="E24" s="113"/>
      <c r="F24" s="88"/>
      <c r="G24" s="114"/>
      <c r="H24" s="90"/>
      <c r="I24" s="115"/>
      <c r="J24" s="90"/>
      <c r="K24" s="92"/>
      <c r="L24" s="93"/>
      <c r="M24" s="94"/>
      <c r="N24" s="94"/>
      <c r="O24" s="94"/>
      <c r="P24" s="94"/>
      <c r="Q24" s="94"/>
      <c r="R24" s="94"/>
      <c r="S24" s="94"/>
      <c r="T24" s="94"/>
      <c r="U24" s="94"/>
      <c r="V24" s="94"/>
    </row>
    <row r="25" ht="24.0" customHeight="1">
      <c r="A25" s="96"/>
      <c r="B25" s="97"/>
      <c r="C25" s="98"/>
      <c r="D25" s="99"/>
      <c r="E25" s="109"/>
      <c r="F25" s="100"/>
      <c r="G25" s="110"/>
      <c r="H25" s="102"/>
      <c r="I25" s="115"/>
      <c r="J25" s="102"/>
      <c r="K25" s="103"/>
      <c r="L25" s="104"/>
      <c r="M25" s="94"/>
      <c r="N25" s="94"/>
      <c r="O25" s="94"/>
      <c r="P25" s="94"/>
      <c r="Q25" s="94"/>
      <c r="R25" s="94"/>
      <c r="S25" s="94"/>
      <c r="T25" s="94"/>
      <c r="U25" s="94"/>
      <c r="V25" s="94"/>
    </row>
    <row r="26" ht="24.0" customHeight="1">
      <c r="A26" s="84"/>
      <c r="B26" s="85"/>
      <c r="C26" s="86"/>
      <c r="D26" s="87"/>
      <c r="E26" s="113"/>
      <c r="F26" s="88"/>
      <c r="G26" s="114"/>
      <c r="H26" s="90"/>
      <c r="I26" s="111"/>
      <c r="J26" s="90"/>
      <c r="K26" s="92"/>
      <c r="L26" s="93"/>
      <c r="M26" s="94"/>
      <c r="N26" s="94"/>
      <c r="O26" s="94"/>
      <c r="P26" s="94"/>
      <c r="Q26" s="94"/>
      <c r="R26" s="94"/>
      <c r="S26" s="94"/>
      <c r="T26" s="94"/>
      <c r="U26" s="94"/>
      <c r="V26" s="94"/>
    </row>
    <row r="27" ht="24.0" customHeight="1">
      <c r="A27" s="96"/>
      <c r="B27" s="97"/>
      <c r="C27" s="98"/>
      <c r="D27" s="99"/>
      <c r="E27" s="109"/>
      <c r="F27" s="100"/>
      <c r="G27" s="101"/>
      <c r="H27" s="102"/>
      <c r="I27" s="138"/>
      <c r="J27" s="102"/>
      <c r="K27" s="139"/>
      <c r="L27" s="104"/>
      <c r="M27" s="94"/>
      <c r="N27" s="94"/>
      <c r="O27" s="94"/>
      <c r="P27" s="94"/>
      <c r="Q27" s="94"/>
      <c r="R27" s="94"/>
      <c r="S27" s="94"/>
      <c r="T27" s="94"/>
      <c r="U27" s="94"/>
      <c r="V27" s="94"/>
    </row>
    <row r="28" ht="24.0" customHeight="1">
      <c r="A28" s="84"/>
      <c r="B28" s="85"/>
      <c r="C28" s="86"/>
      <c r="D28" s="87"/>
      <c r="E28" s="87"/>
      <c r="F28" s="88"/>
      <c r="G28" s="114"/>
      <c r="H28" s="90"/>
      <c r="I28" s="91"/>
      <c r="J28" s="90"/>
      <c r="K28" s="92"/>
      <c r="L28" s="93"/>
      <c r="M28" s="94"/>
      <c r="N28" s="94"/>
      <c r="O28" s="94"/>
      <c r="P28" s="94"/>
      <c r="Q28" s="94"/>
      <c r="R28" s="94"/>
      <c r="S28" s="94"/>
      <c r="T28" s="94"/>
      <c r="U28" s="94"/>
      <c r="V28" s="94"/>
    </row>
    <row r="29" ht="24.0" customHeight="1">
      <c r="A29" s="96"/>
      <c r="B29" s="97"/>
      <c r="C29" s="98"/>
      <c r="D29" s="99"/>
      <c r="E29" s="99"/>
      <c r="F29" s="100"/>
      <c r="G29" s="110"/>
      <c r="H29" s="102"/>
      <c r="I29" s="91"/>
      <c r="J29" s="102"/>
      <c r="K29" s="103"/>
      <c r="L29" s="104"/>
      <c r="M29" s="94"/>
      <c r="N29" s="94"/>
      <c r="O29" s="94"/>
      <c r="P29" s="94"/>
      <c r="Q29" s="94"/>
      <c r="R29" s="94"/>
      <c r="S29" s="94"/>
      <c r="T29" s="94"/>
      <c r="U29" s="94"/>
      <c r="V29" s="94"/>
    </row>
    <row r="30" ht="24.0" customHeight="1">
      <c r="A30" s="84"/>
      <c r="B30" s="85"/>
      <c r="C30" s="86"/>
      <c r="D30" s="87"/>
      <c r="E30" s="87"/>
      <c r="F30" s="88"/>
      <c r="G30" s="114"/>
      <c r="H30" s="90"/>
      <c r="I30" s="91"/>
      <c r="J30" s="90"/>
      <c r="K30" s="92"/>
      <c r="L30" s="93"/>
      <c r="M30" s="94"/>
      <c r="N30" s="94"/>
      <c r="O30" s="94"/>
      <c r="P30" s="94"/>
      <c r="Q30" s="94"/>
      <c r="R30" s="94"/>
      <c r="S30" s="94"/>
      <c r="T30" s="94"/>
      <c r="U30" s="94"/>
      <c r="V30" s="94"/>
    </row>
    <row r="31" ht="24.0" customHeight="1">
      <c r="A31" s="96"/>
      <c r="B31" s="97"/>
      <c r="C31" s="98"/>
      <c r="D31" s="99"/>
      <c r="E31" s="99"/>
      <c r="F31" s="100"/>
      <c r="G31" s="110"/>
      <c r="H31" s="102"/>
      <c r="I31" s="91"/>
      <c r="J31" s="102"/>
      <c r="K31" s="103"/>
      <c r="L31" s="104"/>
      <c r="M31" s="94"/>
      <c r="N31" s="94"/>
      <c r="O31" s="94"/>
      <c r="P31" s="94"/>
      <c r="Q31" s="94"/>
      <c r="R31" s="94"/>
      <c r="S31" s="94"/>
      <c r="T31" s="94"/>
      <c r="U31" s="94"/>
      <c r="V31" s="94"/>
    </row>
    <row r="32" ht="24.0" customHeight="1">
      <c r="A32" s="140"/>
      <c r="B32" s="141"/>
      <c r="C32" s="142"/>
      <c r="D32" s="143"/>
      <c r="E32" s="143"/>
      <c r="F32" s="144"/>
      <c r="G32" s="145"/>
      <c r="H32" s="146"/>
      <c r="I32" s="147"/>
      <c r="J32" s="146"/>
      <c r="K32" s="147"/>
      <c r="L32" s="148"/>
      <c r="M32" s="94"/>
      <c r="N32" s="94"/>
      <c r="O32" s="94"/>
      <c r="P32" s="94"/>
      <c r="Q32" s="94"/>
      <c r="R32" s="94"/>
      <c r="S32" s="94"/>
      <c r="T32" s="94"/>
      <c r="U32" s="94"/>
      <c r="V32" s="94"/>
    </row>
    <row r="33" ht="24.0" customHeight="1">
      <c r="A33" s="84"/>
      <c r="B33" s="85"/>
      <c r="C33" s="86"/>
      <c r="D33" s="87"/>
      <c r="E33" s="87"/>
      <c r="F33" s="88"/>
      <c r="G33" s="114"/>
      <c r="H33" s="90"/>
      <c r="I33" s="91"/>
      <c r="J33" s="90"/>
      <c r="K33" s="92"/>
      <c r="L33" s="93"/>
      <c r="M33" s="94"/>
      <c r="N33" s="94"/>
      <c r="O33" s="94"/>
      <c r="P33" s="94"/>
      <c r="Q33" s="94"/>
      <c r="R33" s="94"/>
      <c r="S33" s="94"/>
      <c r="T33" s="94"/>
      <c r="U33" s="94"/>
      <c r="V33" s="94"/>
    </row>
    <row r="34" ht="24.0" customHeight="1">
      <c r="A34" s="96"/>
      <c r="B34" s="97"/>
      <c r="C34" s="98"/>
      <c r="D34" s="99"/>
      <c r="E34" s="109"/>
      <c r="F34" s="100"/>
      <c r="G34" s="110"/>
      <c r="H34" s="102"/>
      <c r="I34" s="111"/>
      <c r="J34" s="102"/>
      <c r="K34" s="103"/>
      <c r="L34" s="104"/>
      <c r="M34" s="94"/>
      <c r="N34" s="94"/>
      <c r="O34" s="94"/>
      <c r="P34" s="94"/>
      <c r="Q34" s="94"/>
      <c r="R34" s="94"/>
      <c r="S34" s="94"/>
      <c r="T34" s="94"/>
      <c r="U34" s="94"/>
      <c r="V34" s="94"/>
    </row>
    <row r="35" ht="24.0" customHeight="1">
      <c r="A35" s="96"/>
      <c r="B35" s="97"/>
      <c r="C35" s="98"/>
      <c r="D35" s="99"/>
      <c r="E35" s="109"/>
      <c r="F35" s="100"/>
      <c r="G35" s="110"/>
      <c r="H35" s="102"/>
      <c r="I35" s="111"/>
      <c r="J35" s="102"/>
      <c r="K35" s="103"/>
      <c r="L35" s="104"/>
      <c r="M35" s="94"/>
      <c r="N35" s="94"/>
      <c r="O35" s="94"/>
      <c r="P35" s="94"/>
      <c r="Q35" s="94"/>
      <c r="R35" s="94"/>
      <c r="S35" s="94"/>
      <c r="T35" s="94"/>
      <c r="U35" s="94"/>
      <c r="V35" s="94"/>
    </row>
    <row r="36" ht="24.0" customHeight="1">
      <c r="A36" s="96"/>
      <c r="B36" s="97"/>
      <c r="C36" s="98"/>
      <c r="D36" s="99"/>
      <c r="E36" s="109"/>
      <c r="F36" s="100"/>
      <c r="G36" s="110"/>
      <c r="H36" s="102"/>
      <c r="I36" s="111"/>
      <c r="J36" s="102"/>
      <c r="K36" s="103"/>
      <c r="L36" s="104"/>
      <c r="M36" s="94"/>
      <c r="N36" s="94"/>
      <c r="O36" s="94"/>
      <c r="P36" s="94"/>
      <c r="Q36" s="94"/>
      <c r="R36" s="94"/>
      <c r="S36" s="94"/>
      <c r="T36" s="94"/>
      <c r="U36" s="94"/>
      <c r="V36" s="94"/>
    </row>
    <row r="37" ht="24.0" customHeight="1">
      <c r="A37" s="149"/>
      <c r="B37" s="150"/>
      <c r="C37" s="151"/>
      <c r="D37" s="152"/>
      <c r="E37" s="152"/>
      <c r="F37" s="153"/>
      <c r="G37" s="154"/>
      <c r="H37" s="155"/>
      <c r="I37" s="156"/>
      <c r="J37" s="155"/>
      <c r="K37" s="157"/>
      <c r="L37" s="158"/>
      <c r="M37" s="94"/>
      <c r="N37" s="94"/>
      <c r="O37" s="94"/>
      <c r="P37" s="94"/>
      <c r="Q37" s="94"/>
      <c r="R37" s="94"/>
      <c r="S37" s="94"/>
      <c r="T37" s="94"/>
      <c r="U37" s="94"/>
      <c r="V37" s="94"/>
    </row>
    <row r="38" ht="24.0" customHeight="1">
      <c r="A38" s="149"/>
      <c r="B38" s="150"/>
      <c r="C38" s="151"/>
      <c r="D38" s="152"/>
      <c r="E38" s="152"/>
      <c r="F38" s="153"/>
      <c r="G38" s="154"/>
      <c r="H38" s="155"/>
      <c r="I38" s="156"/>
      <c r="J38" s="155"/>
      <c r="K38" s="157"/>
      <c r="L38" s="158"/>
      <c r="M38" s="94"/>
      <c r="N38" s="94"/>
      <c r="O38" s="94"/>
      <c r="P38" s="94"/>
      <c r="Q38" s="94"/>
      <c r="R38" s="94"/>
      <c r="S38" s="94"/>
      <c r="T38" s="94"/>
      <c r="U38" s="94"/>
      <c r="V38" s="94"/>
    </row>
    <row r="39" ht="24.0" customHeight="1">
      <c r="A39" s="149"/>
      <c r="B39" s="150"/>
      <c r="C39" s="151"/>
      <c r="D39" s="152"/>
      <c r="E39" s="152"/>
      <c r="F39" s="153"/>
      <c r="G39" s="154"/>
      <c r="H39" s="155"/>
      <c r="I39" s="156"/>
      <c r="J39" s="155"/>
      <c r="K39" s="157"/>
      <c r="L39" s="158"/>
      <c r="M39" s="94"/>
      <c r="N39" s="94"/>
      <c r="O39" s="94"/>
      <c r="P39" s="94"/>
      <c r="Q39" s="94"/>
      <c r="R39" s="94"/>
      <c r="S39" s="94"/>
      <c r="T39" s="94"/>
      <c r="U39" s="94"/>
      <c r="V39" s="94"/>
    </row>
    <row r="40" ht="24.0" customHeight="1">
      <c r="A40" s="149"/>
      <c r="B40" s="150"/>
      <c r="C40" s="151"/>
      <c r="D40" s="152"/>
      <c r="E40" s="152"/>
      <c r="F40" s="153"/>
      <c r="G40" s="154"/>
      <c r="H40" s="155"/>
      <c r="I40" s="156"/>
      <c r="J40" s="155"/>
      <c r="K40" s="157"/>
      <c r="L40" s="158"/>
      <c r="M40" s="94"/>
      <c r="N40" s="94"/>
      <c r="O40" s="94"/>
      <c r="P40" s="94"/>
      <c r="Q40" s="94"/>
      <c r="R40" s="94"/>
      <c r="S40" s="94"/>
      <c r="T40" s="94"/>
      <c r="U40" s="94"/>
      <c r="V40" s="94"/>
    </row>
    <row r="41" ht="24.0" customHeight="1">
      <c r="A41" s="149"/>
      <c r="B41" s="150"/>
      <c r="C41" s="151"/>
      <c r="D41" s="152"/>
      <c r="E41" s="152"/>
      <c r="F41" s="153"/>
      <c r="G41" s="154"/>
      <c r="H41" s="155"/>
      <c r="I41" s="156"/>
      <c r="J41" s="155"/>
      <c r="K41" s="157"/>
      <c r="L41" s="158"/>
      <c r="M41" s="94"/>
      <c r="N41" s="94"/>
      <c r="O41" s="94"/>
      <c r="P41" s="94"/>
      <c r="Q41" s="94"/>
      <c r="R41" s="94"/>
      <c r="S41" s="94"/>
      <c r="T41" s="94"/>
      <c r="U41" s="94"/>
      <c r="V41" s="94"/>
    </row>
    <row r="42" ht="24.0" customHeight="1">
      <c r="A42" s="149"/>
      <c r="B42" s="150"/>
      <c r="C42" s="151"/>
      <c r="D42" s="152"/>
      <c r="E42" s="152"/>
      <c r="F42" s="153"/>
      <c r="G42" s="154"/>
      <c r="H42" s="155"/>
      <c r="I42" s="156"/>
      <c r="J42" s="155"/>
      <c r="K42" s="157"/>
      <c r="L42" s="158"/>
      <c r="M42" s="94"/>
      <c r="N42" s="94"/>
      <c r="O42" s="94"/>
      <c r="P42" s="94"/>
      <c r="Q42" s="94"/>
      <c r="R42" s="94"/>
      <c r="S42" s="94"/>
      <c r="T42" s="94"/>
      <c r="U42" s="94"/>
      <c r="V42" s="94"/>
    </row>
    <row r="43" ht="24.0" customHeight="1">
      <c r="A43" s="149"/>
      <c r="B43" s="150"/>
      <c r="C43" s="151"/>
      <c r="D43" s="152"/>
      <c r="E43" s="152"/>
      <c r="F43" s="153"/>
      <c r="G43" s="154"/>
      <c r="H43" s="155"/>
      <c r="I43" s="156"/>
      <c r="J43" s="155"/>
      <c r="K43" s="157"/>
      <c r="L43" s="158"/>
      <c r="M43" s="94"/>
      <c r="N43" s="94"/>
      <c r="O43" s="94"/>
      <c r="P43" s="94"/>
      <c r="Q43" s="94"/>
      <c r="R43" s="94"/>
      <c r="S43" s="94"/>
      <c r="T43" s="94"/>
      <c r="U43" s="94"/>
      <c r="V43" s="94"/>
    </row>
    <row r="44" ht="24.0" customHeight="1">
      <c r="A44" s="149"/>
      <c r="B44" s="150"/>
      <c r="C44" s="151"/>
      <c r="D44" s="152"/>
      <c r="E44" s="152"/>
      <c r="F44" s="153"/>
      <c r="G44" s="154"/>
      <c r="H44" s="155"/>
      <c r="I44" s="156"/>
      <c r="J44" s="155"/>
      <c r="K44" s="157"/>
      <c r="L44" s="158"/>
      <c r="M44" s="94"/>
      <c r="N44" s="94"/>
      <c r="O44" s="94"/>
      <c r="P44" s="94"/>
      <c r="Q44" s="94"/>
      <c r="R44" s="94"/>
      <c r="S44" s="94"/>
      <c r="T44" s="94"/>
      <c r="U44" s="94"/>
      <c r="V44" s="94"/>
    </row>
    <row r="45" ht="24.0" customHeight="1">
      <c r="A45" s="149"/>
      <c r="B45" s="150"/>
      <c r="C45" s="151"/>
      <c r="D45" s="152"/>
      <c r="E45" s="152"/>
      <c r="F45" s="153"/>
      <c r="G45" s="154"/>
      <c r="H45" s="155"/>
      <c r="I45" s="156"/>
      <c r="J45" s="155"/>
      <c r="K45" s="157"/>
      <c r="L45" s="158"/>
      <c r="M45" s="94"/>
      <c r="N45" s="94"/>
      <c r="O45" s="94"/>
      <c r="P45" s="94"/>
      <c r="Q45" s="94"/>
      <c r="R45" s="94"/>
      <c r="S45" s="94"/>
      <c r="T45" s="94"/>
      <c r="U45" s="94"/>
      <c r="V45" s="94"/>
    </row>
    <row r="46" ht="24.0" customHeight="1">
      <c r="A46" s="149"/>
      <c r="B46" s="150"/>
      <c r="C46" s="151"/>
      <c r="D46" s="152"/>
      <c r="E46" s="152"/>
      <c r="F46" s="153"/>
      <c r="G46" s="154"/>
      <c r="H46" s="155"/>
      <c r="I46" s="156"/>
      <c r="J46" s="155"/>
      <c r="K46" s="157"/>
      <c r="L46" s="158"/>
      <c r="M46" s="94"/>
      <c r="N46" s="94"/>
      <c r="O46" s="94"/>
      <c r="P46" s="94"/>
      <c r="Q46" s="94"/>
      <c r="R46" s="94"/>
      <c r="S46" s="94"/>
      <c r="T46" s="94"/>
      <c r="U46" s="94"/>
      <c r="V46" s="94"/>
    </row>
    <row r="47" ht="24.0" customHeight="1">
      <c r="A47" s="149"/>
      <c r="B47" s="150"/>
      <c r="C47" s="151"/>
      <c r="D47" s="152"/>
      <c r="E47" s="152"/>
      <c r="F47" s="153"/>
      <c r="G47" s="154"/>
      <c r="H47" s="155"/>
      <c r="I47" s="156"/>
      <c r="J47" s="155"/>
      <c r="K47" s="157"/>
      <c r="L47" s="158"/>
      <c r="M47" s="94"/>
      <c r="N47" s="94"/>
      <c r="O47" s="94"/>
      <c r="P47" s="94"/>
      <c r="Q47" s="94"/>
      <c r="R47" s="94"/>
      <c r="S47" s="94"/>
      <c r="T47" s="94"/>
      <c r="U47" s="94"/>
      <c r="V47" s="94"/>
    </row>
    <row r="48" ht="24.0" customHeight="1">
      <c r="A48" s="149"/>
      <c r="B48" s="150"/>
      <c r="C48" s="151"/>
      <c r="D48" s="152"/>
      <c r="E48" s="152"/>
      <c r="F48" s="153"/>
      <c r="G48" s="154"/>
      <c r="H48" s="155"/>
      <c r="I48" s="156"/>
      <c r="J48" s="155"/>
      <c r="K48" s="157"/>
      <c r="L48" s="158"/>
      <c r="M48" s="94"/>
      <c r="N48" s="94"/>
      <c r="O48" s="94"/>
      <c r="P48" s="94"/>
      <c r="Q48" s="94"/>
      <c r="R48" s="94"/>
      <c r="S48" s="94"/>
      <c r="T48" s="94"/>
      <c r="U48" s="94"/>
      <c r="V48" s="94"/>
    </row>
    <row r="49" ht="24.0" customHeight="1">
      <c r="A49" s="149"/>
      <c r="B49" s="150"/>
      <c r="C49" s="151"/>
      <c r="D49" s="152"/>
      <c r="E49" s="152"/>
      <c r="F49" s="153"/>
      <c r="G49" s="154"/>
      <c r="H49" s="155"/>
      <c r="I49" s="156"/>
      <c r="J49" s="155"/>
      <c r="K49" s="157"/>
      <c r="L49" s="158"/>
      <c r="M49" s="94"/>
      <c r="N49" s="94"/>
      <c r="O49" s="94"/>
      <c r="P49" s="94"/>
      <c r="Q49" s="94"/>
      <c r="R49" s="94"/>
      <c r="S49" s="94"/>
      <c r="T49" s="94"/>
      <c r="U49" s="94"/>
      <c r="V49" s="94"/>
    </row>
    <row r="50" ht="24.0" customHeight="1">
      <c r="A50" s="149"/>
      <c r="B50" s="150"/>
      <c r="C50" s="151"/>
      <c r="D50" s="152"/>
      <c r="E50" s="152"/>
      <c r="F50" s="153"/>
      <c r="G50" s="154"/>
      <c r="H50" s="155"/>
      <c r="I50" s="156"/>
      <c r="J50" s="155"/>
      <c r="K50" s="157"/>
      <c r="L50" s="158"/>
      <c r="M50" s="94"/>
      <c r="N50" s="94"/>
      <c r="O50" s="94"/>
      <c r="P50" s="94"/>
      <c r="Q50" s="94"/>
      <c r="R50" s="94"/>
      <c r="S50" s="94"/>
      <c r="T50" s="94"/>
      <c r="U50" s="94"/>
      <c r="V50" s="94"/>
    </row>
    <row r="51" ht="24.0" customHeight="1">
      <c r="A51" s="149"/>
      <c r="B51" s="150"/>
      <c r="C51" s="151"/>
      <c r="D51" s="152"/>
      <c r="E51" s="152"/>
      <c r="F51" s="153"/>
      <c r="G51" s="154"/>
      <c r="H51" s="155"/>
      <c r="I51" s="156"/>
      <c r="J51" s="155"/>
      <c r="K51" s="157"/>
      <c r="L51" s="158"/>
      <c r="M51" s="94"/>
      <c r="N51" s="94"/>
      <c r="O51" s="94"/>
      <c r="P51" s="94"/>
      <c r="Q51" s="94"/>
      <c r="R51" s="94"/>
      <c r="S51" s="94"/>
      <c r="T51" s="94"/>
      <c r="U51" s="94"/>
      <c r="V51" s="94"/>
    </row>
    <row r="52" ht="24.0" customHeight="1">
      <c r="A52" s="149"/>
      <c r="B52" s="150"/>
      <c r="C52" s="151"/>
      <c r="D52" s="152"/>
      <c r="E52" s="152"/>
      <c r="F52" s="153"/>
      <c r="G52" s="154"/>
      <c r="H52" s="155"/>
      <c r="I52" s="156"/>
      <c r="J52" s="155"/>
      <c r="K52" s="157"/>
      <c r="L52" s="158"/>
      <c r="M52" s="94"/>
      <c r="N52" s="94"/>
      <c r="O52" s="94"/>
      <c r="P52" s="94"/>
      <c r="Q52" s="94"/>
      <c r="R52" s="94"/>
      <c r="S52" s="94"/>
      <c r="T52" s="94"/>
      <c r="U52" s="94"/>
      <c r="V52" s="94"/>
    </row>
    <row r="53" ht="24.0" customHeight="1">
      <c r="A53" s="149"/>
      <c r="B53" s="150"/>
      <c r="C53" s="151"/>
      <c r="D53" s="152"/>
      <c r="E53" s="152"/>
      <c r="F53" s="153"/>
      <c r="G53" s="154"/>
      <c r="H53" s="155"/>
      <c r="I53" s="156"/>
      <c r="J53" s="155"/>
      <c r="K53" s="157"/>
      <c r="L53" s="158"/>
      <c r="M53" s="94"/>
      <c r="N53" s="94"/>
      <c r="O53" s="94"/>
      <c r="P53" s="94"/>
      <c r="Q53" s="94"/>
      <c r="R53" s="94"/>
      <c r="S53" s="94"/>
      <c r="T53" s="94"/>
      <c r="U53" s="94"/>
      <c r="V53" s="94"/>
    </row>
    <row r="54" ht="24.0" customHeight="1">
      <c r="A54" s="149"/>
      <c r="B54" s="150"/>
      <c r="C54" s="151"/>
      <c r="D54" s="152"/>
      <c r="E54" s="152"/>
      <c r="F54" s="153"/>
      <c r="G54" s="154"/>
      <c r="H54" s="155"/>
      <c r="I54" s="156"/>
      <c r="J54" s="155"/>
      <c r="K54" s="157"/>
      <c r="L54" s="158"/>
      <c r="M54" s="94"/>
      <c r="N54" s="94"/>
      <c r="O54" s="94"/>
      <c r="P54" s="94"/>
      <c r="Q54" s="94"/>
      <c r="R54" s="94"/>
      <c r="S54" s="94"/>
      <c r="T54" s="94"/>
      <c r="U54" s="94"/>
      <c r="V54" s="94"/>
    </row>
    <row r="55" ht="24.0" customHeight="1">
      <c r="A55" s="149"/>
      <c r="B55" s="150"/>
      <c r="C55" s="151"/>
      <c r="D55" s="152"/>
      <c r="E55" s="152"/>
      <c r="F55" s="153"/>
      <c r="G55" s="154"/>
      <c r="H55" s="155"/>
      <c r="I55" s="156"/>
      <c r="J55" s="155"/>
      <c r="K55" s="157"/>
      <c r="L55" s="158"/>
      <c r="M55" s="94"/>
      <c r="N55" s="94"/>
      <c r="O55" s="94"/>
      <c r="P55" s="94"/>
      <c r="Q55" s="94"/>
      <c r="R55" s="94"/>
      <c r="S55" s="94"/>
      <c r="T55" s="94"/>
      <c r="U55" s="94"/>
      <c r="V55" s="94"/>
    </row>
    <row r="56" ht="24.0" customHeight="1">
      <c r="A56" s="149"/>
      <c r="B56" s="150"/>
      <c r="C56" s="151"/>
      <c r="D56" s="152"/>
      <c r="E56" s="152"/>
      <c r="F56" s="153"/>
      <c r="G56" s="154"/>
      <c r="H56" s="155"/>
      <c r="I56" s="156"/>
      <c r="J56" s="155"/>
      <c r="K56" s="157"/>
      <c r="L56" s="158"/>
      <c r="M56" s="94"/>
      <c r="N56" s="94"/>
      <c r="O56" s="94"/>
      <c r="P56" s="94"/>
      <c r="Q56" s="94"/>
      <c r="R56" s="94"/>
      <c r="S56" s="94"/>
      <c r="T56" s="94"/>
      <c r="U56" s="94"/>
      <c r="V56" s="94"/>
    </row>
    <row r="57" ht="24.0" customHeight="1">
      <c r="A57" s="149"/>
      <c r="B57" s="150"/>
      <c r="C57" s="151"/>
      <c r="D57" s="152"/>
      <c r="E57" s="152"/>
      <c r="F57" s="153"/>
      <c r="G57" s="154"/>
      <c r="H57" s="155"/>
      <c r="I57" s="156"/>
      <c r="J57" s="155"/>
      <c r="K57" s="157"/>
      <c r="L57" s="158"/>
      <c r="M57" s="94"/>
      <c r="N57" s="94"/>
      <c r="O57" s="94"/>
      <c r="P57" s="94"/>
      <c r="Q57" s="94"/>
      <c r="R57" s="94"/>
      <c r="S57" s="94"/>
      <c r="T57" s="94"/>
      <c r="U57" s="94"/>
      <c r="V57" s="94"/>
    </row>
    <row r="58" ht="24.0" customHeight="1">
      <c r="A58" s="149"/>
      <c r="B58" s="150"/>
      <c r="C58" s="151"/>
      <c r="D58" s="152"/>
      <c r="E58" s="152"/>
      <c r="F58" s="153"/>
      <c r="G58" s="154"/>
      <c r="H58" s="155"/>
      <c r="I58" s="156"/>
      <c r="J58" s="155"/>
      <c r="K58" s="157"/>
      <c r="L58" s="158"/>
      <c r="M58" s="94"/>
      <c r="N58" s="94"/>
      <c r="O58" s="94"/>
      <c r="P58" s="94"/>
      <c r="Q58" s="94"/>
      <c r="R58" s="94"/>
      <c r="S58" s="94"/>
      <c r="T58" s="94"/>
      <c r="U58" s="94"/>
      <c r="V58" s="94"/>
    </row>
    <row r="59" ht="24.0" customHeight="1">
      <c r="A59" s="149"/>
      <c r="B59" s="150"/>
      <c r="C59" s="151"/>
      <c r="D59" s="152"/>
      <c r="E59" s="152"/>
      <c r="F59" s="153"/>
      <c r="G59" s="154"/>
      <c r="H59" s="155"/>
      <c r="I59" s="156"/>
      <c r="J59" s="155"/>
      <c r="K59" s="157"/>
      <c r="L59" s="158"/>
      <c r="M59" s="94"/>
      <c r="N59" s="94"/>
      <c r="O59" s="94"/>
      <c r="P59" s="94"/>
      <c r="Q59" s="94"/>
      <c r="R59" s="94"/>
      <c r="S59" s="94"/>
      <c r="T59" s="94"/>
      <c r="U59" s="94"/>
      <c r="V59" s="94"/>
    </row>
    <row r="60" ht="24.0" customHeight="1">
      <c r="A60" s="149"/>
      <c r="B60" s="150"/>
      <c r="C60" s="151"/>
      <c r="D60" s="152"/>
      <c r="E60" s="152"/>
      <c r="F60" s="153"/>
      <c r="G60" s="154"/>
      <c r="H60" s="155"/>
      <c r="I60" s="156"/>
      <c r="J60" s="155"/>
      <c r="K60" s="157"/>
      <c r="L60" s="158"/>
      <c r="M60" s="94"/>
      <c r="N60" s="94"/>
      <c r="O60" s="94"/>
      <c r="P60" s="94"/>
      <c r="Q60" s="94"/>
      <c r="R60" s="94"/>
      <c r="S60" s="94"/>
      <c r="T60" s="94"/>
      <c r="U60" s="94"/>
      <c r="V60" s="94"/>
    </row>
    <row r="61" ht="24.0" customHeight="1">
      <c r="A61" s="149"/>
      <c r="B61" s="150"/>
      <c r="C61" s="151"/>
      <c r="D61" s="152"/>
      <c r="E61" s="152"/>
      <c r="F61" s="153"/>
      <c r="G61" s="154"/>
      <c r="H61" s="155"/>
      <c r="I61" s="156"/>
      <c r="J61" s="155"/>
      <c r="K61" s="157"/>
      <c r="L61" s="161"/>
      <c r="M61" s="94"/>
      <c r="N61" s="94"/>
      <c r="O61" s="94"/>
      <c r="P61" s="94"/>
      <c r="Q61" s="94"/>
      <c r="R61" s="94"/>
      <c r="S61" s="94"/>
      <c r="T61" s="94"/>
      <c r="U61" s="94"/>
      <c r="V61" s="94"/>
    </row>
    <row r="62" ht="24.0" customHeight="1">
      <c r="A62" s="149"/>
      <c r="B62" s="150"/>
      <c r="C62" s="151"/>
      <c r="D62" s="152"/>
      <c r="E62" s="152"/>
      <c r="F62" s="153"/>
      <c r="G62" s="154"/>
      <c r="H62" s="155"/>
      <c r="I62" s="156"/>
      <c r="J62" s="155"/>
      <c r="K62" s="157"/>
      <c r="L62" s="161"/>
      <c r="M62" s="94"/>
      <c r="N62" s="94"/>
      <c r="O62" s="94"/>
      <c r="P62" s="94"/>
      <c r="Q62" s="94"/>
      <c r="R62" s="94"/>
      <c r="S62" s="94"/>
      <c r="T62" s="94"/>
      <c r="U62" s="94"/>
      <c r="V62" s="94"/>
    </row>
    <row r="63" ht="24.0" customHeight="1">
      <c r="A63" s="149"/>
      <c r="B63" s="150"/>
      <c r="C63" s="151"/>
      <c r="D63" s="152"/>
      <c r="E63" s="152"/>
      <c r="F63" s="153"/>
      <c r="G63" s="154"/>
      <c r="H63" s="155"/>
      <c r="I63" s="156"/>
      <c r="J63" s="155"/>
      <c r="K63" s="157"/>
      <c r="L63" s="158"/>
      <c r="M63" s="94"/>
      <c r="N63" s="94"/>
      <c r="O63" s="94"/>
      <c r="P63" s="94"/>
      <c r="Q63" s="94"/>
      <c r="R63" s="94"/>
      <c r="S63" s="94"/>
      <c r="T63" s="94"/>
      <c r="U63" s="94"/>
      <c r="V63" s="94"/>
    </row>
    <row r="64" ht="24.0" customHeight="1">
      <c r="A64" s="149"/>
      <c r="B64" s="150"/>
      <c r="C64" s="151"/>
      <c r="D64" s="152"/>
      <c r="E64" s="152"/>
      <c r="F64" s="153"/>
      <c r="G64" s="154"/>
      <c r="H64" s="155"/>
      <c r="I64" s="156"/>
      <c r="J64" s="155"/>
      <c r="K64" s="157"/>
      <c r="L64" s="158"/>
      <c r="M64" s="94"/>
      <c r="N64" s="94"/>
      <c r="O64" s="94"/>
      <c r="P64" s="94"/>
      <c r="Q64" s="94"/>
      <c r="R64" s="94"/>
      <c r="S64" s="94"/>
      <c r="T64" s="94"/>
      <c r="U64" s="94"/>
      <c r="V64" s="94"/>
    </row>
    <row r="65" ht="24.0" customHeight="1">
      <c r="A65" s="149"/>
      <c r="B65" s="150"/>
      <c r="C65" s="151"/>
      <c r="D65" s="152"/>
      <c r="E65" s="152"/>
      <c r="F65" s="153"/>
      <c r="G65" s="154"/>
      <c r="H65" s="155"/>
      <c r="I65" s="156"/>
      <c r="J65" s="155"/>
      <c r="K65" s="157"/>
      <c r="L65" s="158"/>
      <c r="M65" s="94"/>
      <c r="N65" s="94"/>
      <c r="O65" s="94"/>
      <c r="P65" s="94"/>
      <c r="Q65" s="94"/>
      <c r="R65" s="94"/>
      <c r="S65" s="94"/>
      <c r="T65" s="94"/>
      <c r="U65" s="94"/>
      <c r="V65" s="94"/>
    </row>
    <row r="66" ht="24.0" customHeight="1">
      <c r="A66" s="149"/>
      <c r="B66" s="150"/>
      <c r="C66" s="151"/>
      <c r="D66" s="152"/>
      <c r="E66" s="152"/>
      <c r="F66" s="153"/>
      <c r="G66" s="154"/>
      <c r="H66" s="155"/>
      <c r="I66" s="156"/>
      <c r="J66" s="155"/>
      <c r="K66" s="157"/>
      <c r="L66" s="158"/>
      <c r="M66" s="94"/>
      <c r="N66" s="94"/>
      <c r="O66" s="94"/>
      <c r="P66" s="94"/>
      <c r="Q66" s="94"/>
      <c r="R66" s="94"/>
      <c r="S66" s="94"/>
      <c r="T66" s="94"/>
      <c r="U66" s="94"/>
      <c r="V66" s="94"/>
    </row>
    <row r="67" ht="24.0" customHeight="1">
      <c r="A67" s="149"/>
      <c r="B67" s="150"/>
      <c r="C67" s="151"/>
      <c r="D67" s="152"/>
      <c r="E67" s="152"/>
      <c r="F67" s="153"/>
      <c r="G67" s="154"/>
      <c r="H67" s="155"/>
      <c r="I67" s="156"/>
      <c r="J67" s="155"/>
      <c r="K67" s="157"/>
      <c r="L67" s="158"/>
      <c r="M67" s="94"/>
      <c r="N67" s="94"/>
      <c r="O67" s="94"/>
      <c r="P67" s="94"/>
      <c r="Q67" s="94"/>
      <c r="R67" s="94"/>
      <c r="S67" s="94"/>
      <c r="T67" s="94"/>
      <c r="U67" s="94"/>
      <c r="V67" s="94"/>
    </row>
    <row r="68" ht="24.0" customHeight="1">
      <c r="A68" s="149"/>
      <c r="B68" s="150"/>
      <c r="C68" s="151"/>
      <c r="D68" s="152"/>
      <c r="E68" s="152"/>
      <c r="F68" s="153"/>
      <c r="G68" s="154"/>
      <c r="H68" s="155"/>
      <c r="I68" s="156"/>
      <c r="J68" s="155"/>
      <c r="K68" s="157"/>
      <c r="L68" s="158"/>
      <c r="M68" s="94"/>
      <c r="N68" s="94"/>
      <c r="O68" s="94"/>
      <c r="P68" s="94"/>
      <c r="Q68" s="94"/>
      <c r="R68" s="94"/>
      <c r="S68" s="94"/>
      <c r="T68" s="94"/>
      <c r="U68" s="94"/>
      <c r="V68" s="94"/>
    </row>
    <row r="69" ht="24.0" customHeight="1">
      <c r="A69" s="149"/>
      <c r="B69" s="150"/>
      <c r="C69" s="151"/>
      <c r="D69" s="152"/>
      <c r="E69" s="152"/>
      <c r="F69" s="153"/>
      <c r="G69" s="154"/>
      <c r="H69" s="155"/>
      <c r="I69" s="156"/>
      <c r="J69" s="155"/>
      <c r="K69" s="157"/>
      <c r="L69" s="158"/>
      <c r="M69" s="94"/>
      <c r="N69" s="94"/>
      <c r="O69" s="94"/>
      <c r="P69" s="94"/>
      <c r="Q69" s="94"/>
      <c r="R69" s="94"/>
      <c r="S69" s="94"/>
      <c r="T69" s="94"/>
      <c r="U69" s="94"/>
      <c r="V69" s="94"/>
    </row>
    <row r="70" ht="24.0" customHeight="1">
      <c r="A70" s="149"/>
      <c r="B70" s="150"/>
      <c r="C70" s="151"/>
      <c r="D70" s="152"/>
      <c r="E70" s="152"/>
      <c r="F70" s="153"/>
      <c r="G70" s="154"/>
      <c r="H70" s="155"/>
      <c r="I70" s="156"/>
      <c r="J70" s="155"/>
      <c r="K70" s="157"/>
      <c r="L70" s="158"/>
      <c r="M70" s="94"/>
      <c r="N70" s="94"/>
      <c r="O70" s="94"/>
      <c r="P70" s="94"/>
      <c r="Q70" s="94"/>
      <c r="R70" s="94"/>
      <c r="S70" s="94"/>
      <c r="T70" s="94"/>
      <c r="U70" s="94"/>
      <c r="V70" s="94"/>
    </row>
    <row r="71" ht="24.0" customHeight="1">
      <c r="A71" s="149"/>
      <c r="B71" s="150"/>
      <c r="C71" s="151"/>
      <c r="D71" s="152"/>
      <c r="E71" s="152"/>
      <c r="F71" s="153"/>
      <c r="G71" s="154"/>
      <c r="H71" s="155"/>
      <c r="I71" s="156"/>
      <c r="J71" s="155"/>
      <c r="K71" s="157"/>
      <c r="L71" s="158"/>
      <c r="M71" s="94"/>
      <c r="N71" s="94"/>
      <c r="O71" s="94"/>
      <c r="P71" s="94"/>
      <c r="Q71" s="94"/>
      <c r="R71" s="94"/>
      <c r="S71" s="94"/>
      <c r="T71" s="94"/>
      <c r="U71" s="94"/>
      <c r="V71" s="94"/>
    </row>
    <row r="72" ht="24.0" customHeight="1">
      <c r="A72" s="149"/>
      <c r="B72" s="150"/>
      <c r="C72" s="151"/>
      <c r="D72" s="152"/>
      <c r="E72" s="152"/>
      <c r="F72" s="153"/>
      <c r="G72" s="154"/>
      <c r="H72" s="155"/>
      <c r="I72" s="156"/>
      <c r="J72" s="155"/>
      <c r="K72" s="157"/>
      <c r="L72" s="158"/>
      <c r="M72" s="94"/>
      <c r="N72" s="94"/>
      <c r="O72" s="94"/>
      <c r="P72" s="94"/>
      <c r="Q72" s="94"/>
      <c r="R72" s="94"/>
      <c r="S72" s="94"/>
      <c r="T72" s="94"/>
      <c r="U72" s="94"/>
      <c r="V72" s="94"/>
    </row>
    <row r="73" ht="24.0" customHeight="1">
      <c r="A73" s="162"/>
      <c r="B73" s="163"/>
      <c r="C73" s="164"/>
      <c r="D73" s="165"/>
      <c r="E73" s="165"/>
      <c r="F73" s="166"/>
      <c r="G73" s="167"/>
      <c r="H73" s="168"/>
      <c r="I73" s="169"/>
      <c r="J73" s="168"/>
      <c r="K73" s="170"/>
      <c r="L73" s="171"/>
      <c r="M73" s="94"/>
      <c r="N73" s="94"/>
      <c r="O73" s="94"/>
      <c r="P73" s="94"/>
      <c r="Q73" s="94"/>
      <c r="R73" s="94"/>
      <c r="S73" s="94"/>
      <c r="T73" s="94"/>
      <c r="U73" s="94"/>
      <c r="V73" s="94"/>
    </row>
    <row r="74" ht="24.0" customHeight="1">
      <c r="A74" s="149"/>
      <c r="B74" s="150"/>
      <c r="C74" s="151"/>
      <c r="D74" s="152"/>
      <c r="E74" s="152"/>
      <c r="F74" s="153"/>
      <c r="G74" s="154"/>
      <c r="H74" s="155"/>
      <c r="I74" s="156"/>
      <c r="J74" s="155"/>
      <c r="K74" s="157"/>
      <c r="L74" s="158"/>
      <c r="M74" s="94"/>
      <c r="N74" s="94"/>
      <c r="O74" s="94"/>
      <c r="P74" s="94"/>
      <c r="Q74" s="94"/>
      <c r="R74" s="94"/>
      <c r="S74" s="94"/>
      <c r="T74" s="94"/>
      <c r="U74" s="94"/>
      <c r="V74" s="94"/>
    </row>
    <row r="75" ht="24.0" customHeight="1">
      <c r="A75" s="149"/>
      <c r="B75" s="150"/>
      <c r="C75" s="151"/>
      <c r="D75" s="152"/>
      <c r="E75" s="152"/>
      <c r="F75" s="153"/>
      <c r="G75" s="154"/>
      <c r="H75" s="155"/>
      <c r="I75" s="156"/>
      <c r="J75" s="155"/>
      <c r="K75" s="157"/>
      <c r="L75" s="158"/>
      <c r="M75" s="94"/>
      <c r="N75" s="94"/>
      <c r="O75" s="94"/>
      <c r="P75" s="94"/>
      <c r="Q75" s="94"/>
      <c r="R75" s="94"/>
      <c r="S75" s="94"/>
      <c r="T75" s="94"/>
      <c r="U75" s="94"/>
      <c r="V75" s="94"/>
    </row>
    <row r="76" ht="24.0" customHeight="1">
      <c r="A76" s="149"/>
      <c r="B76" s="150"/>
      <c r="C76" s="151"/>
      <c r="D76" s="152"/>
      <c r="E76" s="152"/>
      <c r="F76" s="153"/>
      <c r="G76" s="154"/>
      <c r="H76" s="155"/>
      <c r="I76" s="156"/>
      <c r="J76" s="155"/>
      <c r="K76" s="157"/>
      <c r="L76" s="158"/>
      <c r="M76" s="94"/>
      <c r="N76" s="94"/>
      <c r="O76" s="94"/>
      <c r="P76" s="94"/>
      <c r="Q76" s="94"/>
      <c r="R76" s="94"/>
      <c r="S76" s="94"/>
      <c r="T76" s="94"/>
      <c r="U76" s="94"/>
      <c r="V76" s="94"/>
    </row>
    <row r="77" ht="24.0" customHeight="1">
      <c r="A77" s="149"/>
      <c r="B77" s="150"/>
      <c r="C77" s="151"/>
      <c r="D77" s="152"/>
      <c r="E77" s="152"/>
      <c r="F77" s="153"/>
      <c r="G77" s="154"/>
      <c r="H77" s="155"/>
      <c r="I77" s="156"/>
      <c r="J77" s="155"/>
      <c r="K77" s="157"/>
      <c r="L77" s="158"/>
      <c r="M77" s="94"/>
      <c r="N77" s="94"/>
      <c r="O77" s="94"/>
      <c r="P77" s="94"/>
      <c r="Q77" s="94"/>
      <c r="R77" s="94"/>
      <c r="S77" s="94"/>
      <c r="T77" s="94"/>
      <c r="U77" s="94"/>
      <c r="V77" s="94"/>
    </row>
    <row r="78" ht="24.0" customHeight="1">
      <c r="A78" s="149"/>
      <c r="B78" s="150"/>
      <c r="C78" s="151"/>
      <c r="D78" s="152"/>
      <c r="E78" s="152"/>
      <c r="F78" s="153"/>
      <c r="G78" s="154"/>
      <c r="H78" s="155"/>
      <c r="I78" s="156"/>
      <c r="J78" s="155"/>
      <c r="K78" s="157"/>
      <c r="L78" s="158"/>
      <c r="M78" s="94"/>
      <c r="N78" s="94"/>
      <c r="O78" s="94"/>
      <c r="P78" s="94"/>
      <c r="Q78" s="94"/>
      <c r="R78" s="94"/>
      <c r="S78" s="94"/>
      <c r="T78" s="94"/>
      <c r="U78" s="94"/>
      <c r="V78" s="94"/>
    </row>
    <row r="79" ht="24.0" customHeight="1">
      <c r="A79" s="149"/>
      <c r="B79" s="150"/>
      <c r="C79" s="151"/>
      <c r="D79" s="152"/>
      <c r="E79" s="152"/>
      <c r="F79" s="153"/>
      <c r="G79" s="154"/>
      <c r="H79" s="155"/>
      <c r="I79" s="156"/>
      <c r="J79" s="155"/>
      <c r="K79" s="157"/>
      <c r="L79" s="158"/>
      <c r="M79" s="94"/>
      <c r="N79" s="94"/>
      <c r="O79" s="94"/>
      <c r="P79" s="94"/>
      <c r="Q79" s="94"/>
      <c r="R79" s="94"/>
      <c r="S79" s="94"/>
      <c r="T79" s="94"/>
      <c r="U79" s="94"/>
      <c r="V79" s="94"/>
    </row>
    <row r="80" ht="24.0" customHeight="1">
      <c r="A80" s="149"/>
      <c r="B80" s="150"/>
      <c r="C80" s="151"/>
      <c r="D80" s="152"/>
      <c r="E80" s="152"/>
      <c r="F80" s="153"/>
      <c r="G80" s="154"/>
      <c r="H80" s="155"/>
      <c r="I80" s="156"/>
      <c r="J80" s="155"/>
      <c r="K80" s="157"/>
      <c r="L80" s="158"/>
      <c r="M80" s="94"/>
      <c r="N80" s="94"/>
      <c r="O80" s="94"/>
      <c r="P80" s="94"/>
      <c r="Q80" s="94"/>
      <c r="R80" s="94"/>
      <c r="S80" s="94"/>
      <c r="T80" s="94"/>
      <c r="U80" s="94"/>
      <c r="V80" s="94"/>
    </row>
    <row r="81" ht="24.0" customHeight="1">
      <c r="A81" s="149"/>
      <c r="B81" s="150"/>
      <c r="C81" s="151"/>
      <c r="D81" s="152"/>
      <c r="E81" s="152"/>
      <c r="F81" s="153"/>
      <c r="G81" s="154"/>
      <c r="H81" s="155"/>
      <c r="I81" s="156"/>
      <c r="J81" s="155"/>
      <c r="K81" s="157"/>
      <c r="L81" s="158"/>
      <c r="M81" s="94"/>
      <c r="N81" s="94"/>
      <c r="O81" s="94"/>
      <c r="P81" s="94"/>
      <c r="Q81" s="94"/>
      <c r="R81" s="94"/>
      <c r="S81" s="94"/>
      <c r="T81" s="94"/>
      <c r="U81" s="94"/>
      <c r="V81" s="94"/>
    </row>
    <row r="82" ht="24.0" customHeight="1">
      <c r="A82" s="149"/>
      <c r="B82" s="150"/>
      <c r="C82" s="151"/>
      <c r="D82" s="152"/>
      <c r="E82" s="152"/>
      <c r="F82" s="153"/>
      <c r="G82" s="154"/>
      <c r="H82" s="155"/>
      <c r="I82" s="156"/>
      <c r="J82" s="155"/>
      <c r="K82" s="157"/>
      <c r="L82" s="158"/>
      <c r="M82" s="94"/>
      <c r="N82" s="94"/>
      <c r="O82" s="94"/>
      <c r="P82" s="94"/>
      <c r="Q82" s="94"/>
      <c r="R82" s="94"/>
      <c r="S82" s="94"/>
      <c r="T82" s="94"/>
      <c r="U82" s="94"/>
      <c r="V82" s="94"/>
    </row>
    <row r="83" ht="24.0" customHeight="1">
      <c r="A83" s="149"/>
      <c r="B83" s="150"/>
      <c r="C83" s="151"/>
      <c r="D83" s="152"/>
      <c r="E83" s="152"/>
      <c r="F83" s="153"/>
      <c r="G83" s="154"/>
      <c r="H83" s="155"/>
      <c r="I83" s="156"/>
      <c r="J83" s="155"/>
      <c r="K83" s="157"/>
      <c r="L83" s="158"/>
      <c r="M83" s="94"/>
      <c r="N83" s="94"/>
      <c r="O83" s="94"/>
      <c r="P83" s="94"/>
      <c r="Q83" s="94"/>
      <c r="R83" s="94"/>
      <c r="S83" s="94"/>
      <c r="T83" s="94"/>
      <c r="U83" s="94"/>
      <c r="V83" s="94"/>
    </row>
    <row r="84" ht="24.0" customHeight="1">
      <c r="A84" s="149"/>
      <c r="B84" s="150"/>
      <c r="C84" s="151"/>
      <c r="D84" s="152"/>
      <c r="E84" s="152"/>
      <c r="F84" s="153"/>
      <c r="G84" s="154"/>
      <c r="H84" s="155"/>
      <c r="I84" s="156"/>
      <c r="J84" s="155"/>
      <c r="K84" s="157"/>
      <c r="L84" s="158"/>
      <c r="M84" s="94"/>
      <c r="N84" s="94"/>
      <c r="O84" s="94"/>
      <c r="P84" s="94"/>
      <c r="Q84" s="94"/>
      <c r="R84" s="94"/>
      <c r="S84" s="94"/>
      <c r="T84" s="94"/>
      <c r="U84" s="94"/>
      <c r="V84" s="94"/>
    </row>
    <row r="85" ht="24.0" customHeight="1">
      <c r="A85" s="149"/>
      <c r="B85" s="150"/>
      <c r="C85" s="151"/>
      <c r="D85" s="152"/>
      <c r="E85" s="152"/>
      <c r="F85" s="153"/>
      <c r="G85" s="154"/>
      <c r="H85" s="155"/>
      <c r="I85" s="156"/>
      <c r="J85" s="155"/>
      <c r="K85" s="157"/>
      <c r="L85" s="158"/>
      <c r="M85" s="94"/>
      <c r="N85" s="94"/>
      <c r="O85" s="94"/>
      <c r="P85" s="94"/>
      <c r="Q85" s="94"/>
      <c r="R85" s="94"/>
      <c r="S85" s="94"/>
      <c r="T85" s="94"/>
      <c r="U85" s="94"/>
      <c r="V85" s="94"/>
    </row>
    <row r="86" ht="24.0" customHeight="1">
      <c r="A86" s="149"/>
      <c r="B86" s="150"/>
      <c r="C86" s="151"/>
      <c r="D86" s="152"/>
      <c r="E86" s="152"/>
      <c r="F86" s="153"/>
      <c r="G86" s="154"/>
      <c r="H86" s="155"/>
      <c r="I86" s="156"/>
      <c r="J86" s="155"/>
      <c r="K86" s="157"/>
      <c r="L86" s="158"/>
      <c r="M86" s="94"/>
      <c r="N86" s="94"/>
      <c r="O86" s="94"/>
      <c r="P86" s="94"/>
      <c r="Q86" s="94"/>
      <c r="R86" s="94"/>
      <c r="S86" s="94"/>
      <c r="T86" s="94"/>
      <c r="U86" s="94"/>
      <c r="V86" s="94"/>
    </row>
    <row r="87" ht="24.0" customHeight="1">
      <c r="A87" s="149"/>
      <c r="B87" s="150"/>
      <c r="C87" s="151"/>
      <c r="D87" s="152"/>
      <c r="E87" s="152"/>
      <c r="F87" s="153"/>
      <c r="G87" s="154"/>
      <c r="H87" s="155"/>
      <c r="I87" s="156"/>
      <c r="J87" s="155"/>
      <c r="K87" s="157"/>
      <c r="L87" s="158"/>
      <c r="M87" s="94"/>
      <c r="N87" s="94"/>
      <c r="O87" s="94"/>
      <c r="P87" s="94"/>
      <c r="Q87" s="94"/>
      <c r="R87" s="94"/>
      <c r="S87" s="94"/>
      <c r="T87" s="94"/>
      <c r="U87" s="94"/>
      <c r="V87" s="94"/>
    </row>
    <row r="88" ht="24.0" customHeight="1">
      <c r="A88" s="149"/>
      <c r="B88" s="150"/>
      <c r="C88" s="151"/>
      <c r="D88" s="152"/>
      <c r="E88" s="152"/>
      <c r="F88" s="153"/>
      <c r="G88" s="154"/>
      <c r="H88" s="155"/>
      <c r="I88" s="156"/>
      <c r="J88" s="155"/>
      <c r="K88" s="157"/>
      <c r="L88" s="158"/>
      <c r="M88" s="94"/>
      <c r="N88" s="94"/>
      <c r="O88" s="94"/>
      <c r="P88" s="94"/>
      <c r="Q88" s="94"/>
      <c r="R88" s="94"/>
      <c r="S88" s="94"/>
      <c r="T88" s="94"/>
      <c r="U88" s="94"/>
      <c r="V88" s="94"/>
    </row>
    <row r="89" ht="24.0" customHeight="1">
      <c r="A89" s="149"/>
      <c r="B89" s="150"/>
      <c r="C89" s="151"/>
      <c r="D89" s="152"/>
      <c r="E89" s="152"/>
      <c r="F89" s="153"/>
      <c r="G89" s="154"/>
      <c r="H89" s="155"/>
      <c r="I89" s="156"/>
      <c r="J89" s="155"/>
      <c r="K89" s="157"/>
      <c r="L89" s="158"/>
      <c r="M89" s="94"/>
      <c r="N89" s="94"/>
      <c r="O89" s="94"/>
      <c r="P89" s="94"/>
      <c r="Q89" s="94"/>
      <c r="R89" s="94"/>
      <c r="S89" s="94"/>
      <c r="T89" s="94"/>
      <c r="U89" s="94"/>
      <c r="V89" s="94"/>
    </row>
    <row r="90" ht="24.0" customHeight="1">
      <c r="A90" s="149"/>
      <c r="B90" s="150"/>
      <c r="C90" s="151"/>
      <c r="D90" s="152"/>
      <c r="E90" s="152"/>
      <c r="F90" s="153"/>
      <c r="G90" s="154"/>
      <c r="H90" s="155"/>
      <c r="I90" s="156"/>
      <c r="J90" s="155"/>
      <c r="K90" s="157"/>
      <c r="L90" s="158"/>
      <c r="M90" s="94"/>
      <c r="N90" s="94"/>
      <c r="O90" s="94"/>
      <c r="P90" s="94"/>
      <c r="Q90" s="94"/>
      <c r="R90" s="94"/>
      <c r="S90" s="94"/>
      <c r="T90" s="94"/>
      <c r="U90" s="94"/>
      <c r="V90" s="94"/>
    </row>
    <row r="91" ht="24.0" customHeight="1">
      <c r="A91" s="149"/>
      <c r="B91" s="150"/>
      <c r="C91" s="151"/>
      <c r="D91" s="152"/>
      <c r="E91" s="152"/>
      <c r="F91" s="153"/>
      <c r="G91" s="154"/>
      <c r="H91" s="155"/>
      <c r="I91" s="156"/>
      <c r="J91" s="155"/>
      <c r="K91" s="157"/>
      <c r="L91" s="158"/>
      <c r="M91" s="94"/>
      <c r="N91" s="94"/>
      <c r="O91" s="94"/>
      <c r="P91" s="94"/>
      <c r="Q91" s="94"/>
      <c r="R91" s="94"/>
      <c r="S91" s="94"/>
      <c r="T91" s="94"/>
      <c r="U91" s="94"/>
      <c r="V91" s="94"/>
    </row>
    <row r="92" ht="24.0" customHeight="1">
      <c r="A92" s="149"/>
      <c r="B92" s="150"/>
      <c r="C92" s="151"/>
      <c r="D92" s="152"/>
      <c r="E92" s="152"/>
      <c r="F92" s="153"/>
      <c r="G92" s="154"/>
      <c r="H92" s="155"/>
      <c r="I92" s="156"/>
      <c r="J92" s="155"/>
      <c r="K92" s="157"/>
      <c r="L92" s="158"/>
      <c r="M92" s="94"/>
      <c r="N92" s="94"/>
      <c r="O92" s="94"/>
      <c r="P92" s="94"/>
      <c r="Q92" s="94"/>
      <c r="R92" s="94"/>
      <c r="S92" s="94"/>
      <c r="T92" s="94"/>
      <c r="U92" s="94"/>
      <c r="V92" s="94"/>
    </row>
    <row r="93" ht="24.0" customHeight="1">
      <c r="A93" s="149"/>
      <c r="B93" s="150"/>
      <c r="C93" s="151"/>
      <c r="D93" s="152"/>
      <c r="E93" s="152"/>
      <c r="F93" s="153"/>
      <c r="G93" s="154"/>
      <c r="H93" s="155"/>
      <c r="I93" s="156"/>
      <c r="J93" s="155"/>
      <c r="K93" s="157"/>
      <c r="L93" s="158"/>
      <c r="M93" s="94"/>
      <c r="N93" s="94"/>
      <c r="O93" s="94"/>
      <c r="P93" s="94"/>
      <c r="Q93" s="94"/>
      <c r="R93" s="94"/>
      <c r="S93" s="94"/>
      <c r="T93" s="94"/>
      <c r="U93" s="94"/>
      <c r="V93" s="94"/>
    </row>
    <row r="94" ht="24.0" customHeight="1">
      <c r="A94" s="149"/>
      <c r="B94" s="150"/>
      <c r="C94" s="151"/>
      <c r="D94" s="152"/>
      <c r="E94" s="152"/>
      <c r="F94" s="153"/>
      <c r="G94" s="154"/>
      <c r="H94" s="155"/>
      <c r="I94" s="156"/>
      <c r="J94" s="155"/>
      <c r="K94" s="157"/>
      <c r="L94" s="158"/>
      <c r="M94" s="94"/>
      <c r="N94" s="94"/>
      <c r="O94" s="94"/>
      <c r="P94" s="94"/>
      <c r="Q94" s="94"/>
      <c r="R94" s="94"/>
      <c r="S94" s="94"/>
      <c r="T94" s="94"/>
      <c r="U94" s="94"/>
      <c r="V94" s="94"/>
    </row>
    <row r="95" ht="24.0" customHeight="1">
      <c r="A95" s="149"/>
      <c r="B95" s="150"/>
      <c r="C95" s="151"/>
      <c r="D95" s="152"/>
      <c r="E95" s="152"/>
      <c r="F95" s="153"/>
      <c r="G95" s="154"/>
      <c r="H95" s="155"/>
      <c r="I95" s="156"/>
      <c r="J95" s="155"/>
      <c r="K95" s="157"/>
      <c r="L95" s="158"/>
      <c r="M95" s="94"/>
      <c r="N95" s="94"/>
      <c r="O95" s="94"/>
      <c r="P95" s="94"/>
      <c r="Q95" s="94"/>
      <c r="R95" s="94"/>
      <c r="S95" s="94"/>
      <c r="T95" s="94"/>
      <c r="U95" s="94"/>
      <c r="V95" s="94"/>
    </row>
    <row r="96" ht="24.0" customHeight="1">
      <c r="A96" s="149"/>
      <c r="B96" s="150"/>
      <c r="C96" s="151"/>
      <c r="D96" s="152"/>
      <c r="E96" s="152"/>
      <c r="F96" s="153"/>
      <c r="G96" s="154"/>
      <c r="H96" s="155"/>
      <c r="I96" s="156"/>
      <c r="J96" s="155"/>
      <c r="K96" s="157"/>
      <c r="L96" s="158"/>
      <c r="M96" s="94"/>
      <c r="N96" s="94"/>
      <c r="O96" s="94"/>
      <c r="P96" s="94"/>
      <c r="Q96" s="94"/>
      <c r="R96" s="94"/>
      <c r="S96" s="94"/>
      <c r="T96" s="94"/>
      <c r="U96" s="94"/>
      <c r="V96" s="94"/>
    </row>
    <row r="97" ht="24.0" customHeight="1">
      <c r="A97" s="149"/>
      <c r="B97" s="150"/>
      <c r="C97" s="151"/>
      <c r="D97" s="152"/>
      <c r="E97" s="152"/>
      <c r="F97" s="153"/>
      <c r="G97" s="154"/>
      <c r="H97" s="155"/>
      <c r="I97" s="156"/>
      <c r="J97" s="155"/>
      <c r="K97" s="157"/>
      <c r="L97" s="158"/>
      <c r="M97" s="94"/>
      <c r="N97" s="94"/>
      <c r="O97" s="94"/>
      <c r="P97" s="94"/>
      <c r="Q97" s="94"/>
      <c r="R97" s="94"/>
      <c r="S97" s="94"/>
      <c r="T97" s="94"/>
      <c r="U97" s="94"/>
      <c r="V97" s="94"/>
    </row>
    <row r="98" ht="24.0" customHeight="1">
      <c r="A98" s="149"/>
      <c r="B98" s="150"/>
      <c r="C98" s="151"/>
      <c r="D98" s="152"/>
      <c r="E98" s="152"/>
      <c r="F98" s="153"/>
      <c r="G98" s="154"/>
      <c r="H98" s="155"/>
      <c r="I98" s="156"/>
      <c r="J98" s="155"/>
      <c r="K98" s="157"/>
      <c r="L98" s="158"/>
      <c r="M98" s="94"/>
      <c r="N98" s="94"/>
      <c r="O98" s="94"/>
      <c r="P98" s="94"/>
      <c r="Q98" s="94"/>
      <c r="R98" s="94"/>
      <c r="S98" s="94"/>
      <c r="T98" s="94"/>
      <c r="U98" s="94"/>
      <c r="V98" s="94"/>
    </row>
    <row r="99" ht="24.0" customHeight="1">
      <c r="A99" s="149"/>
      <c r="B99" s="150"/>
      <c r="C99" s="151"/>
      <c r="D99" s="152"/>
      <c r="E99" s="152"/>
      <c r="F99" s="153"/>
      <c r="G99" s="154"/>
      <c r="H99" s="155"/>
      <c r="I99" s="156"/>
      <c r="J99" s="155"/>
      <c r="K99" s="157"/>
      <c r="L99" s="158"/>
      <c r="M99" s="94"/>
      <c r="N99" s="94"/>
      <c r="O99" s="94"/>
      <c r="P99" s="94"/>
      <c r="Q99" s="94"/>
      <c r="R99" s="94"/>
      <c r="S99" s="94"/>
      <c r="T99" s="94"/>
      <c r="U99" s="94"/>
      <c r="V99" s="94"/>
    </row>
    <row r="100" ht="24.0" customHeight="1">
      <c r="A100" s="149"/>
      <c r="B100" s="150"/>
      <c r="C100" s="151"/>
      <c r="D100" s="152"/>
      <c r="E100" s="152"/>
      <c r="F100" s="153"/>
      <c r="G100" s="154"/>
      <c r="H100" s="155"/>
      <c r="I100" s="156"/>
      <c r="J100" s="155"/>
      <c r="K100" s="157"/>
      <c r="L100" s="158"/>
      <c r="M100" s="94"/>
      <c r="N100" s="94"/>
      <c r="O100" s="94"/>
      <c r="P100" s="94"/>
      <c r="Q100" s="94"/>
      <c r="R100" s="94"/>
      <c r="S100" s="94"/>
      <c r="T100" s="94"/>
      <c r="U100" s="94"/>
      <c r="V100" s="94"/>
    </row>
    <row r="101" ht="24.0" customHeight="1">
      <c r="A101" s="149"/>
      <c r="B101" s="150"/>
      <c r="C101" s="151"/>
      <c r="D101" s="152"/>
      <c r="E101" s="152"/>
      <c r="F101" s="153"/>
      <c r="G101" s="154"/>
      <c r="H101" s="155"/>
      <c r="I101" s="156"/>
      <c r="J101" s="155"/>
      <c r="K101" s="157"/>
      <c r="L101" s="158"/>
      <c r="M101" s="94"/>
      <c r="N101" s="94"/>
      <c r="O101" s="94"/>
      <c r="P101" s="94"/>
      <c r="Q101" s="94"/>
      <c r="R101" s="94"/>
      <c r="S101" s="94"/>
      <c r="T101" s="94"/>
      <c r="U101" s="94"/>
      <c r="V101" s="94"/>
    </row>
    <row r="102" ht="24.0" customHeight="1">
      <c r="A102" s="149"/>
      <c r="B102" s="150"/>
      <c r="C102" s="151"/>
      <c r="D102" s="152"/>
      <c r="E102" s="152"/>
      <c r="F102" s="153"/>
      <c r="G102" s="154"/>
      <c r="H102" s="155"/>
      <c r="I102" s="156"/>
      <c r="J102" s="155"/>
      <c r="K102" s="157"/>
      <c r="L102" s="158"/>
      <c r="M102" s="94"/>
      <c r="N102" s="94"/>
      <c r="O102" s="94"/>
      <c r="P102" s="94"/>
      <c r="Q102" s="94"/>
      <c r="R102" s="94"/>
      <c r="S102" s="94"/>
      <c r="T102" s="94"/>
      <c r="U102" s="94"/>
      <c r="V102" s="94"/>
    </row>
    <row r="103" ht="24.0" customHeight="1">
      <c r="A103" s="149"/>
      <c r="B103" s="150"/>
      <c r="C103" s="151"/>
      <c r="D103" s="152"/>
      <c r="E103" s="152"/>
      <c r="F103" s="153"/>
      <c r="G103" s="154"/>
      <c r="H103" s="155"/>
      <c r="I103" s="156"/>
      <c r="J103" s="155"/>
      <c r="K103" s="157"/>
      <c r="L103" s="158"/>
      <c r="M103" s="94"/>
      <c r="N103" s="94"/>
      <c r="O103" s="94"/>
      <c r="P103" s="94"/>
      <c r="Q103" s="94"/>
      <c r="R103" s="94"/>
      <c r="S103" s="94"/>
      <c r="T103" s="94"/>
      <c r="U103" s="94"/>
      <c r="V103" s="94"/>
    </row>
    <row r="104" ht="24.0" customHeight="1">
      <c r="A104" s="149"/>
      <c r="B104" s="150"/>
      <c r="C104" s="151"/>
      <c r="D104" s="152"/>
      <c r="E104" s="152"/>
      <c r="F104" s="153"/>
      <c r="G104" s="154"/>
      <c r="H104" s="155"/>
      <c r="I104" s="156"/>
      <c r="J104" s="155"/>
      <c r="K104" s="157"/>
      <c r="L104" s="158"/>
      <c r="M104" s="94"/>
      <c r="N104" s="94"/>
      <c r="O104" s="94"/>
      <c r="P104" s="94"/>
      <c r="Q104" s="94"/>
      <c r="R104" s="94"/>
      <c r="S104" s="94"/>
      <c r="T104" s="94"/>
      <c r="U104" s="94"/>
      <c r="V104" s="94"/>
    </row>
    <row r="105" ht="24.0" customHeight="1">
      <c r="A105" s="149"/>
      <c r="B105" s="150"/>
      <c r="C105" s="151"/>
      <c r="D105" s="152"/>
      <c r="E105" s="152"/>
      <c r="F105" s="153"/>
      <c r="G105" s="154"/>
      <c r="H105" s="155"/>
      <c r="I105" s="156"/>
      <c r="J105" s="155"/>
      <c r="K105" s="157"/>
      <c r="L105" s="158"/>
      <c r="M105" s="94"/>
      <c r="N105" s="94"/>
      <c r="O105" s="94"/>
      <c r="P105" s="94"/>
      <c r="Q105" s="94"/>
      <c r="R105" s="94"/>
      <c r="S105" s="94"/>
      <c r="T105" s="94"/>
      <c r="U105" s="94"/>
      <c r="V105" s="94"/>
    </row>
    <row r="106" ht="24.0" customHeight="1">
      <c r="A106" s="149"/>
      <c r="B106" s="150"/>
      <c r="C106" s="151"/>
      <c r="D106" s="152"/>
      <c r="E106" s="152"/>
      <c r="F106" s="153"/>
      <c r="G106" s="154"/>
      <c r="H106" s="155"/>
      <c r="I106" s="156"/>
      <c r="J106" s="155"/>
      <c r="K106" s="157"/>
      <c r="L106" s="158"/>
      <c r="M106" s="94"/>
      <c r="N106" s="94"/>
      <c r="O106" s="94"/>
      <c r="P106" s="94"/>
      <c r="Q106" s="94"/>
      <c r="R106" s="94"/>
      <c r="S106" s="94"/>
      <c r="T106" s="94"/>
      <c r="U106" s="94"/>
      <c r="V106" s="94"/>
    </row>
    <row r="107" ht="24.0" customHeight="1">
      <c r="A107" s="149"/>
      <c r="B107" s="150"/>
      <c r="C107" s="151"/>
      <c r="D107" s="152"/>
      <c r="E107" s="152"/>
      <c r="F107" s="153"/>
      <c r="G107" s="154"/>
      <c r="H107" s="155"/>
      <c r="I107" s="156"/>
      <c r="J107" s="155"/>
      <c r="K107" s="157"/>
      <c r="L107" s="158"/>
      <c r="M107" s="94"/>
      <c r="N107" s="94"/>
      <c r="O107" s="94"/>
      <c r="P107" s="94"/>
      <c r="Q107" s="94"/>
      <c r="R107" s="94"/>
      <c r="S107" s="94"/>
      <c r="T107" s="94"/>
      <c r="U107" s="94"/>
      <c r="V107" s="94"/>
    </row>
    <row r="108" ht="24.0" customHeight="1">
      <c r="A108" s="149"/>
      <c r="B108" s="150"/>
      <c r="C108" s="151"/>
      <c r="D108" s="152"/>
      <c r="E108" s="152"/>
      <c r="F108" s="153"/>
      <c r="G108" s="154"/>
      <c r="H108" s="155"/>
      <c r="I108" s="156"/>
      <c r="J108" s="155"/>
      <c r="K108" s="157"/>
      <c r="L108" s="158"/>
      <c r="M108" s="94"/>
      <c r="N108" s="94"/>
      <c r="O108" s="94"/>
      <c r="P108" s="94"/>
      <c r="Q108" s="94"/>
      <c r="R108" s="94"/>
      <c r="S108" s="94"/>
      <c r="T108" s="94"/>
      <c r="U108" s="94"/>
      <c r="V108" s="94"/>
    </row>
    <row r="109" ht="24.0" customHeight="1">
      <c r="A109" s="149"/>
      <c r="B109" s="150"/>
      <c r="C109" s="151"/>
      <c r="D109" s="152"/>
      <c r="E109" s="152"/>
      <c r="F109" s="153"/>
      <c r="G109" s="154"/>
      <c r="H109" s="155"/>
      <c r="I109" s="156"/>
      <c r="J109" s="155"/>
      <c r="K109" s="157"/>
      <c r="L109" s="158"/>
      <c r="M109" s="94"/>
      <c r="N109" s="94"/>
      <c r="O109" s="94"/>
      <c r="P109" s="94"/>
      <c r="Q109" s="94"/>
      <c r="R109" s="94"/>
      <c r="S109" s="94"/>
      <c r="T109" s="94"/>
      <c r="U109" s="94"/>
      <c r="V109" s="94"/>
    </row>
    <row r="110" ht="24.0" customHeight="1">
      <c r="A110" s="149"/>
      <c r="B110" s="150"/>
      <c r="C110" s="151"/>
      <c r="D110" s="152"/>
      <c r="E110" s="152"/>
      <c r="F110" s="153"/>
      <c r="G110" s="154"/>
      <c r="H110" s="155"/>
      <c r="I110" s="156"/>
      <c r="J110" s="155"/>
      <c r="K110" s="157"/>
      <c r="L110" s="158"/>
      <c r="M110" s="94"/>
      <c r="N110" s="94"/>
      <c r="O110" s="94"/>
      <c r="P110" s="94"/>
      <c r="Q110" s="94"/>
      <c r="R110" s="94"/>
      <c r="S110" s="94"/>
      <c r="T110" s="94"/>
      <c r="U110" s="94"/>
      <c r="V110" s="94"/>
    </row>
    <row r="111" ht="24.0" customHeight="1">
      <c r="A111" s="149"/>
      <c r="B111" s="150"/>
      <c r="C111" s="151"/>
      <c r="D111" s="152"/>
      <c r="E111" s="152"/>
      <c r="F111" s="153"/>
      <c r="G111" s="154"/>
      <c r="H111" s="155"/>
      <c r="I111" s="156"/>
      <c r="J111" s="155"/>
      <c r="K111" s="157"/>
      <c r="L111" s="158"/>
      <c r="M111" s="94"/>
      <c r="N111" s="94"/>
      <c r="O111" s="94"/>
      <c r="P111" s="94"/>
      <c r="Q111" s="94"/>
      <c r="R111" s="94"/>
      <c r="S111" s="94"/>
      <c r="T111" s="94"/>
      <c r="U111" s="94"/>
      <c r="V111" s="94"/>
    </row>
    <row r="112" ht="24.0" customHeight="1">
      <c r="A112" s="149"/>
      <c r="B112" s="150"/>
      <c r="C112" s="151"/>
      <c r="D112" s="152"/>
      <c r="E112" s="152"/>
      <c r="F112" s="153"/>
      <c r="G112" s="154"/>
      <c r="H112" s="155"/>
      <c r="I112" s="156"/>
      <c r="J112" s="155"/>
      <c r="K112" s="157"/>
      <c r="L112" s="158"/>
      <c r="M112" s="94"/>
      <c r="N112" s="94"/>
      <c r="O112" s="94"/>
      <c r="P112" s="94"/>
      <c r="Q112" s="94"/>
      <c r="R112" s="94"/>
      <c r="S112" s="94"/>
      <c r="T112" s="94"/>
      <c r="U112" s="94"/>
      <c r="V112" s="94"/>
    </row>
    <row r="113" ht="24.0" customHeight="1">
      <c r="A113" s="149"/>
      <c r="B113" s="150"/>
      <c r="C113" s="151"/>
      <c r="D113" s="152"/>
      <c r="E113" s="152"/>
      <c r="F113" s="153"/>
      <c r="G113" s="154"/>
      <c r="H113" s="155"/>
      <c r="I113" s="156"/>
      <c r="J113" s="155"/>
      <c r="K113" s="157"/>
      <c r="L113" s="158"/>
      <c r="M113" s="94"/>
      <c r="N113" s="94"/>
      <c r="O113" s="94"/>
      <c r="P113" s="94"/>
      <c r="Q113" s="94"/>
      <c r="R113" s="94"/>
      <c r="S113" s="94"/>
      <c r="T113" s="94"/>
      <c r="U113" s="94"/>
      <c r="V113" s="94"/>
    </row>
    <row r="114" ht="24.0" customHeight="1">
      <c r="A114" s="162"/>
      <c r="B114" s="163"/>
      <c r="C114" s="164"/>
      <c r="D114" s="165"/>
      <c r="E114" s="165"/>
      <c r="F114" s="166"/>
      <c r="G114" s="167"/>
      <c r="H114" s="168"/>
      <c r="I114" s="169"/>
      <c r="J114" s="168"/>
      <c r="K114" s="170"/>
      <c r="L114" s="171"/>
      <c r="M114" s="94"/>
      <c r="N114" s="94"/>
      <c r="O114" s="94"/>
      <c r="P114" s="94"/>
      <c r="Q114" s="94"/>
      <c r="R114" s="94"/>
      <c r="S114" s="94"/>
      <c r="T114" s="94"/>
      <c r="U114" s="94"/>
      <c r="V114" s="94"/>
    </row>
    <row r="115" ht="24.0" customHeight="1">
      <c r="A115" s="149"/>
      <c r="B115" s="150"/>
      <c r="C115" s="151"/>
      <c r="D115" s="152"/>
      <c r="E115" s="152"/>
      <c r="F115" s="153"/>
      <c r="G115" s="154"/>
      <c r="H115" s="155"/>
      <c r="I115" s="156"/>
      <c r="J115" s="155"/>
      <c r="K115" s="157"/>
      <c r="L115" s="158"/>
      <c r="M115" s="94"/>
      <c r="N115" s="94"/>
      <c r="O115" s="94"/>
      <c r="P115" s="94"/>
      <c r="Q115" s="94"/>
      <c r="R115" s="94"/>
      <c r="S115" s="94"/>
      <c r="T115" s="94"/>
      <c r="U115" s="94"/>
      <c r="V115" s="94"/>
    </row>
    <row r="116" ht="24.0" customHeight="1">
      <c r="A116" s="149"/>
      <c r="B116" s="150"/>
      <c r="C116" s="151"/>
      <c r="D116" s="152"/>
      <c r="E116" s="152"/>
      <c r="F116" s="153"/>
      <c r="G116" s="154"/>
      <c r="H116" s="155"/>
      <c r="I116" s="156"/>
      <c r="J116" s="155"/>
      <c r="K116" s="157"/>
      <c r="L116" s="158"/>
      <c r="M116" s="94"/>
      <c r="N116" s="94"/>
      <c r="O116" s="94"/>
      <c r="P116" s="94"/>
      <c r="Q116" s="94"/>
      <c r="R116" s="94"/>
      <c r="S116" s="94"/>
      <c r="T116" s="94"/>
      <c r="U116" s="94"/>
      <c r="V116" s="94"/>
    </row>
    <row r="117" ht="24.0" customHeight="1">
      <c r="A117" s="149"/>
      <c r="B117" s="150"/>
      <c r="C117" s="151"/>
      <c r="D117" s="152"/>
      <c r="E117" s="152"/>
      <c r="F117" s="153"/>
      <c r="G117" s="154"/>
      <c r="H117" s="155"/>
      <c r="I117" s="156"/>
      <c r="J117" s="155"/>
      <c r="K117" s="157"/>
      <c r="L117" s="158"/>
      <c r="M117" s="94"/>
      <c r="N117" s="94"/>
      <c r="O117" s="94"/>
      <c r="P117" s="94"/>
      <c r="Q117" s="94"/>
      <c r="R117" s="94"/>
      <c r="S117" s="94"/>
      <c r="T117" s="94"/>
      <c r="U117" s="94"/>
      <c r="V117" s="94"/>
    </row>
    <row r="118" ht="24.0" customHeight="1">
      <c r="A118" s="149"/>
      <c r="B118" s="150"/>
      <c r="C118" s="151"/>
      <c r="D118" s="152"/>
      <c r="E118" s="152"/>
      <c r="F118" s="153"/>
      <c r="G118" s="154"/>
      <c r="H118" s="155"/>
      <c r="I118" s="156"/>
      <c r="J118" s="155"/>
      <c r="K118" s="157"/>
      <c r="L118" s="158"/>
      <c r="M118" s="94"/>
      <c r="N118" s="94"/>
      <c r="O118" s="94"/>
      <c r="P118" s="94"/>
      <c r="Q118" s="94"/>
      <c r="R118" s="94"/>
      <c r="S118" s="94"/>
      <c r="T118" s="94"/>
      <c r="U118" s="94"/>
      <c r="V118" s="94"/>
    </row>
    <row r="119" ht="24.0" customHeight="1">
      <c r="A119" s="149"/>
      <c r="B119" s="150"/>
      <c r="C119" s="151"/>
      <c r="D119" s="152"/>
      <c r="E119" s="152"/>
      <c r="F119" s="153"/>
      <c r="G119" s="154"/>
      <c r="H119" s="155"/>
      <c r="I119" s="156"/>
      <c r="J119" s="155"/>
      <c r="K119" s="157"/>
      <c r="L119" s="158"/>
      <c r="M119" s="94"/>
      <c r="N119" s="94"/>
      <c r="O119" s="94"/>
      <c r="P119" s="94"/>
      <c r="Q119" s="94"/>
      <c r="R119" s="94"/>
      <c r="S119" s="94"/>
      <c r="T119" s="94"/>
      <c r="U119" s="94"/>
      <c r="V119" s="94"/>
    </row>
    <row r="120" ht="24.0" customHeight="1">
      <c r="A120" s="149"/>
      <c r="B120" s="150"/>
      <c r="C120" s="151"/>
      <c r="D120" s="152"/>
      <c r="E120" s="152"/>
      <c r="F120" s="153"/>
      <c r="G120" s="154"/>
      <c r="H120" s="155"/>
      <c r="I120" s="156"/>
      <c r="J120" s="155"/>
      <c r="K120" s="157"/>
      <c r="L120" s="158"/>
      <c r="M120" s="94"/>
      <c r="N120" s="94"/>
      <c r="O120" s="94"/>
      <c r="P120" s="94"/>
      <c r="Q120" s="94"/>
      <c r="R120" s="94"/>
      <c r="S120" s="94"/>
      <c r="T120" s="94"/>
      <c r="U120" s="94"/>
      <c r="V120" s="94"/>
    </row>
    <row r="121" ht="24.0" customHeight="1">
      <c r="A121" s="149"/>
      <c r="B121" s="150"/>
      <c r="C121" s="151"/>
      <c r="D121" s="152"/>
      <c r="E121" s="152"/>
      <c r="F121" s="153"/>
      <c r="G121" s="154"/>
      <c r="H121" s="155"/>
      <c r="I121" s="156"/>
      <c r="J121" s="155"/>
      <c r="K121" s="157"/>
      <c r="L121" s="158"/>
      <c r="M121" s="94"/>
      <c r="N121" s="94"/>
      <c r="O121" s="94"/>
      <c r="P121" s="94"/>
      <c r="Q121" s="94"/>
      <c r="R121" s="94"/>
      <c r="S121" s="94"/>
      <c r="T121" s="94"/>
      <c r="U121" s="94"/>
      <c r="V121" s="94"/>
    </row>
    <row r="122" ht="24.0" customHeight="1">
      <c r="A122" s="149"/>
      <c r="B122" s="150"/>
      <c r="C122" s="151"/>
      <c r="D122" s="152"/>
      <c r="E122" s="152"/>
      <c r="F122" s="153"/>
      <c r="G122" s="154"/>
      <c r="H122" s="155"/>
      <c r="I122" s="156"/>
      <c r="J122" s="155"/>
      <c r="K122" s="157"/>
      <c r="L122" s="158"/>
      <c r="M122" s="94"/>
      <c r="N122" s="94"/>
      <c r="O122" s="94"/>
      <c r="P122" s="94"/>
      <c r="Q122" s="94"/>
      <c r="R122" s="94"/>
      <c r="S122" s="94"/>
      <c r="T122" s="94"/>
      <c r="U122" s="94"/>
      <c r="V122" s="94"/>
    </row>
    <row r="123" ht="24.0" customHeight="1">
      <c r="A123" s="149"/>
      <c r="B123" s="150"/>
      <c r="C123" s="151"/>
      <c r="D123" s="152"/>
      <c r="E123" s="152"/>
      <c r="F123" s="153"/>
      <c r="G123" s="154"/>
      <c r="H123" s="155"/>
      <c r="I123" s="156"/>
      <c r="J123" s="155"/>
      <c r="K123" s="157"/>
      <c r="L123" s="158"/>
      <c r="M123" s="94"/>
      <c r="N123" s="94"/>
      <c r="O123" s="94"/>
      <c r="P123" s="94"/>
      <c r="Q123" s="94"/>
      <c r="R123" s="94"/>
      <c r="S123" s="94"/>
      <c r="T123" s="94"/>
      <c r="U123" s="94"/>
      <c r="V123" s="94"/>
    </row>
    <row r="124" ht="24.0" customHeight="1">
      <c r="A124" s="149"/>
      <c r="B124" s="150"/>
      <c r="C124" s="151"/>
      <c r="D124" s="152"/>
      <c r="E124" s="152"/>
      <c r="F124" s="153"/>
      <c r="G124" s="154"/>
      <c r="H124" s="155"/>
      <c r="I124" s="156"/>
      <c r="J124" s="155"/>
      <c r="K124" s="157"/>
      <c r="L124" s="158"/>
      <c r="M124" s="94"/>
      <c r="N124" s="94"/>
      <c r="O124" s="94"/>
      <c r="P124" s="94"/>
      <c r="Q124" s="94"/>
      <c r="R124" s="94"/>
      <c r="S124" s="94"/>
      <c r="T124" s="94"/>
      <c r="U124" s="94"/>
      <c r="V124" s="94"/>
    </row>
    <row r="125" ht="24.0" customHeight="1">
      <c r="A125" s="149"/>
      <c r="B125" s="150"/>
      <c r="C125" s="151"/>
      <c r="D125" s="152"/>
      <c r="E125" s="152"/>
      <c r="F125" s="153"/>
      <c r="G125" s="154"/>
      <c r="H125" s="155"/>
      <c r="I125" s="156"/>
      <c r="J125" s="155"/>
      <c r="K125" s="157"/>
      <c r="L125" s="158"/>
      <c r="M125" s="94"/>
      <c r="N125" s="94"/>
      <c r="O125" s="94"/>
      <c r="P125" s="94"/>
      <c r="Q125" s="94"/>
      <c r="R125" s="94"/>
      <c r="S125" s="94"/>
      <c r="T125" s="94"/>
      <c r="U125" s="94"/>
      <c r="V125" s="94"/>
    </row>
    <row r="126" ht="24.0" customHeight="1">
      <c r="A126" s="149"/>
      <c r="B126" s="150"/>
      <c r="C126" s="151"/>
      <c r="D126" s="152"/>
      <c r="E126" s="152"/>
      <c r="F126" s="153"/>
      <c r="G126" s="154"/>
      <c r="H126" s="155"/>
      <c r="I126" s="156"/>
      <c r="J126" s="155"/>
      <c r="K126" s="157"/>
      <c r="L126" s="158"/>
      <c r="M126" s="94"/>
      <c r="N126" s="94"/>
      <c r="O126" s="94"/>
      <c r="P126" s="94"/>
      <c r="Q126" s="94"/>
      <c r="R126" s="94"/>
      <c r="S126" s="94"/>
      <c r="T126" s="94"/>
      <c r="U126" s="94"/>
      <c r="V126" s="94"/>
    </row>
    <row r="127" ht="24.0" customHeight="1">
      <c r="A127" s="149"/>
      <c r="B127" s="150"/>
      <c r="C127" s="151"/>
      <c r="D127" s="152"/>
      <c r="E127" s="152"/>
      <c r="F127" s="153"/>
      <c r="G127" s="154"/>
      <c r="H127" s="155"/>
      <c r="I127" s="156"/>
      <c r="J127" s="155"/>
      <c r="K127" s="157"/>
      <c r="L127" s="158"/>
      <c r="M127" s="94"/>
      <c r="N127" s="94"/>
      <c r="O127" s="94"/>
      <c r="P127" s="94"/>
      <c r="Q127" s="94"/>
      <c r="R127" s="94"/>
      <c r="S127" s="94"/>
      <c r="T127" s="94"/>
      <c r="U127" s="94"/>
      <c r="V127" s="94"/>
    </row>
    <row r="128" ht="24.0" customHeight="1">
      <c r="A128" s="149"/>
      <c r="B128" s="150"/>
      <c r="C128" s="151"/>
      <c r="D128" s="152"/>
      <c r="E128" s="152"/>
      <c r="F128" s="153"/>
      <c r="G128" s="154"/>
      <c r="H128" s="155"/>
      <c r="I128" s="156"/>
      <c r="J128" s="155"/>
      <c r="K128" s="157"/>
      <c r="L128" s="158"/>
      <c r="M128" s="94"/>
      <c r="N128" s="94"/>
      <c r="O128" s="94"/>
      <c r="P128" s="94"/>
      <c r="Q128" s="94"/>
      <c r="R128" s="94"/>
      <c r="S128" s="94"/>
      <c r="T128" s="94"/>
      <c r="U128" s="94"/>
      <c r="V128" s="94"/>
    </row>
    <row r="129" ht="24.0" customHeight="1">
      <c r="A129" s="149"/>
      <c r="B129" s="150"/>
      <c r="C129" s="151"/>
      <c r="D129" s="152"/>
      <c r="E129" s="152"/>
      <c r="F129" s="153"/>
      <c r="G129" s="154"/>
      <c r="H129" s="155"/>
      <c r="I129" s="156"/>
      <c r="J129" s="155"/>
      <c r="K129" s="157"/>
      <c r="L129" s="158"/>
      <c r="M129" s="94"/>
      <c r="N129" s="94"/>
      <c r="O129" s="94"/>
      <c r="P129" s="94"/>
      <c r="Q129" s="94"/>
      <c r="R129" s="94"/>
      <c r="S129" s="94"/>
      <c r="T129" s="94"/>
      <c r="U129" s="94"/>
      <c r="V129" s="94"/>
    </row>
    <row r="130" ht="24.0" customHeight="1">
      <c r="A130" s="149"/>
      <c r="B130" s="150"/>
      <c r="C130" s="151"/>
      <c r="D130" s="152"/>
      <c r="E130" s="152"/>
      <c r="F130" s="153"/>
      <c r="G130" s="154"/>
      <c r="H130" s="155"/>
      <c r="I130" s="156"/>
      <c r="J130" s="155"/>
      <c r="K130" s="157"/>
      <c r="L130" s="158"/>
      <c r="M130" s="94"/>
      <c r="N130" s="94"/>
      <c r="O130" s="94"/>
      <c r="P130" s="94"/>
      <c r="Q130" s="94"/>
      <c r="R130" s="94"/>
      <c r="S130" s="94"/>
      <c r="T130" s="94"/>
      <c r="U130" s="94"/>
      <c r="V130" s="94"/>
    </row>
    <row r="131" ht="24.0" customHeight="1">
      <c r="A131" s="149"/>
      <c r="B131" s="150"/>
      <c r="C131" s="151"/>
      <c r="D131" s="152"/>
      <c r="E131" s="152"/>
      <c r="F131" s="153"/>
      <c r="G131" s="154"/>
      <c r="H131" s="155"/>
      <c r="I131" s="156"/>
      <c r="J131" s="155"/>
      <c r="K131" s="157"/>
      <c r="L131" s="158"/>
      <c r="M131" s="94"/>
      <c r="N131" s="94"/>
      <c r="O131" s="94"/>
      <c r="P131" s="94"/>
      <c r="Q131" s="94"/>
      <c r="R131" s="94"/>
      <c r="S131" s="94"/>
      <c r="T131" s="94"/>
      <c r="U131" s="94"/>
      <c r="V131" s="94"/>
    </row>
    <row r="132" ht="24.0" customHeight="1">
      <c r="A132" s="149"/>
      <c r="B132" s="150"/>
      <c r="C132" s="151"/>
      <c r="D132" s="152"/>
      <c r="E132" s="152"/>
      <c r="F132" s="153"/>
      <c r="G132" s="154"/>
      <c r="H132" s="155"/>
      <c r="I132" s="156"/>
      <c r="J132" s="155"/>
      <c r="K132" s="157"/>
      <c r="L132" s="158"/>
      <c r="M132" s="94"/>
      <c r="N132" s="94"/>
      <c r="O132" s="94"/>
      <c r="P132" s="94"/>
      <c r="Q132" s="94"/>
      <c r="R132" s="94"/>
      <c r="S132" s="94"/>
      <c r="T132" s="94"/>
      <c r="U132" s="94"/>
      <c r="V132" s="94"/>
    </row>
    <row r="133" ht="24.0" customHeight="1">
      <c r="A133" s="149"/>
      <c r="B133" s="150"/>
      <c r="C133" s="151"/>
      <c r="D133" s="152"/>
      <c r="E133" s="152"/>
      <c r="F133" s="153"/>
      <c r="G133" s="154"/>
      <c r="H133" s="155"/>
      <c r="I133" s="156"/>
      <c r="J133" s="155"/>
      <c r="K133" s="157"/>
      <c r="L133" s="158"/>
      <c r="M133" s="94"/>
      <c r="N133" s="94"/>
      <c r="O133" s="94"/>
      <c r="P133" s="94"/>
      <c r="Q133" s="94"/>
      <c r="R133" s="94"/>
      <c r="S133" s="94"/>
      <c r="T133" s="94"/>
      <c r="U133" s="94"/>
      <c r="V133" s="94"/>
    </row>
    <row r="134" ht="24.0" customHeight="1">
      <c r="A134" s="149"/>
      <c r="B134" s="150"/>
      <c r="C134" s="151"/>
      <c r="D134" s="152"/>
      <c r="E134" s="152"/>
      <c r="F134" s="153"/>
      <c r="G134" s="154"/>
      <c r="H134" s="155"/>
      <c r="I134" s="156"/>
      <c r="J134" s="155"/>
      <c r="K134" s="157"/>
      <c r="L134" s="158"/>
      <c r="M134" s="94"/>
      <c r="N134" s="94"/>
      <c r="O134" s="94"/>
      <c r="P134" s="94"/>
      <c r="Q134" s="94"/>
      <c r="R134" s="94"/>
      <c r="S134" s="94"/>
      <c r="T134" s="94"/>
      <c r="U134" s="94"/>
      <c r="V134" s="94"/>
    </row>
    <row r="135" ht="24.0" customHeight="1">
      <c r="A135" s="149"/>
      <c r="B135" s="150"/>
      <c r="C135" s="151"/>
      <c r="D135" s="152"/>
      <c r="E135" s="152"/>
      <c r="F135" s="153"/>
      <c r="G135" s="154"/>
      <c r="H135" s="155"/>
      <c r="I135" s="156"/>
      <c r="J135" s="155"/>
      <c r="K135" s="157"/>
      <c r="L135" s="158"/>
      <c r="M135" s="94"/>
      <c r="N135" s="94"/>
      <c r="O135" s="94"/>
      <c r="P135" s="94"/>
      <c r="Q135" s="94"/>
      <c r="R135" s="94"/>
      <c r="S135" s="94"/>
      <c r="T135" s="94"/>
      <c r="U135" s="94"/>
      <c r="V135" s="94"/>
    </row>
    <row r="136" ht="24.0" customHeight="1">
      <c r="A136" s="149"/>
      <c r="B136" s="150"/>
      <c r="C136" s="151"/>
      <c r="D136" s="152"/>
      <c r="E136" s="152"/>
      <c r="F136" s="153"/>
      <c r="G136" s="154"/>
      <c r="H136" s="155"/>
      <c r="I136" s="156"/>
      <c r="J136" s="155"/>
      <c r="K136" s="157"/>
      <c r="L136" s="158"/>
      <c r="M136" s="94"/>
      <c r="N136" s="94"/>
      <c r="O136" s="94"/>
      <c r="P136" s="94"/>
      <c r="Q136" s="94"/>
      <c r="R136" s="94"/>
      <c r="S136" s="94"/>
      <c r="T136" s="94"/>
      <c r="U136" s="94"/>
      <c r="V136" s="94"/>
    </row>
    <row r="137" ht="24.0" customHeight="1">
      <c r="A137" s="149"/>
      <c r="B137" s="150"/>
      <c r="C137" s="151"/>
      <c r="D137" s="152"/>
      <c r="E137" s="152"/>
      <c r="F137" s="153"/>
      <c r="G137" s="154"/>
      <c r="H137" s="155"/>
      <c r="I137" s="156"/>
      <c r="J137" s="155"/>
      <c r="K137" s="157"/>
      <c r="L137" s="158"/>
      <c r="M137" s="94"/>
      <c r="N137" s="94"/>
      <c r="O137" s="94"/>
      <c r="P137" s="94"/>
      <c r="Q137" s="94"/>
      <c r="R137" s="94"/>
      <c r="S137" s="94"/>
      <c r="T137" s="94"/>
      <c r="U137" s="94"/>
      <c r="V137" s="94"/>
    </row>
    <row r="138" ht="24.0" customHeight="1">
      <c r="A138" s="149"/>
      <c r="B138" s="150"/>
      <c r="C138" s="151"/>
      <c r="D138" s="152"/>
      <c r="E138" s="152"/>
      <c r="F138" s="153"/>
      <c r="G138" s="154"/>
      <c r="H138" s="155"/>
      <c r="I138" s="156"/>
      <c r="J138" s="155"/>
      <c r="K138" s="157"/>
      <c r="L138" s="158"/>
      <c r="M138" s="94"/>
      <c r="N138" s="94"/>
      <c r="O138" s="94"/>
      <c r="P138" s="94"/>
      <c r="Q138" s="94"/>
      <c r="R138" s="94"/>
      <c r="S138" s="94"/>
      <c r="T138" s="94"/>
      <c r="U138" s="94"/>
      <c r="V138" s="94"/>
    </row>
    <row r="139" ht="24.0" customHeight="1">
      <c r="A139" s="149"/>
      <c r="B139" s="150"/>
      <c r="C139" s="151"/>
      <c r="D139" s="152"/>
      <c r="E139" s="152"/>
      <c r="F139" s="153"/>
      <c r="G139" s="154"/>
      <c r="H139" s="155"/>
      <c r="I139" s="156"/>
      <c r="J139" s="155"/>
      <c r="K139" s="157"/>
      <c r="L139" s="158"/>
      <c r="M139" s="94"/>
      <c r="N139" s="94"/>
      <c r="O139" s="94"/>
      <c r="P139" s="94"/>
      <c r="Q139" s="94"/>
      <c r="R139" s="94"/>
      <c r="S139" s="94"/>
      <c r="T139" s="94"/>
      <c r="U139" s="94"/>
      <c r="V139" s="94"/>
    </row>
    <row r="140" ht="24.0" customHeight="1">
      <c r="A140" s="149"/>
      <c r="B140" s="150"/>
      <c r="C140" s="151"/>
      <c r="D140" s="152"/>
      <c r="E140" s="152"/>
      <c r="F140" s="153"/>
      <c r="G140" s="154"/>
      <c r="H140" s="155"/>
      <c r="I140" s="156"/>
      <c r="J140" s="155"/>
      <c r="K140" s="157"/>
      <c r="L140" s="158"/>
      <c r="M140" s="94"/>
      <c r="N140" s="94"/>
      <c r="O140" s="94"/>
      <c r="P140" s="94"/>
      <c r="Q140" s="94"/>
      <c r="R140" s="94"/>
      <c r="S140" s="94"/>
      <c r="T140" s="94"/>
      <c r="U140" s="94"/>
      <c r="V140" s="94"/>
    </row>
    <row r="141" ht="24.0" customHeight="1">
      <c r="A141" s="149"/>
      <c r="B141" s="150"/>
      <c r="C141" s="151"/>
      <c r="D141" s="152"/>
      <c r="E141" s="152"/>
      <c r="F141" s="153"/>
      <c r="G141" s="154"/>
      <c r="H141" s="155"/>
      <c r="I141" s="156"/>
      <c r="J141" s="155"/>
      <c r="K141" s="157"/>
      <c r="L141" s="158"/>
      <c r="M141" s="94"/>
      <c r="N141" s="94"/>
      <c r="O141" s="94"/>
      <c r="P141" s="94"/>
      <c r="Q141" s="94"/>
      <c r="R141" s="94"/>
      <c r="S141" s="94"/>
      <c r="T141" s="94"/>
      <c r="U141" s="94"/>
      <c r="V141" s="94"/>
    </row>
    <row r="142" ht="24.0" customHeight="1">
      <c r="A142" s="149"/>
      <c r="B142" s="150"/>
      <c r="C142" s="151"/>
      <c r="D142" s="152"/>
      <c r="E142" s="152"/>
      <c r="F142" s="153"/>
      <c r="G142" s="154"/>
      <c r="H142" s="155"/>
      <c r="I142" s="156"/>
      <c r="J142" s="155"/>
      <c r="K142" s="157"/>
      <c r="L142" s="158"/>
      <c r="M142" s="94"/>
      <c r="N142" s="94"/>
      <c r="O142" s="94"/>
      <c r="P142" s="94"/>
      <c r="Q142" s="94"/>
      <c r="R142" s="94"/>
      <c r="S142" s="94"/>
      <c r="T142" s="94"/>
      <c r="U142" s="94"/>
      <c r="V142" s="94"/>
    </row>
    <row r="143" ht="24.0" customHeight="1">
      <c r="A143" s="149"/>
      <c r="B143" s="150"/>
      <c r="C143" s="151"/>
      <c r="D143" s="152"/>
      <c r="E143" s="152"/>
      <c r="F143" s="153"/>
      <c r="G143" s="154"/>
      <c r="H143" s="155"/>
      <c r="I143" s="156"/>
      <c r="J143" s="155"/>
      <c r="K143" s="157"/>
      <c r="L143" s="158"/>
      <c r="M143" s="94"/>
      <c r="N143" s="94"/>
      <c r="O143" s="94"/>
      <c r="P143" s="94"/>
      <c r="Q143" s="94"/>
      <c r="R143" s="94"/>
      <c r="S143" s="94"/>
      <c r="T143" s="94"/>
      <c r="U143" s="94"/>
      <c r="V143" s="94"/>
    </row>
    <row r="144" ht="24.0" customHeight="1">
      <c r="A144" s="149"/>
      <c r="B144" s="150"/>
      <c r="C144" s="151"/>
      <c r="D144" s="152"/>
      <c r="E144" s="152"/>
      <c r="F144" s="153"/>
      <c r="G144" s="154"/>
      <c r="H144" s="155"/>
      <c r="I144" s="156"/>
      <c r="J144" s="155"/>
      <c r="K144" s="157"/>
      <c r="L144" s="158"/>
      <c r="M144" s="94"/>
      <c r="N144" s="94"/>
      <c r="O144" s="94"/>
      <c r="P144" s="94"/>
      <c r="Q144" s="94"/>
      <c r="R144" s="94"/>
      <c r="S144" s="94"/>
      <c r="T144" s="94"/>
      <c r="U144" s="94"/>
      <c r="V144" s="94"/>
    </row>
    <row r="145" ht="24.0" customHeight="1">
      <c r="A145" s="149"/>
      <c r="B145" s="150"/>
      <c r="C145" s="151"/>
      <c r="D145" s="152"/>
      <c r="E145" s="152"/>
      <c r="F145" s="153"/>
      <c r="G145" s="154"/>
      <c r="H145" s="155"/>
      <c r="I145" s="156"/>
      <c r="J145" s="155"/>
      <c r="K145" s="157"/>
      <c r="L145" s="158"/>
      <c r="M145" s="94"/>
      <c r="N145" s="94"/>
      <c r="O145" s="94"/>
      <c r="P145" s="94"/>
      <c r="Q145" s="94"/>
      <c r="R145" s="94"/>
      <c r="S145" s="94"/>
      <c r="T145" s="94"/>
      <c r="U145" s="94"/>
      <c r="V145" s="94"/>
    </row>
    <row r="146" ht="24.0" customHeight="1">
      <c r="A146" s="149"/>
      <c r="B146" s="150"/>
      <c r="C146" s="151"/>
      <c r="D146" s="152"/>
      <c r="E146" s="152"/>
      <c r="F146" s="153"/>
      <c r="G146" s="154"/>
      <c r="H146" s="155"/>
      <c r="I146" s="156"/>
      <c r="J146" s="155"/>
      <c r="K146" s="157"/>
      <c r="L146" s="158"/>
      <c r="M146" s="94"/>
      <c r="N146" s="94"/>
      <c r="O146" s="94"/>
      <c r="P146" s="94"/>
      <c r="Q146" s="94"/>
      <c r="R146" s="94"/>
      <c r="S146" s="94"/>
      <c r="T146" s="94"/>
      <c r="U146" s="94"/>
      <c r="V146" s="94"/>
    </row>
    <row r="147" ht="24.0" customHeight="1">
      <c r="A147" s="149"/>
      <c r="B147" s="150"/>
      <c r="C147" s="151"/>
      <c r="D147" s="152"/>
      <c r="E147" s="152"/>
      <c r="F147" s="153"/>
      <c r="G147" s="154"/>
      <c r="H147" s="155"/>
      <c r="I147" s="156"/>
      <c r="J147" s="155"/>
      <c r="K147" s="157"/>
      <c r="L147" s="158"/>
      <c r="M147" s="94"/>
      <c r="N147" s="94"/>
      <c r="O147" s="94"/>
      <c r="P147" s="94"/>
      <c r="Q147" s="94"/>
      <c r="R147" s="94"/>
      <c r="S147" s="94"/>
      <c r="T147" s="94"/>
      <c r="U147" s="94"/>
      <c r="V147" s="94"/>
    </row>
    <row r="148" ht="24.0" customHeight="1">
      <c r="A148" s="149"/>
      <c r="B148" s="150"/>
      <c r="C148" s="151"/>
      <c r="D148" s="152"/>
      <c r="E148" s="152"/>
      <c r="F148" s="153"/>
      <c r="G148" s="154"/>
      <c r="H148" s="155"/>
      <c r="I148" s="156"/>
      <c r="J148" s="155"/>
      <c r="K148" s="157"/>
      <c r="L148" s="158"/>
      <c r="M148" s="94"/>
      <c r="N148" s="94"/>
      <c r="O148" s="94"/>
      <c r="P148" s="94"/>
      <c r="Q148" s="94"/>
      <c r="R148" s="94"/>
      <c r="S148" s="94"/>
      <c r="T148" s="94"/>
      <c r="U148" s="94"/>
      <c r="V148" s="94"/>
    </row>
    <row r="149" ht="24.0" customHeight="1">
      <c r="A149" s="149"/>
      <c r="B149" s="150"/>
      <c r="C149" s="151"/>
      <c r="D149" s="152"/>
      <c r="E149" s="152"/>
      <c r="F149" s="153"/>
      <c r="G149" s="154"/>
      <c r="H149" s="155"/>
      <c r="I149" s="156"/>
      <c r="J149" s="155"/>
      <c r="K149" s="157"/>
      <c r="L149" s="158"/>
      <c r="M149" s="94"/>
      <c r="N149" s="94"/>
      <c r="O149" s="94"/>
      <c r="P149" s="94"/>
      <c r="Q149" s="94"/>
      <c r="R149" s="94"/>
      <c r="S149" s="94"/>
      <c r="T149" s="94"/>
      <c r="U149" s="94"/>
      <c r="V149" s="94"/>
    </row>
    <row r="150" ht="24.0" customHeight="1">
      <c r="A150" s="149"/>
      <c r="B150" s="150"/>
      <c r="C150" s="151"/>
      <c r="D150" s="152"/>
      <c r="E150" s="152"/>
      <c r="F150" s="153"/>
      <c r="G150" s="154"/>
      <c r="H150" s="155"/>
      <c r="I150" s="156"/>
      <c r="J150" s="155"/>
      <c r="K150" s="157"/>
      <c r="L150" s="158"/>
      <c r="M150" s="94"/>
      <c r="N150" s="94"/>
      <c r="O150" s="94"/>
      <c r="P150" s="94"/>
      <c r="Q150" s="94"/>
      <c r="R150" s="94"/>
      <c r="S150" s="94"/>
      <c r="T150" s="94"/>
      <c r="U150" s="94"/>
      <c r="V150" s="94"/>
    </row>
    <row r="151" ht="24.0" customHeight="1">
      <c r="A151" s="149"/>
      <c r="B151" s="150"/>
      <c r="C151" s="151"/>
      <c r="D151" s="152"/>
      <c r="E151" s="152"/>
      <c r="F151" s="153"/>
      <c r="G151" s="154"/>
      <c r="H151" s="155"/>
      <c r="I151" s="156"/>
      <c r="J151" s="155"/>
      <c r="K151" s="157"/>
      <c r="L151" s="158"/>
      <c r="M151" s="94"/>
      <c r="N151" s="94"/>
      <c r="O151" s="94"/>
      <c r="P151" s="94"/>
      <c r="Q151" s="94"/>
      <c r="R151" s="94"/>
      <c r="S151" s="94"/>
      <c r="T151" s="94"/>
      <c r="U151" s="94"/>
      <c r="V151" s="94"/>
    </row>
    <row r="152" ht="24.0" customHeight="1">
      <c r="A152" s="149"/>
      <c r="B152" s="150"/>
      <c r="C152" s="151"/>
      <c r="D152" s="152"/>
      <c r="E152" s="152"/>
      <c r="F152" s="153"/>
      <c r="G152" s="154"/>
      <c r="H152" s="155"/>
      <c r="I152" s="156"/>
      <c r="J152" s="155"/>
      <c r="K152" s="157"/>
      <c r="L152" s="158"/>
      <c r="M152" s="94"/>
      <c r="N152" s="94"/>
      <c r="O152" s="94"/>
      <c r="P152" s="94"/>
      <c r="Q152" s="94"/>
      <c r="R152" s="94"/>
      <c r="S152" s="94"/>
      <c r="T152" s="94"/>
      <c r="U152" s="94"/>
      <c r="V152" s="94"/>
    </row>
    <row r="153" ht="24.0" customHeight="1">
      <c r="A153" s="149"/>
      <c r="B153" s="150"/>
      <c r="C153" s="151"/>
      <c r="D153" s="152"/>
      <c r="E153" s="152"/>
      <c r="F153" s="153"/>
      <c r="G153" s="154"/>
      <c r="H153" s="155"/>
      <c r="I153" s="156"/>
      <c r="J153" s="155"/>
      <c r="K153" s="157"/>
      <c r="L153" s="158"/>
      <c r="M153" s="94"/>
      <c r="N153" s="94"/>
      <c r="O153" s="94"/>
      <c r="P153" s="94"/>
      <c r="Q153" s="94"/>
      <c r="R153" s="94"/>
      <c r="S153" s="94"/>
      <c r="T153" s="94"/>
      <c r="U153" s="94"/>
      <c r="V153" s="94"/>
    </row>
    <row r="154" ht="24.0" customHeight="1">
      <c r="A154" s="149"/>
      <c r="B154" s="150"/>
      <c r="C154" s="151"/>
      <c r="D154" s="152"/>
      <c r="E154" s="152"/>
      <c r="F154" s="153"/>
      <c r="G154" s="154"/>
      <c r="H154" s="155"/>
      <c r="I154" s="156"/>
      <c r="J154" s="155"/>
      <c r="K154" s="157"/>
      <c r="L154" s="158"/>
      <c r="M154" s="94"/>
      <c r="N154" s="94"/>
      <c r="O154" s="94"/>
      <c r="P154" s="94"/>
      <c r="Q154" s="94"/>
      <c r="R154" s="94"/>
      <c r="S154" s="94"/>
      <c r="T154" s="94"/>
      <c r="U154" s="94"/>
      <c r="V154" s="94"/>
    </row>
    <row r="155" ht="24.0" customHeight="1">
      <c r="A155" s="149"/>
      <c r="B155" s="150"/>
      <c r="C155" s="151"/>
      <c r="D155" s="152"/>
      <c r="E155" s="152"/>
      <c r="F155" s="153"/>
      <c r="G155" s="154"/>
      <c r="H155" s="155"/>
      <c r="I155" s="156"/>
      <c r="J155" s="155"/>
      <c r="K155" s="157"/>
      <c r="L155" s="158"/>
      <c r="M155" s="94"/>
      <c r="N155" s="94"/>
      <c r="O155" s="94"/>
      <c r="P155" s="94"/>
      <c r="Q155" s="94"/>
      <c r="R155" s="94"/>
      <c r="S155" s="94"/>
      <c r="T155" s="94"/>
      <c r="U155" s="94"/>
      <c r="V155" s="94"/>
    </row>
    <row r="156" ht="24.0" customHeight="1">
      <c r="A156" s="149"/>
      <c r="B156" s="150"/>
      <c r="C156" s="151"/>
      <c r="D156" s="152"/>
      <c r="E156" s="152"/>
      <c r="F156" s="153"/>
      <c r="G156" s="154"/>
      <c r="H156" s="155"/>
      <c r="I156" s="156"/>
      <c r="J156" s="155"/>
      <c r="K156" s="157"/>
      <c r="L156" s="158"/>
      <c r="M156" s="94"/>
      <c r="N156" s="94"/>
      <c r="O156" s="94"/>
      <c r="P156" s="94"/>
      <c r="Q156" s="94"/>
      <c r="R156" s="94"/>
      <c r="S156" s="94"/>
      <c r="T156" s="94"/>
      <c r="U156" s="94"/>
      <c r="V156" s="94"/>
    </row>
    <row r="157" ht="24.0" customHeight="1">
      <c r="A157" s="149"/>
      <c r="B157" s="150"/>
      <c r="C157" s="151"/>
      <c r="D157" s="152"/>
      <c r="E157" s="152"/>
      <c r="F157" s="153"/>
      <c r="G157" s="154"/>
      <c r="H157" s="155"/>
      <c r="I157" s="156"/>
      <c r="J157" s="155"/>
      <c r="K157" s="157"/>
      <c r="L157" s="158"/>
      <c r="M157" s="94"/>
      <c r="N157" s="94"/>
      <c r="O157" s="94"/>
      <c r="P157" s="94"/>
      <c r="Q157" s="94"/>
      <c r="R157" s="94"/>
      <c r="S157" s="94"/>
      <c r="T157" s="94"/>
      <c r="U157" s="94"/>
      <c r="V157" s="94"/>
    </row>
    <row r="158" ht="24.0" customHeight="1">
      <c r="A158" s="149"/>
      <c r="B158" s="150"/>
      <c r="C158" s="151"/>
      <c r="D158" s="152"/>
      <c r="E158" s="152"/>
      <c r="F158" s="153"/>
      <c r="G158" s="154"/>
      <c r="H158" s="155"/>
      <c r="I158" s="156"/>
      <c r="J158" s="155"/>
      <c r="K158" s="157"/>
      <c r="L158" s="158"/>
      <c r="M158" s="94"/>
      <c r="N158" s="94"/>
      <c r="O158" s="94"/>
      <c r="P158" s="94"/>
      <c r="Q158" s="94"/>
      <c r="R158" s="94"/>
      <c r="S158" s="94"/>
      <c r="T158" s="94"/>
      <c r="U158" s="94"/>
      <c r="V158" s="94"/>
    </row>
    <row r="159" ht="24.0" customHeight="1">
      <c r="A159" s="149"/>
      <c r="B159" s="150"/>
      <c r="C159" s="151"/>
      <c r="D159" s="152"/>
      <c r="E159" s="152"/>
      <c r="F159" s="153"/>
      <c r="G159" s="154"/>
      <c r="H159" s="155"/>
      <c r="I159" s="156"/>
      <c r="J159" s="155"/>
      <c r="K159" s="157"/>
      <c r="L159" s="158"/>
      <c r="M159" s="94"/>
      <c r="N159" s="94"/>
      <c r="O159" s="94"/>
      <c r="P159" s="94"/>
      <c r="Q159" s="94"/>
      <c r="R159" s="94"/>
      <c r="S159" s="94"/>
      <c r="T159" s="94"/>
      <c r="U159" s="94"/>
      <c r="V159" s="94"/>
    </row>
    <row r="160" ht="24.0" customHeight="1">
      <c r="A160" s="162"/>
      <c r="B160" s="183"/>
      <c r="C160" s="164"/>
      <c r="D160" s="165"/>
      <c r="E160" s="165"/>
      <c r="F160" s="166"/>
      <c r="G160" s="167"/>
      <c r="H160" s="168"/>
      <c r="I160" s="169"/>
      <c r="J160" s="168"/>
      <c r="K160" s="170"/>
      <c r="L160" s="171"/>
      <c r="M160" s="94"/>
      <c r="N160" s="94"/>
      <c r="O160" s="94"/>
      <c r="P160" s="94"/>
      <c r="Q160" s="94"/>
      <c r="R160" s="94"/>
      <c r="S160" s="94"/>
      <c r="T160" s="94"/>
      <c r="U160" s="94"/>
      <c r="V160" s="94"/>
    </row>
    <row r="161" ht="24.0" customHeight="1">
      <c r="A161" s="149"/>
      <c r="B161" s="150"/>
      <c r="C161" s="151"/>
      <c r="D161" s="152"/>
      <c r="E161" s="152"/>
      <c r="F161" s="153"/>
      <c r="G161" s="154"/>
      <c r="H161" s="155"/>
      <c r="I161" s="156"/>
      <c r="J161" s="155"/>
      <c r="K161" s="157"/>
      <c r="L161" s="158"/>
      <c r="M161" s="94"/>
      <c r="N161" s="94"/>
      <c r="O161" s="94"/>
      <c r="P161" s="94"/>
      <c r="Q161" s="94"/>
      <c r="R161" s="94"/>
      <c r="S161" s="94"/>
      <c r="T161" s="94"/>
      <c r="U161" s="94"/>
      <c r="V161" s="94"/>
    </row>
    <row r="162" ht="24.0" customHeight="1">
      <c r="A162" s="149"/>
      <c r="B162" s="150"/>
      <c r="C162" s="151"/>
      <c r="D162" s="152"/>
      <c r="E162" s="152"/>
      <c r="F162" s="153"/>
      <c r="G162" s="154"/>
      <c r="H162" s="155"/>
      <c r="I162" s="156"/>
      <c r="J162" s="155"/>
      <c r="K162" s="157"/>
      <c r="L162" s="158"/>
      <c r="M162" s="94"/>
      <c r="N162" s="94"/>
      <c r="O162" s="94"/>
      <c r="P162" s="94"/>
      <c r="Q162" s="94"/>
      <c r="R162" s="94"/>
      <c r="S162" s="94"/>
      <c r="T162" s="94"/>
      <c r="U162" s="94"/>
      <c r="V162" s="94"/>
    </row>
    <row r="163" ht="24.0" customHeight="1">
      <c r="A163" s="149"/>
      <c r="B163" s="150"/>
      <c r="C163" s="151"/>
      <c r="D163" s="152"/>
      <c r="E163" s="152"/>
      <c r="F163" s="153"/>
      <c r="G163" s="154"/>
      <c r="H163" s="155"/>
      <c r="I163" s="156"/>
      <c r="J163" s="155"/>
      <c r="K163" s="157"/>
      <c r="L163" s="158"/>
      <c r="M163" s="94"/>
      <c r="N163" s="94"/>
      <c r="O163" s="94"/>
      <c r="P163" s="94"/>
      <c r="Q163" s="94"/>
      <c r="R163" s="94"/>
      <c r="S163" s="94"/>
      <c r="T163" s="94"/>
      <c r="U163" s="94"/>
      <c r="V163" s="94"/>
    </row>
    <row r="164" ht="24.0" customHeight="1">
      <c r="A164" s="149"/>
      <c r="B164" s="150"/>
      <c r="C164" s="151"/>
      <c r="D164" s="152"/>
      <c r="E164" s="152"/>
      <c r="F164" s="153"/>
      <c r="G164" s="154"/>
      <c r="H164" s="155"/>
      <c r="I164" s="156"/>
      <c r="J164" s="155"/>
      <c r="K164" s="157"/>
      <c r="L164" s="158"/>
      <c r="M164" s="94"/>
      <c r="N164" s="94"/>
      <c r="O164" s="94"/>
      <c r="P164" s="94"/>
      <c r="Q164" s="94"/>
      <c r="R164" s="94"/>
      <c r="S164" s="94"/>
      <c r="T164" s="94"/>
      <c r="U164" s="94"/>
      <c r="V164" s="94"/>
    </row>
    <row r="165" ht="24.0" customHeight="1">
      <c r="A165" s="149"/>
      <c r="B165" s="150"/>
      <c r="C165" s="151"/>
      <c r="D165" s="152"/>
      <c r="E165" s="152"/>
      <c r="F165" s="153"/>
      <c r="G165" s="154"/>
      <c r="H165" s="155"/>
      <c r="I165" s="156"/>
      <c r="J165" s="155"/>
      <c r="K165" s="157"/>
      <c r="L165" s="158"/>
      <c r="M165" s="94"/>
      <c r="N165" s="94"/>
      <c r="O165" s="94"/>
      <c r="P165" s="94"/>
      <c r="Q165" s="94"/>
      <c r="R165" s="94"/>
      <c r="S165" s="94"/>
      <c r="T165" s="94"/>
      <c r="U165" s="94"/>
      <c r="V165" s="94"/>
    </row>
    <row r="166" ht="24.0" customHeight="1">
      <c r="A166" s="149"/>
      <c r="B166" s="150"/>
      <c r="C166" s="151"/>
      <c r="D166" s="152"/>
      <c r="E166" s="152"/>
      <c r="F166" s="153"/>
      <c r="G166" s="154"/>
      <c r="H166" s="155"/>
      <c r="I166" s="156"/>
      <c r="J166" s="155"/>
      <c r="K166" s="157"/>
      <c r="L166" s="158"/>
      <c r="M166" s="94"/>
      <c r="N166" s="94"/>
      <c r="O166" s="94"/>
      <c r="P166" s="94"/>
      <c r="Q166" s="94"/>
      <c r="R166" s="94"/>
      <c r="S166" s="94"/>
      <c r="T166" s="94"/>
      <c r="U166" s="94"/>
      <c r="V166" s="94"/>
    </row>
    <row r="167" ht="24.0" customHeight="1">
      <c r="A167" s="149"/>
      <c r="B167" s="150"/>
      <c r="C167" s="151"/>
      <c r="D167" s="152"/>
      <c r="E167" s="152"/>
      <c r="F167" s="153"/>
      <c r="G167" s="154"/>
      <c r="H167" s="155"/>
      <c r="I167" s="156"/>
      <c r="J167" s="155"/>
      <c r="K167" s="157"/>
      <c r="L167" s="158"/>
      <c r="M167" s="94"/>
      <c r="N167" s="94"/>
      <c r="O167" s="94"/>
      <c r="P167" s="94"/>
      <c r="Q167" s="94"/>
      <c r="R167" s="94"/>
      <c r="S167" s="94"/>
      <c r="T167" s="94"/>
      <c r="U167" s="94"/>
      <c r="V167" s="94"/>
    </row>
    <row r="168" ht="24.0" customHeight="1">
      <c r="A168" s="149"/>
      <c r="B168" s="150"/>
      <c r="C168" s="151"/>
      <c r="D168" s="152"/>
      <c r="E168" s="152"/>
      <c r="F168" s="153"/>
      <c r="G168" s="154"/>
      <c r="H168" s="155"/>
      <c r="I168" s="156"/>
      <c r="J168" s="155"/>
      <c r="K168" s="157"/>
      <c r="L168" s="158"/>
      <c r="M168" s="94"/>
      <c r="N168" s="94"/>
      <c r="O168" s="94"/>
      <c r="P168" s="94"/>
      <c r="Q168" s="94"/>
      <c r="R168" s="94"/>
      <c r="S168" s="94"/>
      <c r="T168" s="94"/>
      <c r="U168" s="94"/>
      <c r="V168" s="94"/>
    </row>
    <row r="169" ht="24.0" customHeight="1">
      <c r="A169" s="149"/>
      <c r="B169" s="150"/>
      <c r="C169" s="151"/>
      <c r="D169" s="152"/>
      <c r="E169" s="152"/>
      <c r="F169" s="153"/>
      <c r="G169" s="154"/>
      <c r="H169" s="155"/>
      <c r="I169" s="156"/>
      <c r="J169" s="155"/>
      <c r="K169" s="157"/>
      <c r="L169" s="158"/>
      <c r="M169" s="94"/>
      <c r="N169" s="94"/>
      <c r="O169" s="94"/>
      <c r="P169" s="94"/>
      <c r="Q169" s="94"/>
      <c r="R169" s="94"/>
      <c r="S169" s="94"/>
      <c r="T169" s="94"/>
      <c r="U169" s="94"/>
      <c r="V169" s="94"/>
    </row>
    <row r="170" ht="24.0" customHeight="1">
      <c r="A170" s="149"/>
      <c r="B170" s="150"/>
      <c r="C170" s="151"/>
      <c r="D170" s="152"/>
      <c r="E170" s="152"/>
      <c r="F170" s="153"/>
      <c r="G170" s="154"/>
      <c r="H170" s="155"/>
      <c r="I170" s="156"/>
      <c r="J170" s="155"/>
      <c r="K170" s="157"/>
      <c r="L170" s="158"/>
      <c r="M170" s="94"/>
      <c r="N170" s="94"/>
      <c r="O170" s="94"/>
      <c r="P170" s="94"/>
      <c r="Q170" s="94"/>
      <c r="R170" s="94"/>
      <c r="S170" s="94"/>
      <c r="T170" s="94"/>
      <c r="U170" s="94"/>
      <c r="V170" s="94"/>
    </row>
    <row r="171" ht="24.0" customHeight="1">
      <c r="A171" s="149"/>
      <c r="B171" s="150"/>
      <c r="C171" s="151"/>
      <c r="D171" s="152"/>
      <c r="E171" s="152"/>
      <c r="F171" s="153"/>
      <c r="G171" s="154"/>
      <c r="H171" s="155"/>
      <c r="I171" s="156"/>
      <c r="J171" s="155"/>
      <c r="K171" s="157"/>
      <c r="L171" s="158"/>
      <c r="M171" s="94"/>
      <c r="N171" s="94"/>
      <c r="O171" s="94"/>
      <c r="P171" s="94"/>
      <c r="Q171" s="94"/>
      <c r="R171" s="94"/>
      <c r="S171" s="94"/>
      <c r="T171" s="94"/>
      <c r="U171" s="94"/>
      <c r="V171" s="94"/>
    </row>
    <row r="172" ht="24.0" customHeight="1">
      <c r="A172" s="149"/>
      <c r="B172" s="150"/>
      <c r="C172" s="151"/>
      <c r="D172" s="152"/>
      <c r="E172" s="152"/>
      <c r="F172" s="153"/>
      <c r="G172" s="154"/>
      <c r="H172" s="155"/>
      <c r="I172" s="156"/>
      <c r="J172" s="155"/>
      <c r="K172" s="157"/>
      <c r="L172" s="158"/>
      <c r="M172" s="94"/>
      <c r="N172" s="94"/>
      <c r="O172" s="94"/>
      <c r="P172" s="94"/>
      <c r="Q172" s="94"/>
      <c r="R172" s="94"/>
      <c r="S172" s="94"/>
      <c r="T172" s="94"/>
      <c r="U172" s="94"/>
      <c r="V172" s="94"/>
    </row>
    <row r="173" ht="24.0" customHeight="1">
      <c r="A173" s="149"/>
      <c r="B173" s="150"/>
      <c r="C173" s="151"/>
      <c r="D173" s="152"/>
      <c r="E173" s="152"/>
      <c r="F173" s="153"/>
      <c r="G173" s="154"/>
      <c r="H173" s="155"/>
      <c r="I173" s="156"/>
      <c r="J173" s="155"/>
      <c r="K173" s="157"/>
      <c r="L173" s="158"/>
      <c r="M173" s="94"/>
      <c r="N173" s="94"/>
      <c r="O173" s="94"/>
      <c r="P173" s="94"/>
      <c r="Q173" s="94"/>
      <c r="R173" s="94"/>
      <c r="S173" s="94"/>
      <c r="T173" s="94"/>
      <c r="U173" s="94"/>
      <c r="V173" s="94"/>
    </row>
    <row r="174" ht="24.0" customHeight="1">
      <c r="A174" s="149"/>
      <c r="B174" s="150"/>
      <c r="C174" s="151"/>
      <c r="D174" s="152"/>
      <c r="E174" s="152"/>
      <c r="F174" s="153"/>
      <c r="G174" s="154"/>
      <c r="H174" s="155"/>
      <c r="I174" s="156"/>
      <c r="J174" s="155"/>
      <c r="K174" s="157"/>
      <c r="L174" s="158"/>
      <c r="M174" s="94"/>
      <c r="N174" s="94"/>
      <c r="O174" s="94"/>
      <c r="P174" s="94"/>
      <c r="Q174" s="94"/>
      <c r="R174" s="94"/>
      <c r="S174" s="94"/>
      <c r="T174" s="94"/>
      <c r="U174" s="94"/>
      <c r="V174" s="94"/>
    </row>
    <row r="175" ht="24.0" customHeight="1">
      <c r="A175" s="149"/>
      <c r="B175" s="150"/>
      <c r="C175" s="151"/>
      <c r="D175" s="152"/>
      <c r="E175" s="152"/>
      <c r="F175" s="153"/>
      <c r="G175" s="154"/>
      <c r="H175" s="155"/>
      <c r="I175" s="156"/>
      <c r="J175" s="155"/>
      <c r="K175" s="157"/>
      <c r="L175" s="158"/>
      <c r="M175" s="94"/>
      <c r="N175" s="94"/>
      <c r="O175" s="94"/>
      <c r="P175" s="94"/>
      <c r="Q175" s="94"/>
      <c r="R175" s="94"/>
      <c r="S175" s="94"/>
      <c r="T175" s="94"/>
      <c r="U175" s="94"/>
      <c r="V175" s="94"/>
    </row>
    <row r="176" ht="24.0" customHeight="1">
      <c r="A176" s="149"/>
      <c r="B176" s="150"/>
      <c r="C176" s="151"/>
      <c r="D176" s="152"/>
      <c r="E176" s="152"/>
      <c r="F176" s="153"/>
      <c r="G176" s="154"/>
      <c r="H176" s="155"/>
      <c r="I176" s="156"/>
      <c r="J176" s="155"/>
      <c r="K176" s="157"/>
      <c r="L176" s="158"/>
      <c r="M176" s="94"/>
      <c r="N176" s="94"/>
      <c r="O176" s="94"/>
      <c r="P176" s="94"/>
      <c r="Q176" s="94"/>
      <c r="R176" s="94"/>
      <c r="S176" s="94"/>
      <c r="T176" s="94"/>
      <c r="U176" s="94"/>
      <c r="V176" s="94"/>
    </row>
    <row r="177" ht="24.0" customHeight="1">
      <c r="A177" s="149"/>
      <c r="B177" s="150"/>
      <c r="C177" s="151"/>
      <c r="D177" s="152"/>
      <c r="E177" s="152"/>
      <c r="F177" s="153"/>
      <c r="G177" s="154"/>
      <c r="H177" s="155"/>
      <c r="I177" s="156"/>
      <c r="J177" s="155"/>
      <c r="K177" s="157"/>
      <c r="L177" s="158"/>
      <c r="M177" s="94"/>
      <c r="N177" s="94"/>
      <c r="O177" s="94"/>
      <c r="P177" s="94"/>
      <c r="Q177" s="94"/>
      <c r="R177" s="94"/>
      <c r="S177" s="94"/>
      <c r="T177" s="94"/>
      <c r="U177" s="94"/>
      <c r="V177" s="94"/>
    </row>
    <row r="178" ht="24.0" customHeight="1">
      <c r="A178" s="149"/>
      <c r="B178" s="150"/>
      <c r="C178" s="151"/>
      <c r="D178" s="152"/>
      <c r="E178" s="152"/>
      <c r="F178" s="153"/>
      <c r="G178" s="154"/>
      <c r="H178" s="155"/>
      <c r="I178" s="156"/>
      <c r="J178" s="155"/>
      <c r="K178" s="157"/>
      <c r="L178" s="158"/>
      <c r="M178" s="94"/>
      <c r="N178" s="94"/>
      <c r="O178" s="94"/>
      <c r="P178" s="94"/>
      <c r="Q178" s="94"/>
      <c r="R178" s="94"/>
      <c r="S178" s="94"/>
      <c r="T178" s="94"/>
      <c r="U178" s="94"/>
      <c r="V178" s="94"/>
    </row>
    <row r="179" ht="24.0" customHeight="1">
      <c r="A179" s="149"/>
      <c r="B179" s="150"/>
      <c r="C179" s="151"/>
      <c r="D179" s="152"/>
      <c r="E179" s="152"/>
      <c r="F179" s="153"/>
      <c r="G179" s="154"/>
      <c r="H179" s="155"/>
      <c r="I179" s="156"/>
      <c r="J179" s="155"/>
      <c r="K179" s="157"/>
      <c r="L179" s="158"/>
      <c r="M179" s="94"/>
      <c r="N179" s="94"/>
      <c r="O179" s="94"/>
      <c r="P179" s="94"/>
      <c r="Q179" s="94"/>
      <c r="R179" s="94"/>
      <c r="S179" s="94"/>
      <c r="T179" s="94"/>
      <c r="U179" s="94"/>
      <c r="V179" s="94"/>
    </row>
    <row r="180" ht="24.0" customHeight="1">
      <c r="A180" s="149"/>
      <c r="B180" s="150"/>
      <c r="C180" s="151"/>
      <c r="D180" s="152"/>
      <c r="E180" s="152"/>
      <c r="F180" s="153"/>
      <c r="G180" s="154"/>
      <c r="H180" s="155"/>
      <c r="I180" s="156"/>
      <c r="J180" s="155"/>
      <c r="K180" s="157"/>
      <c r="L180" s="158"/>
      <c r="M180" s="94"/>
      <c r="N180" s="94"/>
      <c r="O180" s="94"/>
      <c r="P180" s="94"/>
      <c r="Q180" s="94"/>
      <c r="R180" s="94"/>
      <c r="S180" s="94"/>
      <c r="T180" s="94"/>
      <c r="U180" s="94"/>
      <c r="V180" s="94"/>
    </row>
    <row r="181" ht="24.0" customHeight="1">
      <c r="A181" s="149"/>
      <c r="B181" s="150"/>
      <c r="C181" s="151"/>
      <c r="D181" s="152"/>
      <c r="E181" s="152"/>
      <c r="F181" s="153"/>
      <c r="G181" s="154"/>
      <c r="H181" s="155"/>
      <c r="I181" s="156"/>
      <c r="J181" s="155"/>
      <c r="K181" s="157"/>
      <c r="L181" s="158"/>
      <c r="M181" s="94"/>
      <c r="N181" s="94"/>
      <c r="O181" s="94"/>
      <c r="P181" s="94"/>
      <c r="Q181" s="94"/>
      <c r="R181" s="94"/>
      <c r="S181" s="94"/>
      <c r="T181" s="94"/>
      <c r="U181" s="94"/>
      <c r="V181" s="94"/>
    </row>
    <row r="182" ht="24.0" customHeight="1">
      <c r="A182" s="149"/>
      <c r="B182" s="150"/>
      <c r="C182" s="151"/>
      <c r="D182" s="152"/>
      <c r="E182" s="152"/>
      <c r="F182" s="153"/>
      <c r="G182" s="154"/>
      <c r="H182" s="155"/>
      <c r="I182" s="156"/>
      <c r="J182" s="155"/>
      <c r="K182" s="157"/>
      <c r="L182" s="158"/>
      <c r="M182" s="94"/>
      <c r="N182" s="94"/>
      <c r="O182" s="94"/>
      <c r="P182" s="94"/>
      <c r="Q182" s="94"/>
      <c r="R182" s="94"/>
      <c r="S182" s="94"/>
      <c r="T182" s="94"/>
      <c r="U182" s="94"/>
      <c r="V182" s="94"/>
    </row>
    <row r="183" ht="24.0" customHeight="1">
      <c r="A183" s="149"/>
      <c r="B183" s="150"/>
      <c r="C183" s="151"/>
      <c r="D183" s="152"/>
      <c r="E183" s="152"/>
      <c r="F183" s="153"/>
      <c r="G183" s="154"/>
      <c r="H183" s="155"/>
      <c r="I183" s="156"/>
      <c r="J183" s="155"/>
      <c r="K183" s="157"/>
      <c r="L183" s="158"/>
      <c r="M183" s="94"/>
      <c r="N183" s="94"/>
      <c r="O183" s="94"/>
      <c r="P183" s="94"/>
      <c r="Q183" s="94"/>
      <c r="R183" s="94"/>
      <c r="S183" s="94"/>
      <c r="T183" s="94"/>
      <c r="U183" s="94"/>
      <c r="V183" s="94"/>
    </row>
    <row r="184" ht="24.0" customHeight="1">
      <c r="A184" s="149"/>
      <c r="B184" s="150"/>
      <c r="C184" s="151"/>
      <c r="D184" s="152"/>
      <c r="E184" s="152"/>
      <c r="F184" s="153"/>
      <c r="G184" s="154"/>
      <c r="H184" s="155"/>
      <c r="I184" s="156"/>
      <c r="J184" s="155"/>
      <c r="K184" s="157"/>
      <c r="L184" s="158"/>
      <c r="M184" s="94"/>
      <c r="N184" s="94"/>
      <c r="O184" s="94"/>
      <c r="P184" s="94"/>
      <c r="Q184" s="94"/>
      <c r="R184" s="94"/>
      <c r="S184" s="94"/>
      <c r="T184" s="94"/>
      <c r="U184" s="94"/>
      <c r="V184" s="94"/>
    </row>
    <row r="185" ht="24.0" customHeight="1">
      <c r="A185" s="149"/>
      <c r="B185" s="150"/>
      <c r="C185" s="151"/>
      <c r="D185" s="152"/>
      <c r="E185" s="152"/>
      <c r="F185" s="153"/>
      <c r="G185" s="154"/>
      <c r="H185" s="155"/>
      <c r="I185" s="156"/>
      <c r="J185" s="155"/>
      <c r="K185" s="157"/>
      <c r="L185" s="158"/>
      <c r="M185" s="94"/>
      <c r="N185" s="94"/>
      <c r="O185" s="94"/>
      <c r="P185" s="94"/>
      <c r="Q185" s="94"/>
      <c r="R185" s="94"/>
      <c r="S185" s="94"/>
      <c r="T185" s="94"/>
      <c r="U185" s="94"/>
      <c r="V185" s="94"/>
    </row>
    <row r="186" ht="24.0" customHeight="1">
      <c r="A186" s="149"/>
      <c r="B186" s="150"/>
      <c r="C186" s="151"/>
      <c r="D186" s="152"/>
      <c r="E186" s="152"/>
      <c r="F186" s="153"/>
      <c r="G186" s="154"/>
      <c r="H186" s="155"/>
      <c r="I186" s="156"/>
      <c r="J186" s="155"/>
      <c r="K186" s="157"/>
      <c r="L186" s="158"/>
      <c r="M186" s="94"/>
      <c r="N186" s="94"/>
      <c r="O186" s="94"/>
      <c r="P186" s="94"/>
      <c r="Q186" s="94"/>
      <c r="R186" s="94"/>
      <c r="S186" s="94"/>
      <c r="T186" s="94"/>
      <c r="U186" s="94"/>
      <c r="V186" s="94"/>
    </row>
    <row r="187" ht="24.0" customHeight="1">
      <c r="A187" s="149"/>
      <c r="B187" s="150"/>
      <c r="C187" s="151"/>
      <c r="D187" s="152"/>
      <c r="E187" s="152"/>
      <c r="F187" s="153"/>
      <c r="G187" s="154"/>
      <c r="H187" s="155"/>
      <c r="I187" s="156"/>
      <c r="J187" s="155"/>
      <c r="K187" s="157"/>
      <c r="L187" s="158"/>
      <c r="M187" s="94"/>
      <c r="N187" s="94"/>
      <c r="O187" s="94"/>
      <c r="P187" s="94"/>
      <c r="Q187" s="94"/>
      <c r="R187" s="94"/>
      <c r="S187" s="94"/>
      <c r="T187" s="94"/>
      <c r="U187" s="94"/>
      <c r="V187" s="94"/>
    </row>
    <row r="188" ht="24.0" customHeight="1">
      <c r="A188" s="149"/>
      <c r="B188" s="150"/>
      <c r="C188" s="151"/>
      <c r="D188" s="152"/>
      <c r="E188" s="152"/>
      <c r="F188" s="153"/>
      <c r="G188" s="154"/>
      <c r="H188" s="155"/>
      <c r="I188" s="156"/>
      <c r="J188" s="155"/>
      <c r="K188" s="157"/>
      <c r="L188" s="158"/>
      <c r="M188" s="94"/>
      <c r="N188" s="94"/>
      <c r="O188" s="94"/>
      <c r="P188" s="94"/>
      <c r="Q188" s="94"/>
      <c r="R188" s="94"/>
      <c r="S188" s="94"/>
      <c r="T188" s="94"/>
      <c r="U188" s="94"/>
      <c r="V188" s="94"/>
    </row>
    <row r="189" ht="24.0" customHeight="1">
      <c r="A189" s="149"/>
      <c r="B189" s="150"/>
      <c r="C189" s="151"/>
      <c r="D189" s="152"/>
      <c r="E189" s="152"/>
      <c r="F189" s="153"/>
      <c r="G189" s="154"/>
      <c r="H189" s="155"/>
      <c r="I189" s="156"/>
      <c r="J189" s="155"/>
      <c r="K189" s="157"/>
      <c r="L189" s="158"/>
      <c r="M189" s="94"/>
      <c r="N189" s="94"/>
      <c r="O189" s="94"/>
      <c r="P189" s="94"/>
      <c r="Q189" s="94"/>
      <c r="R189" s="94"/>
      <c r="S189" s="94"/>
      <c r="T189" s="94"/>
      <c r="U189" s="94"/>
      <c r="V189" s="94"/>
    </row>
    <row r="190" ht="24.0" customHeight="1">
      <c r="A190" s="149"/>
      <c r="B190" s="150"/>
      <c r="C190" s="151"/>
      <c r="D190" s="152"/>
      <c r="E190" s="152"/>
      <c r="F190" s="153"/>
      <c r="G190" s="154"/>
      <c r="H190" s="155"/>
      <c r="I190" s="156"/>
      <c r="J190" s="155"/>
      <c r="K190" s="157"/>
      <c r="L190" s="158"/>
      <c r="M190" s="94"/>
      <c r="N190" s="94"/>
      <c r="O190" s="94"/>
      <c r="P190" s="94"/>
      <c r="Q190" s="94"/>
      <c r="R190" s="94"/>
      <c r="S190" s="94"/>
      <c r="T190" s="94"/>
      <c r="U190" s="94"/>
      <c r="V190" s="94"/>
    </row>
    <row r="191" ht="24.0" customHeight="1">
      <c r="A191" s="149"/>
      <c r="B191" s="150"/>
      <c r="C191" s="151"/>
      <c r="D191" s="152"/>
      <c r="E191" s="152"/>
      <c r="F191" s="153"/>
      <c r="G191" s="154"/>
      <c r="H191" s="155"/>
      <c r="I191" s="156"/>
      <c r="J191" s="155"/>
      <c r="K191" s="157"/>
      <c r="L191" s="161"/>
      <c r="M191" s="94"/>
      <c r="N191" s="94"/>
      <c r="O191" s="94"/>
      <c r="P191" s="94"/>
      <c r="Q191" s="94"/>
      <c r="R191" s="94"/>
      <c r="S191" s="94"/>
      <c r="T191" s="94"/>
      <c r="U191" s="94"/>
      <c r="V191" s="94"/>
    </row>
    <row r="192" ht="24.0" customHeight="1">
      <c r="A192" s="149"/>
      <c r="B192" s="150"/>
      <c r="C192" s="151"/>
      <c r="D192" s="152"/>
      <c r="E192" s="152"/>
      <c r="F192" s="153"/>
      <c r="G192" s="154"/>
      <c r="H192" s="155"/>
      <c r="I192" s="156"/>
      <c r="J192" s="155"/>
      <c r="K192" s="157"/>
      <c r="L192" s="158"/>
      <c r="M192" s="94"/>
      <c r="N192" s="94"/>
      <c r="O192" s="94"/>
      <c r="P192" s="94"/>
      <c r="Q192" s="94"/>
      <c r="R192" s="94"/>
      <c r="S192" s="94"/>
      <c r="T192" s="94"/>
      <c r="U192" s="94"/>
      <c r="V192" s="94"/>
    </row>
    <row r="193" ht="24.0" customHeight="1">
      <c r="A193" s="149"/>
      <c r="B193" s="150"/>
      <c r="C193" s="151"/>
      <c r="D193" s="152"/>
      <c r="E193" s="152"/>
      <c r="F193" s="153"/>
      <c r="G193" s="154"/>
      <c r="H193" s="155"/>
      <c r="I193" s="156"/>
      <c r="J193" s="155"/>
      <c r="K193" s="157"/>
      <c r="L193" s="158"/>
      <c r="M193" s="94"/>
      <c r="N193" s="94"/>
      <c r="O193" s="94"/>
      <c r="P193" s="94"/>
      <c r="Q193" s="94"/>
      <c r="R193" s="94"/>
      <c r="S193" s="94"/>
      <c r="T193" s="94"/>
      <c r="U193" s="94"/>
      <c r="V193" s="94"/>
    </row>
    <row r="194" ht="24.0" customHeight="1">
      <c r="A194" s="149"/>
      <c r="B194" s="150"/>
      <c r="C194" s="151"/>
      <c r="D194" s="152"/>
      <c r="E194" s="152"/>
      <c r="F194" s="153"/>
      <c r="G194" s="154"/>
      <c r="H194" s="155"/>
      <c r="I194" s="156"/>
      <c r="J194" s="155"/>
      <c r="K194" s="157"/>
      <c r="L194" s="158"/>
      <c r="M194" s="94"/>
      <c r="N194" s="94"/>
      <c r="O194" s="94"/>
      <c r="P194" s="94"/>
      <c r="Q194" s="94"/>
      <c r="R194" s="94"/>
      <c r="S194" s="94"/>
      <c r="T194" s="94"/>
      <c r="U194" s="94"/>
      <c r="V194" s="94"/>
    </row>
    <row r="195" ht="24.0" customHeight="1">
      <c r="A195" s="149"/>
      <c r="B195" s="150"/>
      <c r="C195" s="151"/>
      <c r="D195" s="152"/>
      <c r="E195" s="152"/>
      <c r="F195" s="153"/>
      <c r="G195" s="154"/>
      <c r="H195" s="155"/>
      <c r="I195" s="156"/>
      <c r="J195" s="155"/>
      <c r="K195" s="157"/>
      <c r="L195" s="158"/>
      <c r="M195" s="94"/>
      <c r="N195" s="94"/>
      <c r="O195" s="94"/>
      <c r="P195" s="94"/>
      <c r="Q195" s="94"/>
      <c r="R195" s="94"/>
      <c r="S195" s="94"/>
      <c r="T195" s="94"/>
      <c r="U195" s="94"/>
      <c r="V195" s="94"/>
    </row>
    <row r="196" ht="24.0" customHeight="1">
      <c r="A196" s="149"/>
      <c r="B196" s="150"/>
      <c r="C196" s="151"/>
      <c r="D196" s="152"/>
      <c r="E196" s="152"/>
      <c r="F196" s="153"/>
      <c r="G196" s="154"/>
      <c r="H196" s="155"/>
      <c r="I196" s="156"/>
      <c r="J196" s="155"/>
      <c r="K196" s="157"/>
      <c r="L196" s="158"/>
      <c r="M196" s="94"/>
      <c r="N196" s="94"/>
      <c r="O196" s="94"/>
      <c r="P196" s="94"/>
      <c r="Q196" s="94"/>
      <c r="R196" s="94"/>
      <c r="S196" s="94"/>
      <c r="T196" s="94"/>
      <c r="U196" s="94"/>
      <c r="V196" s="94"/>
    </row>
    <row r="197" ht="24.0" customHeight="1">
      <c r="A197" s="149"/>
      <c r="B197" s="150"/>
      <c r="C197" s="151"/>
      <c r="D197" s="152"/>
      <c r="E197" s="152"/>
      <c r="F197" s="153"/>
      <c r="G197" s="154"/>
      <c r="H197" s="155"/>
      <c r="I197" s="156"/>
      <c r="J197" s="155"/>
      <c r="K197" s="157"/>
      <c r="L197" s="158"/>
      <c r="M197" s="94"/>
      <c r="N197" s="94"/>
      <c r="O197" s="94"/>
      <c r="P197" s="94"/>
      <c r="Q197" s="94"/>
      <c r="R197" s="94"/>
      <c r="S197" s="94"/>
      <c r="T197" s="94"/>
      <c r="U197" s="94"/>
      <c r="V197" s="94"/>
    </row>
    <row r="198" ht="24.0" customHeight="1">
      <c r="A198" s="149"/>
      <c r="B198" s="150"/>
      <c r="C198" s="151"/>
      <c r="D198" s="152"/>
      <c r="E198" s="152"/>
      <c r="F198" s="153"/>
      <c r="G198" s="154"/>
      <c r="H198" s="155"/>
      <c r="I198" s="156"/>
      <c r="J198" s="155"/>
      <c r="K198" s="157"/>
      <c r="L198" s="158"/>
      <c r="M198" s="94"/>
      <c r="N198" s="94"/>
      <c r="O198" s="94"/>
      <c r="P198" s="94"/>
      <c r="Q198" s="94"/>
      <c r="R198" s="94"/>
      <c r="S198" s="94"/>
      <c r="T198" s="94"/>
      <c r="U198" s="94"/>
      <c r="V198" s="94"/>
    </row>
    <row r="199" ht="24.0" customHeight="1">
      <c r="A199" s="149"/>
      <c r="B199" s="150"/>
      <c r="C199" s="151"/>
      <c r="D199" s="152"/>
      <c r="E199" s="152"/>
      <c r="F199" s="153"/>
      <c r="G199" s="154"/>
      <c r="H199" s="155"/>
      <c r="I199" s="156"/>
      <c r="J199" s="155"/>
      <c r="K199" s="157"/>
      <c r="L199" s="158"/>
      <c r="M199" s="94"/>
      <c r="N199" s="94"/>
      <c r="O199" s="94"/>
      <c r="P199" s="94"/>
      <c r="Q199" s="94"/>
      <c r="R199" s="94"/>
      <c r="S199" s="94"/>
      <c r="T199" s="94"/>
      <c r="U199" s="94"/>
      <c r="V199" s="94"/>
    </row>
    <row r="200" ht="24.0" customHeight="1">
      <c r="A200" s="149"/>
      <c r="B200" s="150"/>
      <c r="C200" s="151"/>
      <c r="D200" s="152"/>
      <c r="E200" s="152"/>
      <c r="F200" s="153"/>
      <c r="G200" s="154"/>
      <c r="H200" s="155"/>
      <c r="I200" s="156"/>
      <c r="J200" s="155"/>
      <c r="K200" s="157"/>
      <c r="L200" s="158"/>
      <c r="M200" s="94"/>
      <c r="N200" s="94"/>
      <c r="O200" s="94"/>
      <c r="P200" s="94"/>
      <c r="Q200" s="94"/>
      <c r="R200" s="94"/>
      <c r="S200" s="94"/>
      <c r="T200" s="94"/>
      <c r="U200" s="94"/>
      <c r="V200" s="94"/>
    </row>
    <row r="201" ht="24.0" customHeight="1">
      <c r="A201" s="149"/>
      <c r="B201" s="150"/>
      <c r="C201" s="151"/>
      <c r="D201" s="152"/>
      <c r="E201" s="152"/>
      <c r="F201" s="153"/>
      <c r="G201" s="154"/>
      <c r="H201" s="155"/>
      <c r="I201" s="156"/>
      <c r="J201" s="155"/>
      <c r="K201" s="157"/>
      <c r="L201" s="158"/>
      <c r="M201" s="94"/>
      <c r="N201" s="94"/>
      <c r="O201" s="94"/>
      <c r="P201" s="94"/>
      <c r="Q201" s="94"/>
      <c r="R201" s="94"/>
      <c r="S201" s="94"/>
      <c r="T201" s="94"/>
      <c r="U201" s="94"/>
      <c r="V201" s="94"/>
    </row>
    <row r="202" ht="24.0" customHeight="1">
      <c r="A202" s="149"/>
      <c r="B202" s="150"/>
      <c r="C202" s="151"/>
      <c r="D202" s="152"/>
      <c r="E202" s="152"/>
      <c r="F202" s="153"/>
      <c r="G202" s="154"/>
      <c r="H202" s="155"/>
      <c r="I202" s="156"/>
      <c r="J202" s="155"/>
      <c r="K202" s="157"/>
      <c r="L202" s="158"/>
      <c r="M202" s="94"/>
      <c r="N202" s="94"/>
      <c r="O202" s="94"/>
      <c r="P202" s="94"/>
      <c r="Q202" s="94"/>
      <c r="R202" s="94"/>
      <c r="S202" s="94"/>
      <c r="T202" s="94"/>
      <c r="U202" s="94"/>
      <c r="V202" s="94"/>
    </row>
    <row r="203" ht="24.0" customHeight="1">
      <c r="A203" s="149"/>
      <c r="B203" s="150"/>
      <c r="C203" s="151"/>
      <c r="D203" s="152"/>
      <c r="E203" s="152"/>
      <c r="F203" s="153"/>
      <c r="G203" s="154"/>
      <c r="H203" s="155"/>
      <c r="I203" s="156"/>
      <c r="J203" s="155"/>
      <c r="K203" s="157"/>
      <c r="L203" s="158"/>
      <c r="M203" s="94"/>
      <c r="N203" s="94"/>
      <c r="O203" s="94"/>
      <c r="P203" s="94"/>
      <c r="Q203" s="94"/>
      <c r="R203" s="94"/>
      <c r="S203" s="94"/>
      <c r="T203" s="94"/>
      <c r="U203" s="94"/>
      <c r="V203" s="94"/>
    </row>
    <row r="204" ht="24.0" customHeight="1">
      <c r="A204" s="149"/>
      <c r="B204" s="150"/>
      <c r="C204" s="151"/>
      <c r="D204" s="152"/>
      <c r="E204" s="152"/>
      <c r="F204" s="153"/>
      <c r="G204" s="154"/>
      <c r="H204" s="155"/>
      <c r="I204" s="156"/>
      <c r="J204" s="155"/>
      <c r="K204" s="157"/>
      <c r="L204" s="158"/>
      <c r="M204" s="94"/>
      <c r="N204" s="94"/>
      <c r="O204" s="94"/>
      <c r="P204" s="94"/>
      <c r="Q204" s="94"/>
      <c r="R204" s="94"/>
      <c r="S204" s="94"/>
      <c r="T204" s="94"/>
      <c r="U204" s="94"/>
      <c r="V204" s="94"/>
    </row>
    <row r="205" ht="24.0" customHeight="1">
      <c r="A205" s="149"/>
      <c r="B205" s="150"/>
      <c r="C205" s="151"/>
      <c r="D205" s="152"/>
      <c r="E205" s="152"/>
      <c r="F205" s="153"/>
      <c r="G205" s="154"/>
      <c r="H205" s="155"/>
      <c r="I205" s="156"/>
      <c r="J205" s="155"/>
      <c r="K205" s="157"/>
      <c r="L205" s="158"/>
      <c r="M205" s="94"/>
      <c r="N205" s="94"/>
      <c r="O205" s="94"/>
      <c r="P205" s="94"/>
      <c r="Q205" s="94"/>
      <c r="R205" s="94"/>
      <c r="S205" s="94"/>
      <c r="T205" s="94"/>
      <c r="U205" s="94"/>
      <c r="V205" s="94"/>
    </row>
    <row r="206" ht="24.0" customHeight="1">
      <c r="A206" s="149"/>
      <c r="B206" s="150"/>
      <c r="C206" s="151"/>
      <c r="D206" s="152"/>
      <c r="E206" s="152"/>
      <c r="F206" s="153"/>
      <c r="G206" s="154"/>
      <c r="H206" s="155"/>
      <c r="I206" s="156"/>
      <c r="J206" s="155"/>
      <c r="K206" s="157"/>
      <c r="L206" s="158"/>
      <c r="M206" s="94"/>
      <c r="N206" s="94"/>
      <c r="O206" s="94"/>
      <c r="P206" s="94"/>
      <c r="Q206" s="94"/>
      <c r="R206" s="94"/>
      <c r="S206" s="94"/>
      <c r="T206" s="94"/>
      <c r="U206" s="94"/>
      <c r="V206" s="94"/>
    </row>
    <row r="207" ht="24.0" customHeight="1">
      <c r="A207" s="149"/>
      <c r="B207" s="150"/>
      <c r="C207" s="151"/>
      <c r="D207" s="152"/>
      <c r="E207" s="152"/>
      <c r="F207" s="153"/>
      <c r="G207" s="154"/>
      <c r="H207" s="155"/>
      <c r="I207" s="156"/>
      <c r="J207" s="155"/>
      <c r="K207" s="157"/>
      <c r="L207" s="158"/>
      <c r="M207" s="94"/>
      <c r="N207" s="94"/>
      <c r="O207" s="94"/>
      <c r="P207" s="94"/>
      <c r="Q207" s="94"/>
      <c r="R207" s="94"/>
      <c r="S207" s="94"/>
      <c r="T207" s="94"/>
      <c r="U207" s="94"/>
      <c r="V207" s="94"/>
    </row>
    <row r="208" ht="24.0" customHeight="1">
      <c r="A208" s="149"/>
      <c r="B208" s="150"/>
      <c r="C208" s="151"/>
      <c r="D208" s="152"/>
      <c r="E208" s="152"/>
      <c r="F208" s="153"/>
      <c r="G208" s="154"/>
      <c r="H208" s="155"/>
      <c r="I208" s="156"/>
      <c r="J208" s="155"/>
      <c r="K208" s="157"/>
      <c r="L208" s="158"/>
      <c r="M208" s="94"/>
      <c r="N208" s="94"/>
      <c r="O208" s="94"/>
      <c r="P208" s="94"/>
      <c r="Q208" s="94"/>
      <c r="R208" s="94"/>
      <c r="S208" s="94"/>
      <c r="T208" s="94"/>
      <c r="U208" s="94"/>
      <c r="V208" s="94"/>
    </row>
    <row r="209" ht="24.0" customHeight="1">
      <c r="A209" s="149"/>
      <c r="B209" s="150"/>
      <c r="C209" s="151"/>
      <c r="D209" s="152"/>
      <c r="E209" s="152"/>
      <c r="F209" s="153"/>
      <c r="G209" s="154"/>
      <c r="H209" s="155"/>
      <c r="I209" s="156"/>
      <c r="J209" s="155"/>
      <c r="K209" s="157"/>
      <c r="L209" s="158"/>
      <c r="M209" s="94"/>
      <c r="N209" s="94"/>
      <c r="O209" s="94"/>
      <c r="P209" s="94"/>
      <c r="Q209" s="94"/>
      <c r="R209" s="94"/>
      <c r="S209" s="94"/>
      <c r="T209" s="94"/>
      <c r="U209" s="94"/>
      <c r="V209" s="94"/>
    </row>
    <row r="210" ht="24.0" customHeight="1">
      <c r="A210" s="149"/>
      <c r="B210" s="150"/>
      <c r="C210" s="151"/>
      <c r="D210" s="152"/>
      <c r="E210" s="152"/>
      <c r="F210" s="153"/>
      <c r="G210" s="154"/>
      <c r="H210" s="155"/>
      <c r="I210" s="156"/>
      <c r="J210" s="155"/>
      <c r="K210" s="157"/>
      <c r="L210" s="158"/>
      <c r="M210" s="94"/>
      <c r="N210" s="94"/>
      <c r="O210" s="94"/>
      <c r="P210" s="94"/>
      <c r="Q210" s="94"/>
      <c r="R210" s="94"/>
      <c r="S210" s="94"/>
      <c r="T210" s="94"/>
      <c r="U210" s="94"/>
      <c r="V210" s="94"/>
    </row>
    <row r="211" ht="24.0" customHeight="1">
      <c r="A211" s="149"/>
      <c r="B211" s="150"/>
      <c r="C211" s="151"/>
      <c r="D211" s="152"/>
      <c r="E211" s="152"/>
      <c r="F211" s="153"/>
      <c r="G211" s="154"/>
      <c r="H211" s="155"/>
      <c r="I211" s="156"/>
      <c r="J211" s="155"/>
      <c r="K211" s="157"/>
      <c r="L211" s="158"/>
      <c r="M211" s="94"/>
      <c r="N211" s="94"/>
      <c r="O211" s="94"/>
      <c r="P211" s="94"/>
      <c r="Q211" s="94"/>
      <c r="R211" s="94"/>
      <c r="S211" s="94"/>
      <c r="T211" s="94"/>
      <c r="U211" s="94"/>
      <c r="V211" s="94"/>
    </row>
    <row r="212" ht="24.0" customHeight="1">
      <c r="A212" s="149"/>
      <c r="B212" s="150"/>
      <c r="C212" s="197"/>
      <c r="D212" s="198"/>
      <c r="E212" s="198"/>
      <c r="F212" s="199"/>
      <c r="G212" s="200"/>
      <c r="H212" s="201"/>
      <c r="I212" s="202"/>
      <c r="J212" s="201"/>
      <c r="K212" s="170"/>
      <c r="L212" s="171"/>
      <c r="M212" s="94"/>
      <c r="N212" s="94"/>
      <c r="O212" s="94"/>
      <c r="P212" s="94"/>
      <c r="Q212" s="94"/>
      <c r="R212" s="94"/>
      <c r="S212" s="94"/>
      <c r="T212" s="94"/>
      <c r="U212" s="94"/>
      <c r="V212" s="94"/>
    </row>
    <row r="213" ht="24.0" customHeight="1">
      <c r="A213" s="149"/>
      <c r="B213" s="150"/>
      <c r="C213" s="197"/>
      <c r="D213" s="198"/>
      <c r="E213" s="198"/>
      <c r="F213" s="199"/>
      <c r="G213" s="200"/>
      <c r="H213" s="201"/>
      <c r="I213" s="202"/>
      <c r="J213" s="201"/>
      <c r="K213" s="170"/>
      <c r="L213" s="171"/>
      <c r="M213" s="94"/>
      <c r="N213" s="94"/>
      <c r="O213" s="94"/>
      <c r="P213" s="94"/>
      <c r="Q213" s="94"/>
      <c r="R213" s="94"/>
      <c r="S213" s="94"/>
      <c r="T213" s="94"/>
      <c r="U213" s="94"/>
      <c r="V213" s="94"/>
    </row>
    <row r="214" ht="24.0" customHeight="1">
      <c r="A214" s="149"/>
      <c r="B214" s="150"/>
      <c r="C214" s="197"/>
      <c r="D214" s="198"/>
      <c r="E214" s="198"/>
      <c r="F214" s="199"/>
      <c r="G214" s="200"/>
      <c r="H214" s="201"/>
      <c r="I214" s="202"/>
      <c r="J214" s="201"/>
      <c r="K214" s="170"/>
      <c r="L214" s="171"/>
      <c r="M214" s="94"/>
      <c r="N214" s="94"/>
      <c r="O214" s="94"/>
      <c r="P214" s="94"/>
      <c r="Q214" s="94"/>
      <c r="R214" s="94"/>
      <c r="S214" s="94"/>
      <c r="T214" s="94"/>
      <c r="U214" s="94"/>
      <c r="V214" s="94"/>
    </row>
    <row r="215" ht="24.0" customHeight="1">
      <c r="A215" s="149"/>
      <c r="B215" s="150"/>
      <c r="C215" s="197"/>
      <c r="D215" s="198"/>
      <c r="E215" s="198"/>
      <c r="F215" s="199"/>
      <c r="G215" s="200"/>
      <c r="H215" s="201"/>
      <c r="I215" s="202"/>
      <c r="J215" s="201"/>
      <c r="K215" s="170"/>
      <c r="L215" s="171"/>
      <c r="M215" s="94"/>
      <c r="N215" s="94"/>
      <c r="O215" s="94"/>
      <c r="P215" s="94"/>
      <c r="Q215" s="94"/>
      <c r="R215" s="94"/>
      <c r="S215" s="94"/>
      <c r="T215" s="94"/>
      <c r="U215" s="94"/>
      <c r="V215" s="94"/>
    </row>
    <row r="216" ht="24.0" customHeight="1">
      <c r="A216" s="149"/>
      <c r="B216" s="150"/>
      <c r="C216" s="197"/>
      <c r="D216" s="198"/>
      <c r="E216" s="198"/>
      <c r="F216" s="199"/>
      <c r="G216" s="200"/>
      <c r="H216" s="201"/>
      <c r="I216" s="202"/>
      <c r="J216" s="201"/>
      <c r="K216" s="170"/>
      <c r="L216" s="171"/>
      <c r="M216" s="94"/>
      <c r="N216" s="94"/>
      <c r="O216" s="94"/>
      <c r="P216" s="94"/>
      <c r="Q216" s="94"/>
      <c r="R216" s="94"/>
      <c r="S216" s="94"/>
      <c r="T216" s="94"/>
      <c r="U216" s="94"/>
      <c r="V216" s="94"/>
    </row>
    <row r="217" ht="24.0" customHeight="1">
      <c r="A217" s="149"/>
      <c r="B217" s="150"/>
      <c r="C217" s="197"/>
      <c r="D217" s="198"/>
      <c r="E217" s="198"/>
      <c r="F217" s="199"/>
      <c r="G217" s="200"/>
      <c r="H217" s="201"/>
      <c r="I217" s="202"/>
      <c r="J217" s="201"/>
      <c r="K217" s="170"/>
      <c r="L217" s="171"/>
      <c r="M217" s="94"/>
      <c r="N217" s="94"/>
      <c r="O217" s="94"/>
      <c r="P217" s="94"/>
      <c r="Q217" s="94"/>
      <c r="R217" s="94"/>
      <c r="S217" s="94"/>
      <c r="T217" s="94"/>
      <c r="U217" s="94"/>
      <c r="V217" s="94"/>
    </row>
    <row r="218" ht="24.0" customHeight="1">
      <c r="A218" s="149"/>
      <c r="B218" s="150"/>
      <c r="C218" s="197"/>
      <c r="D218" s="198"/>
      <c r="E218" s="198"/>
      <c r="F218" s="199"/>
      <c r="G218" s="200"/>
      <c r="H218" s="201"/>
      <c r="I218" s="202"/>
      <c r="J218" s="201"/>
      <c r="K218" s="170"/>
      <c r="L218" s="171"/>
      <c r="M218" s="94"/>
      <c r="N218" s="94"/>
      <c r="O218" s="94"/>
      <c r="P218" s="94"/>
      <c r="Q218" s="94"/>
      <c r="R218" s="94"/>
      <c r="S218" s="94"/>
      <c r="T218" s="94"/>
      <c r="U218" s="94"/>
      <c r="V218" s="94"/>
    </row>
    <row r="219" ht="24.0" customHeight="1">
      <c r="A219" s="149"/>
      <c r="B219" s="150"/>
      <c r="C219" s="197"/>
      <c r="D219" s="198"/>
      <c r="E219" s="198"/>
      <c r="F219" s="199"/>
      <c r="G219" s="200"/>
      <c r="H219" s="201"/>
      <c r="I219" s="202"/>
      <c r="J219" s="201"/>
      <c r="K219" s="170"/>
      <c r="L219" s="171"/>
      <c r="M219" s="94"/>
      <c r="N219" s="94"/>
      <c r="O219" s="94"/>
      <c r="P219" s="94"/>
      <c r="Q219" s="94"/>
      <c r="R219" s="94"/>
      <c r="S219" s="94"/>
      <c r="T219" s="94"/>
      <c r="U219" s="94"/>
      <c r="V219" s="94"/>
    </row>
    <row r="220" ht="24.0" customHeight="1">
      <c r="A220" s="149"/>
      <c r="B220" s="150"/>
      <c r="C220" s="197"/>
      <c r="D220" s="198"/>
      <c r="E220" s="198"/>
      <c r="F220" s="199"/>
      <c r="G220" s="200"/>
      <c r="H220" s="201"/>
      <c r="I220" s="202"/>
      <c r="J220" s="201"/>
      <c r="K220" s="170"/>
      <c r="L220" s="171"/>
      <c r="M220" s="94"/>
      <c r="N220" s="94"/>
      <c r="O220" s="94"/>
      <c r="P220" s="94"/>
      <c r="Q220" s="94"/>
      <c r="R220" s="94"/>
      <c r="S220" s="94"/>
      <c r="T220" s="94"/>
      <c r="U220" s="94"/>
      <c r="V220" s="94"/>
    </row>
    <row r="221" ht="24.0" customHeight="1">
      <c r="A221" s="149"/>
      <c r="B221" s="150"/>
      <c r="C221" s="197"/>
      <c r="D221" s="198"/>
      <c r="E221" s="198"/>
      <c r="F221" s="199"/>
      <c r="G221" s="200"/>
      <c r="H221" s="201"/>
      <c r="I221" s="202"/>
      <c r="J221" s="201"/>
      <c r="K221" s="170"/>
      <c r="L221" s="171"/>
      <c r="M221" s="94"/>
      <c r="N221" s="94"/>
      <c r="O221" s="94"/>
      <c r="P221" s="94"/>
      <c r="Q221" s="94"/>
      <c r="R221" s="94"/>
      <c r="S221" s="94"/>
      <c r="T221" s="94"/>
      <c r="U221" s="94"/>
      <c r="V221" s="94"/>
    </row>
    <row r="222" ht="24.0" customHeight="1">
      <c r="A222" s="149"/>
      <c r="B222" s="150"/>
      <c r="C222" s="197"/>
      <c r="D222" s="198"/>
      <c r="E222" s="198"/>
      <c r="F222" s="199"/>
      <c r="G222" s="200"/>
      <c r="H222" s="201"/>
      <c r="I222" s="202"/>
      <c r="J222" s="201"/>
      <c r="K222" s="170"/>
      <c r="L222" s="171"/>
      <c r="M222" s="94"/>
      <c r="N222" s="94"/>
      <c r="O222" s="94"/>
      <c r="P222" s="94"/>
      <c r="Q222" s="94"/>
      <c r="R222" s="94"/>
      <c r="S222" s="94"/>
      <c r="T222" s="94"/>
      <c r="U222" s="94"/>
      <c r="V222" s="94"/>
    </row>
    <row r="223" ht="24.0" customHeight="1">
      <c r="A223" s="149"/>
      <c r="B223" s="150"/>
      <c r="C223" s="197"/>
      <c r="D223" s="198"/>
      <c r="E223" s="198"/>
      <c r="F223" s="199"/>
      <c r="G223" s="200"/>
      <c r="H223" s="201"/>
      <c r="I223" s="202"/>
      <c r="J223" s="201"/>
      <c r="K223" s="170"/>
      <c r="L223" s="171"/>
      <c r="M223" s="94"/>
      <c r="N223" s="94"/>
      <c r="O223" s="94"/>
      <c r="P223" s="94"/>
      <c r="Q223" s="94"/>
      <c r="R223" s="94"/>
      <c r="S223" s="94"/>
      <c r="T223" s="94"/>
      <c r="U223" s="94"/>
      <c r="V223" s="94"/>
    </row>
    <row r="224" ht="24.0" customHeight="1">
      <c r="A224" s="149"/>
      <c r="B224" s="150"/>
      <c r="C224" s="197"/>
      <c r="D224" s="198"/>
      <c r="E224" s="198"/>
      <c r="F224" s="199"/>
      <c r="G224" s="200"/>
      <c r="H224" s="201"/>
      <c r="I224" s="202"/>
      <c r="J224" s="201"/>
      <c r="K224" s="170"/>
      <c r="L224" s="171"/>
      <c r="M224" s="94"/>
      <c r="N224" s="94"/>
      <c r="O224" s="94"/>
      <c r="P224" s="94"/>
      <c r="Q224" s="94"/>
      <c r="R224" s="94"/>
      <c r="S224" s="94"/>
      <c r="T224" s="94"/>
      <c r="U224" s="94"/>
      <c r="V224" s="94"/>
    </row>
    <row r="225" ht="24.0" customHeight="1">
      <c r="A225" s="149"/>
      <c r="B225" s="150"/>
      <c r="C225" s="197"/>
      <c r="D225" s="198"/>
      <c r="E225" s="198"/>
      <c r="F225" s="199"/>
      <c r="G225" s="200"/>
      <c r="H225" s="201"/>
      <c r="I225" s="202"/>
      <c r="J225" s="201"/>
      <c r="K225" s="170"/>
      <c r="L225" s="171"/>
      <c r="M225" s="94"/>
      <c r="N225" s="94"/>
      <c r="O225" s="94"/>
      <c r="P225" s="94"/>
      <c r="Q225" s="94"/>
      <c r="R225" s="94"/>
      <c r="S225" s="94"/>
      <c r="T225" s="94"/>
      <c r="U225" s="94"/>
      <c r="V225" s="94"/>
    </row>
    <row r="226" ht="24.0" customHeight="1">
      <c r="A226" s="149"/>
      <c r="B226" s="150"/>
      <c r="C226" s="197"/>
      <c r="D226" s="198"/>
      <c r="E226" s="198"/>
      <c r="F226" s="199"/>
      <c r="G226" s="200"/>
      <c r="H226" s="201"/>
      <c r="I226" s="202"/>
      <c r="J226" s="201"/>
      <c r="K226" s="170"/>
      <c r="L226" s="171"/>
      <c r="M226" s="94"/>
      <c r="N226" s="94"/>
      <c r="O226" s="94"/>
      <c r="P226" s="94"/>
      <c r="Q226" s="94"/>
      <c r="R226" s="94"/>
      <c r="S226" s="94"/>
      <c r="T226" s="94"/>
      <c r="U226" s="94"/>
      <c r="V226" s="94"/>
    </row>
    <row r="227" ht="24.0" customHeight="1">
      <c r="A227" s="149"/>
      <c r="B227" s="150"/>
      <c r="C227" s="197"/>
      <c r="D227" s="198"/>
      <c r="E227" s="198"/>
      <c r="F227" s="199"/>
      <c r="G227" s="200"/>
      <c r="H227" s="201"/>
      <c r="I227" s="202"/>
      <c r="J227" s="201"/>
      <c r="K227" s="170"/>
      <c r="L227" s="171"/>
      <c r="M227" s="94"/>
      <c r="N227" s="94"/>
      <c r="O227" s="94"/>
      <c r="P227" s="94"/>
      <c r="Q227" s="94"/>
      <c r="R227" s="94"/>
      <c r="S227" s="94"/>
      <c r="T227" s="94"/>
      <c r="U227" s="94"/>
      <c r="V227" s="94"/>
    </row>
    <row r="228" ht="24.0" customHeight="1">
      <c r="A228" s="149"/>
      <c r="B228" s="150"/>
      <c r="C228" s="197"/>
      <c r="D228" s="198"/>
      <c r="E228" s="198"/>
      <c r="F228" s="199"/>
      <c r="G228" s="200"/>
      <c r="H228" s="201"/>
      <c r="I228" s="202"/>
      <c r="J228" s="201"/>
      <c r="K228" s="170"/>
      <c r="L228" s="171"/>
      <c r="M228" s="94"/>
      <c r="N228" s="94"/>
      <c r="O228" s="94"/>
      <c r="P228" s="94"/>
      <c r="Q228" s="94"/>
      <c r="R228" s="94"/>
      <c r="S228" s="94"/>
      <c r="T228" s="94"/>
      <c r="U228" s="94"/>
      <c r="V228" s="94"/>
    </row>
    <row r="229" ht="24.0" customHeight="1">
      <c r="A229" s="149"/>
      <c r="B229" s="150"/>
      <c r="C229" s="197"/>
      <c r="D229" s="198"/>
      <c r="E229" s="198"/>
      <c r="F229" s="199"/>
      <c r="G229" s="200"/>
      <c r="H229" s="201"/>
      <c r="I229" s="202"/>
      <c r="J229" s="201"/>
      <c r="K229" s="170"/>
      <c r="L229" s="171"/>
      <c r="M229" s="94"/>
      <c r="N229" s="94"/>
      <c r="O229" s="94"/>
      <c r="P229" s="94"/>
      <c r="Q229" s="94"/>
      <c r="R229" s="94"/>
      <c r="S229" s="94"/>
      <c r="T229" s="94"/>
      <c r="U229" s="94"/>
      <c r="V229" s="94"/>
    </row>
    <row r="230" ht="24.0" customHeight="1">
      <c r="A230" s="149"/>
      <c r="B230" s="150"/>
      <c r="C230" s="197"/>
      <c r="D230" s="198"/>
      <c r="E230" s="198"/>
      <c r="F230" s="199"/>
      <c r="G230" s="200"/>
      <c r="H230" s="201"/>
      <c r="I230" s="202"/>
      <c r="J230" s="201"/>
      <c r="K230" s="170"/>
      <c r="L230" s="171"/>
      <c r="M230" s="94"/>
      <c r="N230" s="94"/>
      <c r="O230" s="94"/>
      <c r="P230" s="94"/>
      <c r="Q230" s="94"/>
      <c r="R230" s="94"/>
      <c r="S230" s="94"/>
      <c r="T230" s="94"/>
      <c r="U230" s="94"/>
      <c r="V230" s="94"/>
    </row>
    <row r="231" ht="24.0" customHeight="1">
      <c r="A231" s="149"/>
      <c r="B231" s="150"/>
      <c r="C231" s="197"/>
      <c r="D231" s="198"/>
      <c r="E231" s="198"/>
      <c r="F231" s="199"/>
      <c r="G231" s="200"/>
      <c r="H231" s="201"/>
      <c r="I231" s="202"/>
      <c r="J231" s="201"/>
      <c r="K231" s="170"/>
      <c r="L231" s="171"/>
      <c r="M231" s="94"/>
      <c r="N231" s="94"/>
      <c r="O231" s="94"/>
      <c r="P231" s="94"/>
      <c r="Q231" s="94"/>
      <c r="R231" s="94"/>
      <c r="S231" s="94"/>
      <c r="T231" s="94"/>
      <c r="U231" s="94"/>
      <c r="V231" s="94"/>
    </row>
    <row r="232" ht="24.0" customHeight="1">
      <c r="A232" s="149"/>
      <c r="B232" s="150"/>
      <c r="C232" s="197"/>
      <c r="D232" s="198"/>
      <c r="E232" s="198"/>
      <c r="F232" s="199"/>
      <c r="G232" s="200"/>
      <c r="H232" s="201"/>
      <c r="I232" s="202"/>
      <c r="J232" s="201"/>
      <c r="K232" s="170"/>
      <c r="L232" s="171"/>
      <c r="M232" s="94"/>
      <c r="N232" s="94"/>
      <c r="O232" s="94"/>
      <c r="P232" s="94"/>
      <c r="Q232" s="94"/>
      <c r="R232" s="94"/>
      <c r="S232" s="94"/>
      <c r="T232" s="94"/>
      <c r="U232" s="94"/>
      <c r="V232" s="94"/>
    </row>
    <row r="233" ht="24.0" customHeight="1">
      <c r="A233" s="149"/>
      <c r="B233" s="150"/>
      <c r="C233" s="197"/>
      <c r="D233" s="198"/>
      <c r="E233" s="198"/>
      <c r="F233" s="199"/>
      <c r="G233" s="200"/>
      <c r="H233" s="201"/>
      <c r="I233" s="202"/>
      <c r="J233" s="201"/>
      <c r="K233" s="170"/>
      <c r="L233" s="171"/>
      <c r="M233" s="94"/>
      <c r="N233" s="94"/>
      <c r="O233" s="94"/>
      <c r="P233" s="94"/>
      <c r="Q233" s="94"/>
      <c r="R233" s="94"/>
      <c r="S233" s="94"/>
      <c r="T233" s="94"/>
      <c r="U233" s="94"/>
      <c r="V233" s="94"/>
    </row>
    <row r="234" ht="24.0" customHeight="1">
      <c r="A234" s="149"/>
      <c r="B234" s="150"/>
      <c r="C234" s="197"/>
      <c r="D234" s="198"/>
      <c r="E234" s="198"/>
      <c r="F234" s="199"/>
      <c r="G234" s="200"/>
      <c r="H234" s="201"/>
      <c r="I234" s="202"/>
      <c r="J234" s="201"/>
      <c r="K234" s="170"/>
      <c r="L234" s="171"/>
      <c r="M234" s="94"/>
      <c r="N234" s="94"/>
      <c r="O234" s="94"/>
      <c r="P234" s="94"/>
      <c r="Q234" s="94"/>
      <c r="R234" s="94"/>
      <c r="S234" s="94"/>
      <c r="T234" s="94"/>
      <c r="U234" s="94"/>
      <c r="V234" s="94"/>
    </row>
    <row r="235" ht="24.0" customHeight="1">
      <c r="A235" s="149"/>
      <c r="B235" s="150"/>
      <c r="C235" s="197"/>
      <c r="D235" s="198"/>
      <c r="E235" s="198"/>
      <c r="F235" s="199"/>
      <c r="G235" s="200"/>
      <c r="H235" s="201"/>
      <c r="I235" s="202"/>
      <c r="J235" s="201"/>
      <c r="K235" s="170"/>
      <c r="L235" s="171"/>
      <c r="M235" s="94"/>
      <c r="N235" s="94"/>
      <c r="O235" s="94"/>
      <c r="P235" s="94"/>
      <c r="Q235" s="94"/>
      <c r="R235" s="94"/>
      <c r="S235" s="94"/>
      <c r="T235" s="94"/>
      <c r="U235" s="94"/>
      <c r="V235" s="94"/>
    </row>
    <row r="236" ht="24.0" customHeight="1">
      <c r="A236" s="149"/>
      <c r="B236" s="150"/>
      <c r="C236" s="197"/>
      <c r="D236" s="198"/>
      <c r="E236" s="198"/>
      <c r="F236" s="199"/>
      <c r="G236" s="200"/>
      <c r="H236" s="201"/>
      <c r="I236" s="202"/>
      <c r="J236" s="201"/>
      <c r="K236" s="170"/>
      <c r="L236" s="171"/>
      <c r="M236" s="94"/>
      <c r="N236" s="94"/>
      <c r="O236" s="94"/>
      <c r="P236" s="94"/>
      <c r="Q236" s="94"/>
      <c r="R236" s="94"/>
      <c r="S236" s="94"/>
      <c r="T236" s="94"/>
      <c r="U236" s="94"/>
      <c r="V236" s="94"/>
    </row>
    <row r="237" ht="24.0" customHeight="1">
      <c r="A237" s="149"/>
      <c r="B237" s="150"/>
      <c r="C237" s="197"/>
      <c r="D237" s="198"/>
      <c r="E237" s="198"/>
      <c r="F237" s="199"/>
      <c r="G237" s="200"/>
      <c r="H237" s="201"/>
      <c r="I237" s="202"/>
      <c r="J237" s="201"/>
      <c r="K237" s="170"/>
      <c r="L237" s="171"/>
      <c r="M237" s="94"/>
      <c r="N237" s="94"/>
      <c r="O237" s="94"/>
      <c r="P237" s="94"/>
      <c r="Q237" s="94"/>
      <c r="R237" s="94"/>
      <c r="S237" s="94"/>
      <c r="T237" s="94"/>
      <c r="U237" s="94"/>
      <c r="V237" s="94"/>
    </row>
    <row r="238" ht="24.0" customHeight="1">
      <c r="A238" s="149"/>
      <c r="B238" s="150"/>
      <c r="C238" s="197"/>
      <c r="D238" s="198"/>
      <c r="E238" s="198"/>
      <c r="F238" s="199"/>
      <c r="G238" s="200"/>
      <c r="H238" s="201"/>
      <c r="I238" s="202"/>
      <c r="J238" s="201"/>
      <c r="K238" s="170"/>
      <c r="L238" s="171"/>
      <c r="M238" s="94"/>
      <c r="N238" s="94"/>
      <c r="O238" s="94"/>
      <c r="P238" s="94"/>
      <c r="Q238" s="94"/>
      <c r="R238" s="94"/>
      <c r="S238" s="94"/>
      <c r="T238" s="94"/>
      <c r="U238" s="94"/>
      <c r="V238" s="94"/>
    </row>
    <row r="239" ht="24.0" customHeight="1">
      <c r="A239" s="149"/>
      <c r="B239" s="150"/>
      <c r="C239" s="197"/>
      <c r="D239" s="198"/>
      <c r="E239" s="198"/>
      <c r="F239" s="199"/>
      <c r="G239" s="200"/>
      <c r="H239" s="201"/>
      <c r="I239" s="202"/>
      <c r="J239" s="201"/>
      <c r="K239" s="170"/>
      <c r="L239" s="171"/>
      <c r="M239" s="94"/>
      <c r="N239" s="94"/>
      <c r="O239" s="94"/>
      <c r="P239" s="94"/>
      <c r="Q239" s="94"/>
      <c r="R239" s="94"/>
      <c r="S239" s="94"/>
      <c r="T239" s="94"/>
      <c r="U239" s="94"/>
      <c r="V239" s="94"/>
    </row>
    <row r="240" ht="24.0" customHeight="1">
      <c r="A240" s="149"/>
      <c r="B240" s="150"/>
      <c r="C240" s="197"/>
      <c r="D240" s="198"/>
      <c r="E240" s="198"/>
      <c r="F240" s="199"/>
      <c r="G240" s="200"/>
      <c r="H240" s="201"/>
      <c r="I240" s="202"/>
      <c r="J240" s="201"/>
      <c r="K240" s="170"/>
      <c r="L240" s="171"/>
      <c r="M240" s="94"/>
      <c r="N240" s="94"/>
      <c r="O240" s="94"/>
      <c r="P240" s="94"/>
      <c r="Q240" s="94"/>
      <c r="R240" s="94"/>
      <c r="S240" s="94"/>
      <c r="T240" s="94"/>
      <c r="U240" s="94"/>
      <c r="V240" s="94"/>
    </row>
    <row r="241" ht="24.0" customHeight="1">
      <c r="A241" s="149"/>
      <c r="B241" s="150"/>
      <c r="C241" s="197"/>
      <c r="D241" s="198"/>
      <c r="E241" s="198"/>
      <c r="F241" s="199"/>
      <c r="G241" s="200"/>
      <c r="H241" s="201"/>
      <c r="I241" s="202"/>
      <c r="J241" s="201"/>
      <c r="K241" s="170"/>
      <c r="L241" s="171"/>
      <c r="M241" s="94"/>
      <c r="N241" s="94"/>
      <c r="O241" s="94"/>
      <c r="P241" s="94"/>
      <c r="Q241" s="94"/>
      <c r="R241" s="94"/>
      <c r="S241" s="94"/>
      <c r="T241" s="94"/>
      <c r="U241" s="94"/>
      <c r="V241" s="94"/>
    </row>
    <row r="242" ht="24.0" customHeight="1">
      <c r="A242" s="149"/>
      <c r="B242" s="150"/>
      <c r="C242" s="197"/>
      <c r="D242" s="198"/>
      <c r="E242" s="198"/>
      <c r="F242" s="199"/>
      <c r="G242" s="200"/>
      <c r="H242" s="201"/>
      <c r="I242" s="202"/>
      <c r="J242" s="201"/>
      <c r="K242" s="170"/>
      <c r="L242" s="171"/>
      <c r="M242" s="94"/>
      <c r="N242" s="94"/>
      <c r="O242" s="94"/>
      <c r="P242" s="94"/>
      <c r="Q242" s="94"/>
      <c r="R242" s="94"/>
      <c r="S242" s="94"/>
      <c r="T242" s="94"/>
      <c r="U242" s="94"/>
      <c r="V242" s="94"/>
    </row>
    <row r="243" ht="24.0" customHeight="1">
      <c r="A243" s="149"/>
      <c r="B243" s="150"/>
      <c r="C243" s="197"/>
      <c r="D243" s="198"/>
      <c r="E243" s="198"/>
      <c r="F243" s="199"/>
      <c r="G243" s="200"/>
      <c r="H243" s="201"/>
      <c r="I243" s="202"/>
      <c r="J243" s="201"/>
      <c r="K243" s="170"/>
      <c r="L243" s="171"/>
      <c r="M243" s="94"/>
      <c r="N243" s="94"/>
      <c r="O243" s="94"/>
      <c r="P243" s="94"/>
      <c r="Q243" s="94"/>
      <c r="R243" s="94"/>
      <c r="S243" s="94"/>
      <c r="T243" s="94"/>
      <c r="U243" s="94"/>
      <c r="V243" s="94"/>
    </row>
    <row r="244" ht="24.0" customHeight="1">
      <c r="A244" s="149"/>
      <c r="B244" s="150"/>
      <c r="C244" s="197"/>
      <c r="D244" s="198"/>
      <c r="E244" s="198"/>
      <c r="F244" s="199"/>
      <c r="G244" s="200"/>
      <c r="H244" s="201"/>
      <c r="I244" s="202"/>
      <c r="J244" s="201"/>
      <c r="K244" s="170"/>
      <c r="L244" s="171"/>
      <c r="M244" s="94"/>
      <c r="N244" s="94"/>
      <c r="O244" s="94"/>
      <c r="P244" s="94"/>
      <c r="Q244" s="94"/>
      <c r="R244" s="94"/>
      <c r="S244" s="94"/>
      <c r="T244" s="94"/>
      <c r="U244" s="94"/>
      <c r="V244" s="94"/>
    </row>
    <row r="245" ht="24.0" customHeight="1">
      <c r="A245" s="149"/>
      <c r="B245" s="150"/>
      <c r="C245" s="197"/>
      <c r="D245" s="198"/>
      <c r="E245" s="198"/>
      <c r="F245" s="199"/>
      <c r="G245" s="200"/>
      <c r="H245" s="201"/>
      <c r="I245" s="202"/>
      <c r="J245" s="201"/>
      <c r="K245" s="170"/>
      <c r="L245" s="171"/>
      <c r="M245" s="94"/>
      <c r="N245" s="94"/>
      <c r="O245" s="94"/>
      <c r="P245" s="94"/>
      <c r="Q245" s="94"/>
      <c r="R245" s="94"/>
      <c r="S245" s="94"/>
      <c r="T245" s="94"/>
      <c r="U245" s="94"/>
      <c r="V245" s="94"/>
    </row>
    <row r="246" ht="24.0" customHeight="1">
      <c r="A246" s="149"/>
      <c r="B246" s="150"/>
      <c r="C246" s="197"/>
      <c r="D246" s="198"/>
      <c r="E246" s="198"/>
      <c r="F246" s="199"/>
      <c r="G246" s="200"/>
      <c r="H246" s="201"/>
      <c r="I246" s="202"/>
      <c r="J246" s="201"/>
      <c r="K246" s="170"/>
      <c r="L246" s="171"/>
      <c r="M246" s="94"/>
      <c r="N246" s="94"/>
      <c r="O246" s="94"/>
      <c r="P246" s="94"/>
      <c r="Q246" s="94"/>
      <c r="R246" s="94"/>
      <c r="S246" s="94"/>
      <c r="T246" s="94"/>
      <c r="U246" s="94"/>
      <c r="V246" s="94"/>
    </row>
    <row r="247" ht="24.0" customHeight="1">
      <c r="A247" s="149"/>
      <c r="B247" s="150"/>
      <c r="C247" s="197"/>
      <c r="D247" s="198"/>
      <c r="E247" s="198"/>
      <c r="F247" s="199"/>
      <c r="G247" s="200"/>
      <c r="H247" s="201"/>
      <c r="I247" s="202"/>
      <c r="J247" s="201"/>
      <c r="K247" s="170"/>
      <c r="L247" s="171"/>
      <c r="M247" s="94"/>
      <c r="N247" s="94"/>
      <c r="O247" s="94"/>
      <c r="P247" s="94"/>
      <c r="Q247" s="94"/>
      <c r="R247" s="94"/>
      <c r="S247" s="94"/>
      <c r="T247" s="94"/>
      <c r="U247" s="94"/>
      <c r="V247" s="94"/>
    </row>
    <row r="248" ht="24.0" customHeight="1">
      <c r="A248" s="149"/>
      <c r="B248" s="150"/>
      <c r="C248" s="197"/>
      <c r="D248" s="198"/>
      <c r="E248" s="198"/>
      <c r="F248" s="199"/>
      <c r="G248" s="200"/>
      <c r="H248" s="201"/>
      <c r="I248" s="202"/>
      <c r="J248" s="201"/>
      <c r="K248" s="170"/>
      <c r="L248" s="171"/>
      <c r="M248" s="94"/>
      <c r="N248" s="94"/>
      <c r="O248" s="94"/>
      <c r="P248" s="94"/>
      <c r="Q248" s="94"/>
      <c r="R248" s="94"/>
      <c r="S248" s="94"/>
      <c r="T248" s="94"/>
      <c r="U248" s="94"/>
      <c r="V248" s="94"/>
    </row>
    <row r="249" ht="24.0" customHeight="1">
      <c r="A249" s="149"/>
      <c r="B249" s="150"/>
      <c r="C249" s="197"/>
      <c r="D249" s="198"/>
      <c r="E249" s="198"/>
      <c r="F249" s="199"/>
      <c r="G249" s="200"/>
      <c r="H249" s="201"/>
      <c r="I249" s="202"/>
      <c r="J249" s="201"/>
      <c r="K249" s="170"/>
      <c r="L249" s="171"/>
      <c r="M249" s="94"/>
      <c r="N249" s="94"/>
      <c r="O249" s="94"/>
      <c r="P249" s="94"/>
      <c r="Q249" s="94"/>
      <c r="R249" s="94"/>
      <c r="S249" s="94"/>
      <c r="T249" s="94"/>
      <c r="U249" s="94"/>
      <c r="V249" s="94"/>
    </row>
    <row r="250" ht="24.0" customHeight="1">
      <c r="A250" s="149"/>
      <c r="B250" s="150"/>
      <c r="C250" s="197"/>
      <c r="D250" s="198"/>
      <c r="E250" s="198"/>
      <c r="F250" s="199"/>
      <c r="G250" s="200"/>
      <c r="H250" s="201"/>
      <c r="I250" s="202"/>
      <c r="J250" s="201"/>
      <c r="K250" s="170"/>
      <c r="L250" s="171"/>
      <c r="M250" s="94"/>
      <c r="N250" s="94"/>
      <c r="O250" s="94"/>
      <c r="P250" s="94"/>
      <c r="Q250" s="94"/>
      <c r="R250" s="94"/>
      <c r="S250" s="94"/>
      <c r="T250" s="94"/>
      <c r="U250" s="94"/>
      <c r="V250" s="94"/>
    </row>
    <row r="251" ht="24.0" customHeight="1">
      <c r="A251" s="149"/>
      <c r="B251" s="150"/>
      <c r="C251" s="197"/>
      <c r="D251" s="198"/>
      <c r="E251" s="198"/>
      <c r="F251" s="199"/>
      <c r="G251" s="200"/>
      <c r="H251" s="201"/>
      <c r="I251" s="202"/>
      <c r="J251" s="201"/>
      <c r="K251" s="170"/>
      <c r="L251" s="171"/>
      <c r="M251" s="94"/>
      <c r="N251" s="94"/>
      <c r="O251" s="94"/>
      <c r="P251" s="94"/>
      <c r="Q251" s="94"/>
      <c r="R251" s="94"/>
      <c r="S251" s="94"/>
      <c r="T251" s="94"/>
      <c r="U251" s="94"/>
      <c r="V251" s="94"/>
    </row>
    <row r="252" ht="24.0" customHeight="1">
      <c r="A252" s="149"/>
      <c r="B252" s="150"/>
      <c r="C252" s="197"/>
      <c r="D252" s="198"/>
      <c r="E252" s="198"/>
      <c r="F252" s="199"/>
      <c r="G252" s="200"/>
      <c r="H252" s="201"/>
      <c r="I252" s="202"/>
      <c r="J252" s="201"/>
      <c r="K252" s="170"/>
      <c r="L252" s="171"/>
      <c r="M252" s="94"/>
      <c r="N252" s="94"/>
      <c r="O252" s="94"/>
      <c r="P252" s="94"/>
      <c r="Q252" s="94"/>
      <c r="R252" s="94"/>
      <c r="S252" s="94"/>
      <c r="T252" s="94"/>
      <c r="U252" s="94"/>
      <c r="V252" s="94"/>
    </row>
    <row r="253" ht="24.0" customHeight="1">
      <c r="A253" s="149"/>
      <c r="B253" s="150"/>
      <c r="C253" s="197"/>
      <c r="D253" s="198"/>
      <c r="E253" s="198"/>
      <c r="F253" s="199"/>
      <c r="G253" s="200"/>
      <c r="H253" s="201"/>
      <c r="I253" s="202"/>
      <c r="J253" s="201"/>
      <c r="K253" s="170"/>
      <c r="L253" s="171"/>
      <c r="M253" s="94"/>
      <c r="N253" s="94"/>
      <c r="O253" s="94"/>
      <c r="P253" s="94"/>
      <c r="Q253" s="94"/>
      <c r="R253" s="94"/>
      <c r="S253" s="94"/>
      <c r="T253" s="94"/>
      <c r="U253" s="94"/>
      <c r="V253" s="94"/>
    </row>
    <row r="254" ht="24.0" customHeight="1">
      <c r="A254" s="149"/>
      <c r="B254" s="150"/>
      <c r="C254" s="197"/>
      <c r="D254" s="198"/>
      <c r="E254" s="198"/>
      <c r="F254" s="199"/>
      <c r="G254" s="200"/>
      <c r="H254" s="201"/>
      <c r="I254" s="202"/>
      <c r="J254" s="201"/>
      <c r="K254" s="170"/>
      <c r="L254" s="171"/>
      <c r="M254" s="94"/>
      <c r="N254" s="94"/>
      <c r="O254" s="94"/>
      <c r="P254" s="94"/>
      <c r="Q254" s="94"/>
      <c r="R254" s="94"/>
      <c r="S254" s="94"/>
      <c r="T254" s="94"/>
      <c r="U254" s="94"/>
      <c r="V254" s="94"/>
    </row>
    <row r="255" ht="24.0" customHeight="1">
      <c r="A255" s="149"/>
      <c r="B255" s="150"/>
      <c r="C255" s="197"/>
      <c r="D255" s="198"/>
      <c r="E255" s="198"/>
      <c r="F255" s="199"/>
      <c r="G255" s="200"/>
      <c r="H255" s="201"/>
      <c r="I255" s="202"/>
      <c r="J255" s="201"/>
      <c r="K255" s="170"/>
      <c r="L255" s="171"/>
      <c r="M255" s="94"/>
      <c r="N255" s="94"/>
      <c r="O255" s="94"/>
      <c r="P255" s="94"/>
      <c r="Q255" s="94"/>
      <c r="R255" s="94"/>
      <c r="S255" s="94"/>
      <c r="T255" s="94"/>
      <c r="U255" s="94"/>
      <c r="V255" s="94"/>
    </row>
    <row r="256" ht="24.0" customHeight="1">
      <c r="A256" s="149"/>
      <c r="B256" s="150"/>
      <c r="C256" s="197"/>
      <c r="D256" s="198"/>
      <c r="E256" s="198"/>
      <c r="F256" s="199"/>
      <c r="G256" s="200"/>
      <c r="H256" s="201"/>
      <c r="I256" s="202"/>
      <c r="J256" s="201"/>
      <c r="K256" s="170"/>
      <c r="L256" s="171"/>
      <c r="M256" s="94"/>
      <c r="N256" s="94"/>
      <c r="O256" s="94"/>
      <c r="P256" s="94"/>
      <c r="Q256" s="94"/>
      <c r="R256" s="94"/>
      <c r="S256" s="94"/>
      <c r="T256" s="94"/>
      <c r="U256" s="94"/>
      <c r="V256" s="94"/>
    </row>
    <row r="257" ht="24.0" customHeight="1">
      <c r="A257" s="149"/>
      <c r="B257" s="150"/>
      <c r="C257" s="197"/>
      <c r="D257" s="198"/>
      <c r="E257" s="198"/>
      <c r="F257" s="199"/>
      <c r="G257" s="200"/>
      <c r="H257" s="201"/>
      <c r="I257" s="202"/>
      <c r="J257" s="201"/>
      <c r="K257" s="170"/>
      <c r="L257" s="171"/>
      <c r="M257" s="94"/>
      <c r="N257" s="94"/>
      <c r="O257" s="94"/>
      <c r="P257" s="94"/>
      <c r="Q257" s="94"/>
      <c r="R257" s="94"/>
      <c r="S257" s="94"/>
      <c r="T257" s="94"/>
      <c r="U257" s="94"/>
      <c r="V257" s="94"/>
    </row>
    <row r="258" ht="24.0" customHeight="1">
      <c r="A258" s="149"/>
      <c r="B258" s="150"/>
      <c r="C258" s="197"/>
      <c r="D258" s="198"/>
      <c r="E258" s="198"/>
      <c r="F258" s="199"/>
      <c r="G258" s="200"/>
      <c r="H258" s="201"/>
      <c r="I258" s="202"/>
      <c r="J258" s="201"/>
      <c r="K258" s="170"/>
      <c r="L258" s="171"/>
      <c r="M258" s="94"/>
      <c r="N258" s="94"/>
      <c r="O258" s="94"/>
      <c r="P258" s="94"/>
      <c r="Q258" s="94"/>
      <c r="R258" s="94"/>
      <c r="S258" s="94"/>
      <c r="T258" s="94"/>
      <c r="U258" s="94"/>
      <c r="V258" s="94"/>
    </row>
    <row r="259" ht="24.0" customHeight="1">
      <c r="A259" s="149"/>
      <c r="B259" s="150"/>
      <c r="C259" s="197"/>
      <c r="D259" s="198"/>
      <c r="E259" s="198"/>
      <c r="F259" s="199"/>
      <c r="G259" s="200"/>
      <c r="H259" s="201"/>
      <c r="I259" s="202"/>
      <c r="J259" s="201"/>
      <c r="K259" s="170"/>
      <c r="L259" s="171"/>
      <c r="M259" s="94"/>
      <c r="N259" s="94"/>
      <c r="O259" s="94"/>
      <c r="P259" s="94"/>
      <c r="Q259" s="94"/>
      <c r="R259" s="94"/>
      <c r="S259" s="94"/>
      <c r="T259" s="94"/>
      <c r="U259" s="94"/>
      <c r="V259" s="94"/>
    </row>
    <row r="260" ht="24.0" customHeight="1">
      <c r="A260" s="149"/>
      <c r="B260" s="150"/>
      <c r="C260" s="197"/>
      <c r="D260" s="198"/>
      <c r="E260" s="198"/>
      <c r="F260" s="199"/>
      <c r="G260" s="200"/>
      <c r="H260" s="201"/>
      <c r="I260" s="202"/>
      <c r="J260" s="201"/>
      <c r="K260" s="170"/>
      <c r="L260" s="171"/>
      <c r="M260" s="94"/>
      <c r="N260" s="94"/>
      <c r="O260" s="94"/>
      <c r="P260" s="94"/>
      <c r="Q260" s="94"/>
      <c r="R260" s="94"/>
      <c r="S260" s="94"/>
      <c r="T260" s="94"/>
      <c r="U260" s="94"/>
      <c r="V260" s="94"/>
    </row>
    <row r="261" ht="24.0" customHeight="1">
      <c r="A261" s="149"/>
      <c r="B261" s="150"/>
      <c r="C261" s="197"/>
      <c r="D261" s="198"/>
      <c r="E261" s="198"/>
      <c r="F261" s="199"/>
      <c r="G261" s="200"/>
      <c r="H261" s="201"/>
      <c r="I261" s="202"/>
      <c r="J261" s="201"/>
      <c r="K261" s="170"/>
      <c r="L261" s="171"/>
      <c r="M261" s="94"/>
      <c r="N261" s="94"/>
      <c r="O261" s="94"/>
      <c r="P261" s="94"/>
      <c r="Q261" s="94"/>
      <c r="R261" s="94"/>
      <c r="S261" s="94"/>
      <c r="T261" s="94"/>
      <c r="U261" s="94"/>
      <c r="V261" s="94"/>
    </row>
    <row r="262" ht="24.0" customHeight="1">
      <c r="A262" s="149"/>
      <c r="B262" s="150"/>
      <c r="C262" s="197"/>
      <c r="D262" s="198"/>
      <c r="E262" s="198"/>
      <c r="F262" s="199"/>
      <c r="G262" s="200"/>
      <c r="H262" s="201"/>
      <c r="I262" s="202"/>
      <c r="J262" s="201"/>
      <c r="K262" s="170"/>
      <c r="L262" s="171"/>
      <c r="M262" s="94"/>
      <c r="N262" s="94"/>
      <c r="O262" s="94"/>
      <c r="P262" s="94"/>
      <c r="Q262" s="94"/>
      <c r="R262" s="94"/>
      <c r="S262" s="94"/>
      <c r="T262" s="94"/>
      <c r="U262" s="94"/>
      <c r="V262" s="94"/>
    </row>
    <row r="263" ht="24.0" customHeight="1">
      <c r="A263" s="149"/>
      <c r="B263" s="150"/>
      <c r="C263" s="197"/>
      <c r="D263" s="198"/>
      <c r="E263" s="198"/>
      <c r="F263" s="199"/>
      <c r="G263" s="200"/>
      <c r="H263" s="201"/>
      <c r="I263" s="202"/>
      <c r="J263" s="201"/>
      <c r="K263" s="170"/>
      <c r="L263" s="171"/>
      <c r="M263" s="94"/>
      <c r="N263" s="94"/>
      <c r="O263" s="94"/>
      <c r="P263" s="94"/>
      <c r="Q263" s="94"/>
      <c r="R263" s="94"/>
      <c r="S263" s="94"/>
      <c r="T263" s="94"/>
      <c r="U263" s="94"/>
      <c r="V263" s="94"/>
    </row>
    <row r="264" ht="24.0" customHeight="1">
      <c r="A264" s="149"/>
      <c r="B264" s="150"/>
      <c r="C264" s="197"/>
      <c r="D264" s="198"/>
      <c r="E264" s="198"/>
      <c r="F264" s="199"/>
      <c r="G264" s="200"/>
      <c r="H264" s="201"/>
      <c r="I264" s="202"/>
      <c r="J264" s="201"/>
      <c r="K264" s="170"/>
      <c r="L264" s="171"/>
      <c r="M264" s="94"/>
      <c r="N264" s="94"/>
      <c r="O264" s="94"/>
      <c r="P264" s="94"/>
      <c r="Q264" s="94"/>
      <c r="R264" s="94"/>
      <c r="S264" s="94"/>
      <c r="T264" s="94"/>
      <c r="U264" s="94"/>
      <c r="V264" s="94"/>
    </row>
    <row r="265" ht="24.0" customHeight="1">
      <c r="A265" s="149"/>
      <c r="B265" s="150"/>
      <c r="C265" s="197"/>
      <c r="D265" s="198"/>
      <c r="E265" s="198"/>
      <c r="F265" s="199"/>
      <c r="G265" s="200"/>
      <c r="H265" s="201"/>
      <c r="I265" s="202"/>
      <c r="J265" s="201"/>
      <c r="K265" s="170"/>
      <c r="L265" s="171"/>
      <c r="M265" s="94"/>
      <c r="N265" s="94"/>
      <c r="O265" s="94"/>
      <c r="P265" s="94"/>
      <c r="Q265" s="94"/>
      <c r="R265" s="94"/>
      <c r="S265" s="94"/>
      <c r="T265" s="94"/>
      <c r="U265" s="94"/>
      <c r="V265" s="94"/>
    </row>
    <row r="266" ht="24.0" customHeight="1">
      <c r="A266" s="149"/>
      <c r="B266" s="150"/>
      <c r="C266" s="197"/>
      <c r="D266" s="198"/>
      <c r="E266" s="198"/>
      <c r="F266" s="199"/>
      <c r="G266" s="200"/>
      <c r="H266" s="201"/>
      <c r="I266" s="202"/>
      <c r="J266" s="201"/>
      <c r="K266" s="170"/>
      <c r="L266" s="171"/>
      <c r="M266" s="94"/>
      <c r="N266" s="94"/>
      <c r="O266" s="94"/>
      <c r="P266" s="94"/>
      <c r="Q266" s="94"/>
      <c r="R266" s="94"/>
      <c r="S266" s="94"/>
      <c r="T266" s="94"/>
      <c r="U266" s="94"/>
      <c r="V266" s="94"/>
    </row>
    <row r="267" ht="24.0" customHeight="1">
      <c r="A267" s="149"/>
      <c r="B267" s="150"/>
      <c r="C267" s="197"/>
      <c r="D267" s="198"/>
      <c r="E267" s="198"/>
      <c r="F267" s="199"/>
      <c r="G267" s="200"/>
      <c r="H267" s="201"/>
      <c r="I267" s="202"/>
      <c r="J267" s="201"/>
      <c r="K267" s="170"/>
      <c r="L267" s="171"/>
      <c r="M267" s="94"/>
      <c r="N267" s="94"/>
      <c r="O267" s="94"/>
      <c r="P267" s="94"/>
      <c r="Q267" s="94"/>
      <c r="R267" s="94"/>
      <c r="S267" s="94"/>
      <c r="T267" s="94"/>
      <c r="U267" s="94"/>
      <c r="V267" s="94"/>
    </row>
    <row r="268" ht="24.0" customHeight="1">
      <c r="A268" s="149"/>
      <c r="B268" s="150"/>
      <c r="C268" s="197"/>
      <c r="D268" s="198"/>
      <c r="E268" s="198"/>
      <c r="F268" s="199"/>
      <c r="G268" s="200"/>
      <c r="H268" s="201"/>
      <c r="I268" s="202"/>
      <c r="J268" s="201"/>
      <c r="K268" s="170"/>
      <c r="L268" s="171"/>
      <c r="M268" s="94"/>
      <c r="N268" s="94"/>
      <c r="O268" s="94"/>
      <c r="P268" s="94"/>
      <c r="Q268" s="94"/>
      <c r="R268" s="94"/>
      <c r="S268" s="94"/>
      <c r="T268" s="94"/>
      <c r="U268" s="94"/>
      <c r="V268" s="94"/>
    </row>
    <row r="269" ht="24.0" customHeight="1">
      <c r="A269" s="149"/>
      <c r="B269" s="150"/>
      <c r="C269" s="197"/>
      <c r="D269" s="198"/>
      <c r="E269" s="198"/>
      <c r="F269" s="199"/>
      <c r="G269" s="200"/>
      <c r="H269" s="201"/>
      <c r="I269" s="202"/>
      <c r="J269" s="201"/>
      <c r="K269" s="170"/>
      <c r="L269" s="171"/>
      <c r="M269" s="94"/>
      <c r="N269" s="94"/>
      <c r="O269" s="94"/>
      <c r="P269" s="94"/>
      <c r="Q269" s="94"/>
      <c r="R269" s="94"/>
      <c r="S269" s="94"/>
      <c r="T269" s="94"/>
      <c r="U269" s="94"/>
      <c r="V269" s="94"/>
    </row>
    <row r="270" ht="24.0" customHeight="1">
      <c r="A270" s="149"/>
      <c r="B270" s="150"/>
      <c r="C270" s="197"/>
      <c r="D270" s="198"/>
      <c r="E270" s="198"/>
      <c r="F270" s="199"/>
      <c r="G270" s="200"/>
      <c r="H270" s="201"/>
      <c r="I270" s="202"/>
      <c r="J270" s="201"/>
      <c r="K270" s="170"/>
      <c r="L270" s="171"/>
      <c r="M270" s="94"/>
      <c r="N270" s="94"/>
      <c r="O270" s="94"/>
      <c r="P270" s="94"/>
      <c r="Q270" s="94"/>
      <c r="R270" s="94"/>
      <c r="S270" s="94"/>
      <c r="T270" s="94"/>
      <c r="U270" s="94"/>
      <c r="V270" s="94"/>
    </row>
    <row r="271" ht="24.0" customHeight="1">
      <c r="A271" s="149"/>
      <c r="B271" s="150"/>
      <c r="C271" s="197"/>
      <c r="D271" s="198"/>
      <c r="E271" s="198"/>
      <c r="F271" s="199"/>
      <c r="G271" s="200"/>
      <c r="H271" s="201"/>
      <c r="I271" s="202"/>
      <c r="J271" s="201"/>
      <c r="K271" s="170"/>
      <c r="L271" s="171"/>
      <c r="M271" s="94"/>
      <c r="N271" s="94"/>
      <c r="O271" s="94"/>
      <c r="P271" s="94"/>
      <c r="Q271" s="94"/>
      <c r="R271" s="94"/>
      <c r="S271" s="94"/>
      <c r="T271" s="94"/>
      <c r="U271" s="94"/>
      <c r="V271" s="94"/>
    </row>
    <row r="272" ht="24.0" customHeight="1">
      <c r="A272" s="149"/>
      <c r="B272" s="150"/>
      <c r="C272" s="197"/>
      <c r="D272" s="198"/>
      <c r="E272" s="198"/>
      <c r="F272" s="199"/>
      <c r="G272" s="200"/>
      <c r="H272" s="201"/>
      <c r="I272" s="202"/>
      <c r="J272" s="201"/>
      <c r="K272" s="170"/>
      <c r="L272" s="171"/>
      <c r="M272" s="94"/>
      <c r="N272" s="94"/>
      <c r="O272" s="94"/>
      <c r="P272" s="94"/>
      <c r="Q272" s="94"/>
      <c r="R272" s="94"/>
      <c r="S272" s="94"/>
      <c r="T272" s="94"/>
      <c r="U272" s="94"/>
      <c r="V272" s="94"/>
    </row>
    <row r="273" ht="24.0" customHeight="1">
      <c r="A273" s="149"/>
      <c r="B273" s="150"/>
      <c r="C273" s="197"/>
      <c r="D273" s="198"/>
      <c r="E273" s="198"/>
      <c r="F273" s="199"/>
      <c r="G273" s="200"/>
      <c r="H273" s="201"/>
      <c r="I273" s="202"/>
      <c r="J273" s="201"/>
      <c r="K273" s="170"/>
      <c r="L273" s="171"/>
      <c r="M273" s="94"/>
      <c r="N273" s="94"/>
      <c r="O273" s="94"/>
      <c r="P273" s="94"/>
      <c r="Q273" s="94"/>
      <c r="R273" s="94"/>
      <c r="S273" s="94"/>
      <c r="T273" s="94"/>
      <c r="U273" s="94"/>
      <c r="V273" s="94"/>
    </row>
    <row r="274" ht="24.0" customHeight="1">
      <c r="A274" s="149"/>
      <c r="B274" s="150"/>
      <c r="C274" s="197"/>
      <c r="D274" s="198"/>
      <c r="E274" s="198"/>
      <c r="F274" s="199"/>
      <c r="G274" s="200"/>
      <c r="H274" s="201"/>
      <c r="I274" s="202"/>
      <c r="J274" s="201"/>
      <c r="K274" s="170"/>
      <c r="L274" s="171"/>
      <c r="M274" s="94"/>
      <c r="N274" s="94"/>
      <c r="O274" s="94"/>
      <c r="P274" s="94"/>
      <c r="Q274" s="94"/>
      <c r="R274" s="94"/>
      <c r="S274" s="94"/>
      <c r="T274" s="94"/>
      <c r="U274" s="94"/>
      <c r="V274" s="94"/>
    </row>
    <row r="275" ht="24.0" customHeight="1">
      <c r="A275" s="149"/>
      <c r="B275" s="150"/>
      <c r="C275" s="197"/>
      <c r="D275" s="198"/>
      <c r="E275" s="198"/>
      <c r="F275" s="199"/>
      <c r="G275" s="200"/>
      <c r="H275" s="201"/>
      <c r="I275" s="202"/>
      <c r="J275" s="201"/>
      <c r="K275" s="170"/>
      <c r="L275" s="171"/>
      <c r="M275" s="94"/>
      <c r="N275" s="94"/>
      <c r="O275" s="94"/>
      <c r="P275" s="94"/>
      <c r="Q275" s="94"/>
      <c r="R275" s="94"/>
      <c r="S275" s="94"/>
      <c r="T275" s="94"/>
      <c r="U275" s="94"/>
      <c r="V275" s="94"/>
    </row>
    <row r="276" ht="24.0" customHeight="1">
      <c r="A276" s="149"/>
      <c r="B276" s="150"/>
      <c r="C276" s="197"/>
      <c r="D276" s="198"/>
      <c r="E276" s="198"/>
      <c r="F276" s="199"/>
      <c r="G276" s="200"/>
      <c r="H276" s="201"/>
      <c r="I276" s="202"/>
      <c r="J276" s="201"/>
      <c r="K276" s="170"/>
      <c r="L276" s="171"/>
      <c r="M276" s="94"/>
      <c r="N276" s="94"/>
      <c r="O276" s="94"/>
      <c r="P276" s="94"/>
      <c r="Q276" s="94"/>
      <c r="R276" s="94"/>
      <c r="S276" s="94"/>
      <c r="T276" s="94"/>
      <c r="U276" s="94"/>
      <c r="V276" s="94"/>
    </row>
    <row r="277" ht="24.0" customHeight="1">
      <c r="A277" s="149"/>
      <c r="B277" s="150"/>
      <c r="C277" s="197"/>
      <c r="D277" s="198"/>
      <c r="E277" s="198"/>
      <c r="F277" s="199"/>
      <c r="G277" s="200"/>
      <c r="H277" s="201"/>
      <c r="I277" s="202"/>
      <c r="J277" s="201"/>
      <c r="K277" s="170"/>
      <c r="L277" s="171"/>
      <c r="M277" s="94"/>
      <c r="N277" s="94"/>
      <c r="O277" s="94"/>
      <c r="P277" s="94"/>
      <c r="Q277" s="94"/>
      <c r="R277" s="94"/>
      <c r="S277" s="94"/>
      <c r="T277" s="94"/>
      <c r="U277" s="94"/>
      <c r="V277" s="94"/>
    </row>
    <row r="278" ht="24.0" customHeight="1">
      <c r="A278" s="149"/>
      <c r="B278" s="150"/>
      <c r="C278" s="197"/>
      <c r="D278" s="198"/>
      <c r="E278" s="198"/>
      <c r="F278" s="199"/>
      <c r="G278" s="200"/>
      <c r="H278" s="201"/>
      <c r="I278" s="202"/>
      <c r="J278" s="201"/>
      <c r="K278" s="170"/>
      <c r="L278" s="171"/>
      <c r="M278" s="94"/>
      <c r="N278" s="94"/>
      <c r="O278" s="94"/>
      <c r="P278" s="94"/>
      <c r="Q278" s="94"/>
      <c r="R278" s="94"/>
      <c r="S278" s="94"/>
      <c r="T278" s="94"/>
      <c r="U278" s="94"/>
      <c r="V278" s="94"/>
    </row>
    <row r="279" ht="24.0" customHeight="1">
      <c r="A279" s="149"/>
      <c r="B279" s="150"/>
      <c r="C279" s="197"/>
      <c r="D279" s="198"/>
      <c r="E279" s="198"/>
      <c r="F279" s="199"/>
      <c r="G279" s="200"/>
      <c r="H279" s="201"/>
      <c r="I279" s="202"/>
      <c r="J279" s="201"/>
      <c r="K279" s="170"/>
      <c r="L279" s="171"/>
      <c r="M279" s="94"/>
      <c r="N279" s="94"/>
      <c r="O279" s="94"/>
      <c r="P279" s="94"/>
      <c r="Q279" s="94"/>
      <c r="R279" s="94"/>
      <c r="S279" s="94"/>
      <c r="T279" s="94"/>
      <c r="U279" s="94"/>
      <c r="V279" s="94"/>
    </row>
    <row r="280" ht="24.0" customHeight="1">
      <c r="A280" s="149"/>
      <c r="B280" s="150"/>
      <c r="C280" s="197"/>
      <c r="D280" s="198"/>
      <c r="E280" s="198"/>
      <c r="F280" s="199"/>
      <c r="G280" s="200"/>
      <c r="H280" s="201"/>
      <c r="I280" s="202"/>
      <c r="J280" s="201"/>
      <c r="K280" s="170"/>
      <c r="L280" s="171"/>
      <c r="M280" s="94"/>
      <c r="N280" s="94"/>
      <c r="O280" s="94"/>
      <c r="P280" s="94"/>
      <c r="Q280" s="94"/>
      <c r="R280" s="94"/>
      <c r="S280" s="94"/>
      <c r="T280" s="94"/>
      <c r="U280" s="94"/>
      <c r="V280" s="94"/>
    </row>
    <row r="281" ht="24.0" customHeight="1">
      <c r="A281" s="149"/>
      <c r="B281" s="150"/>
      <c r="C281" s="197"/>
      <c r="D281" s="198"/>
      <c r="E281" s="198"/>
      <c r="F281" s="199"/>
      <c r="G281" s="200"/>
      <c r="H281" s="201"/>
      <c r="I281" s="202"/>
      <c r="J281" s="201"/>
      <c r="K281" s="170"/>
      <c r="L281" s="171"/>
      <c r="M281" s="94"/>
      <c r="N281" s="94"/>
      <c r="O281" s="94"/>
      <c r="P281" s="94"/>
      <c r="Q281" s="94"/>
      <c r="R281" s="94"/>
      <c r="S281" s="94"/>
      <c r="T281" s="94"/>
      <c r="U281" s="94"/>
      <c r="V281" s="94"/>
    </row>
    <row r="282" ht="24.0" customHeight="1">
      <c r="A282" s="149"/>
      <c r="B282" s="150"/>
      <c r="C282" s="197"/>
      <c r="D282" s="198"/>
      <c r="E282" s="198"/>
      <c r="F282" s="199"/>
      <c r="G282" s="200"/>
      <c r="H282" s="201"/>
      <c r="I282" s="202"/>
      <c r="J282" s="201"/>
      <c r="K282" s="170"/>
      <c r="L282" s="171"/>
      <c r="M282" s="94"/>
      <c r="N282" s="94"/>
      <c r="O282" s="94"/>
      <c r="P282" s="94"/>
      <c r="Q282" s="94"/>
      <c r="R282" s="94"/>
      <c r="S282" s="94"/>
      <c r="T282" s="94"/>
      <c r="U282" s="94"/>
      <c r="V282" s="94"/>
    </row>
    <row r="283" ht="24.0" customHeight="1">
      <c r="A283" s="149"/>
      <c r="B283" s="150"/>
      <c r="C283" s="197"/>
      <c r="D283" s="198"/>
      <c r="E283" s="198"/>
      <c r="F283" s="199"/>
      <c r="G283" s="200"/>
      <c r="H283" s="201"/>
      <c r="I283" s="202"/>
      <c r="J283" s="201"/>
      <c r="K283" s="170"/>
      <c r="L283" s="171"/>
      <c r="M283" s="94"/>
      <c r="N283" s="94"/>
      <c r="O283" s="94"/>
      <c r="P283" s="94"/>
      <c r="Q283" s="94"/>
      <c r="R283" s="94"/>
      <c r="S283" s="94"/>
      <c r="T283" s="94"/>
      <c r="U283" s="94"/>
      <c r="V283" s="94"/>
    </row>
    <row r="284" ht="24.0" customHeight="1">
      <c r="A284" s="149"/>
      <c r="B284" s="150"/>
      <c r="C284" s="197"/>
      <c r="D284" s="198"/>
      <c r="E284" s="198"/>
      <c r="F284" s="199"/>
      <c r="G284" s="200"/>
      <c r="H284" s="201"/>
      <c r="I284" s="202"/>
      <c r="J284" s="201"/>
      <c r="K284" s="170"/>
      <c r="L284" s="171"/>
      <c r="M284" s="94"/>
      <c r="N284" s="94"/>
      <c r="O284" s="94"/>
      <c r="P284" s="94"/>
      <c r="Q284" s="94"/>
      <c r="R284" s="94"/>
      <c r="S284" s="94"/>
      <c r="T284" s="94"/>
      <c r="U284" s="94"/>
      <c r="V284" s="94"/>
    </row>
    <row r="285" ht="24.0" customHeight="1">
      <c r="A285" s="149"/>
      <c r="B285" s="150"/>
      <c r="C285" s="197"/>
      <c r="D285" s="198"/>
      <c r="E285" s="198"/>
      <c r="F285" s="199"/>
      <c r="G285" s="200"/>
      <c r="H285" s="201"/>
      <c r="I285" s="202"/>
      <c r="J285" s="201"/>
      <c r="K285" s="170"/>
      <c r="L285" s="171"/>
      <c r="M285" s="94"/>
      <c r="N285" s="94"/>
      <c r="O285" s="94"/>
      <c r="P285" s="94"/>
      <c r="Q285" s="94"/>
      <c r="R285" s="94"/>
      <c r="S285" s="94"/>
      <c r="T285" s="94"/>
      <c r="U285" s="94"/>
      <c r="V285" s="94"/>
    </row>
    <row r="286" ht="24.0" customHeight="1">
      <c r="A286" s="149"/>
      <c r="B286" s="150"/>
      <c r="C286" s="197"/>
      <c r="D286" s="198"/>
      <c r="E286" s="198"/>
      <c r="F286" s="199"/>
      <c r="G286" s="200"/>
      <c r="H286" s="201"/>
      <c r="I286" s="202"/>
      <c r="J286" s="201"/>
      <c r="K286" s="170"/>
      <c r="L286" s="171"/>
      <c r="M286" s="94"/>
      <c r="N286" s="94"/>
      <c r="O286" s="94"/>
      <c r="P286" s="94"/>
      <c r="Q286" s="94"/>
      <c r="R286" s="94"/>
      <c r="S286" s="94"/>
      <c r="T286" s="94"/>
      <c r="U286" s="94"/>
      <c r="V286" s="94"/>
    </row>
    <row r="287" ht="24.0" customHeight="1">
      <c r="A287" s="149"/>
      <c r="B287" s="150"/>
      <c r="C287" s="197"/>
      <c r="D287" s="198"/>
      <c r="E287" s="198"/>
      <c r="F287" s="199"/>
      <c r="G287" s="200"/>
      <c r="H287" s="201"/>
      <c r="I287" s="202"/>
      <c r="J287" s="201"/>
      <c r="K287" s="170"/>
      <c r="L287" s="171"/>
      <c r="M287" s="94"/>
      <c r="N287" s="94"/>
      <c r="O287" s="94"/>
      <c r="P287" s="94"/>
      <c r="Q287" s="94"/>
      <c r="R287" s="94"/>
      <c r="S287" s="94"/>
      <c r="T287" s="94"/>
      <c r="U287" s="94"/>
      <c r="V287" s="94"/>
    </row>
    <row r="288" ht="24.0" customHeight="1">
      <c r="A288" s="149"/>
      <c r="B288" s="150"/>
      <c r="C288" s="197"/>
      <c r="D288" s="198"/>
      <c r="E288" s="198"/>
      <c r="F288" s="199"/>
      <c r="G288" s="200"/>
      <c r="H288" s="201"/>
      <c r="I288" s="202"/>
      <c r="J288" s="201"/>
      <c r="K288" s="170"/>
      <c r="L288" s="171"/>
      <c r="M288" s="94"/>
      <c r="N288" s="94"/>
      <c r="O288" s="94"/>
      <c r="P288" s="94"/>
      <c r="Q288" s="94"/>
      <c r="R288" s="94"/>
      <c r="S288" s="94"/>
      <c r="T288" s="94"/>
      <c r="U288" s="94"/>
      <c r="V288" s="94"/>
    </row>
    <row r="289" ht="24.0" customHeight="1">
      <c r="A289" s="149"/>
      <c r="B289" s="150"/>
      <c r="C289" s="197"/>
      <c r="D289" s="198"/>
      <c r="E289" s="198"/>
      <c r="F289" s="199"/>
      <c r="G289" s="200"/>
      <c r="H289" s="201"/>
      <c r="I289" s="202"/>
      <c r="J289" s="201"/>
      <c r="K289" s="170"/>
      <c r="L289" s="171"/>
      <c r="M289" s="94"/>
      <c r="N289" s="94"/>
      <c r="O289" s="94"/>
      <c r="P289" s="94"/>
      <c r="Q289" s="94"/>
      <c r="R289" s="94"/>
      <c r="S289" s="94"/>
      <c r="T289" s="94"/>
      <c r="U289" s="94"/>
      <c r="V289" s="94"/>
    </row>
    <row r="290" ht="24.0" customHeight="1">
      <c r="A290" s="149"/>
      <c r="B290" s="150"/>
      <c r="C290" s="197"/>
      <c r="D290" s="198"/>
      <c r="E290" s="198"/>
      <c r="F290" s="199"/>
      <c r="G290" s="200"/>
      <c r="H290" s="201"/>
      <c r="I290" s="202"/>
      <c r="J290" s="201"/>
      <c r="K290" s="170"/>
      <c r="L290" s="171"/>
      <c r="M290" s="94"/>
      <c r="N290" s="94"/>
      <c r="O290" s="94"/>
      <c r="P290" s="94"/>
      <c r="Q290" s="94"/>
      <c r="R290" s="94"/>
      <c r="S290" s="94"/>
      <c r="T290" s="94"/>
      <c r="U290" s="94"/>
      <c r="V290" s="94"/>
    </row>
    <row r="291" ht="24.0" customHeight="1">
      <c r="A291" s="149"/>
      <c r="B291" s="150"/>
      <c r="C291" s="197"/>
      <c r="D291" s="198"/>
      <c r="E291" s="198"/>
      <c r="F291" s="199"/>
      <c r="G291" s="200"/>
      <c r="H291" s="201"/>
      <c r="I291" s="202"/>
      <c r="J291" s="201"/>
      <c r="K291" s="170"/>
      <c r="L291" s="171"/>
      <c r="M291" s="94"/>
      <c r="N291" s="94"/>
      <c r="O291" s="94"/>
      <c r="P291" s="94"/>
      <c r="Q291" s="94"/>
      <c r="R291" s="94"/>
      <c r="S291" s="94"/>
      <c r="T291" s="94"/>
      <c r="U291" s="94"/>
      <c r="V291" s="94"/>
    </row>
    <row r="292" ht="24.0" customHeight="1">
      <c r="A292" s="149"/>
      <c r="B292" s="150"/>
      <c r="C292" s="197"/>
      <c r="D292" s="198"/>
      <c r="E292" s="198"/>
      <c r="F292" s="199"/>
      <c r="G292" s="200"/>
      <c r="H292" s="201"/>
      <c r="I292" s="202"/>
      <c r="J292" s="201"/>
      <c r="K292" s="170"/>
      <c r="L292" s="171"/>
      <c r="M292" s="94"/>
      <c r="N292" s="94"/>
      <c r="O292" s="94"/>
      <c r="P292" s="94"/>
      <c r="Q292" s="94"/>
      <c r="R292" s="94"/>
      <c r="S292" s="94"/>
      <c r="T292" s="94"/>
      <c r="U292" s="94"/>
      <c r="V292" s="94"/>
    </row>
    <row r="293" ht="24.0" customHeight="1">
      <c r="A293" s="149"/>
      <c r="B293" s="150"/>
      <c r="C293" s="197"/>
      <c r="D293" s="198"/>
      <c r="E293" s="198"/>
      <c r="F293" s="199"/>
      <c r="G293" s="200"/>
      <c r="H293" s="201"/>
      <c r="I293" s="202"/>
      <c r="J293" s="201"/>
      <c r="K293" s="170"/>
      <c r="L293" s="171"/>
      <c r="M293" s="94"/>
      <c r="N293" s="94"/>
      <c r="O293" s="94"/>
      <c r="P293" s="94"/>
      <c r="Q293" s="94"/>
      <c r="R293" s="94"/>
      <c r="S293" s="94"/>
      <c r="T293" s="94"/>
      <c r="U293" s="94"/>
      <c r="V293" s="94"/>
    </row>
    <row r="294" ht="24.0" customHeight="1">
      <c r="A294" s="149"/>
      <c r="B294" s="150"/>
      <c r="C294" s="197"/>
      <c r="D294" s="198"/>
      <c r="E294" s="198"/>
      <c r="F294" s="199"/>
      <c r="G294" s="200"/>
      <c r="H294" s="201"/>
      <c r="I294" s="202"/>
      <c r="J294" s="201"/>
      <c r="K294" s="170"/>
      <c r="L294" s="171"/>
      <c r="M294" s="94"/>
      <c r="N294" s="94"/>
      <c r="O294" s="94"/>
      <c r="P294" s="94"/>
      <c r="Q294" s="94"/>
      <c r="R294" s="94"/>
      <c r="S294" s="94"/>
      <c r="T294" s="94"/>
      <c r="U294" s="94"/>
      <c r="V294" s="94"/>
    </row>
    <row r="295" ht="24.0" customHeight="1">
      <c r="A295" s="149"/>
      <c r="B295" s="150"/>
      <c r="C295" s="197"/>
      <c r="D295" s="198"/>
      <c r="E295" s="198"/>
      <c r="F295" s="199"/>
      <c r="G295" s="200"/>
      <c r="H295" s="201"/>
      <c r="I295" s="202"/>
      <c r="J295" s="201"/>
      <c r="K295" s="170"/>
      <c r="L295" s="171"/>
      <c r="M295" s="94"/>
      <c r="N295" s="94"/>
      <c r="O295" s="94"/>
      <c r="P295" s="94"/>
      <c r="Q295" s="94"/>
      <c r="R295" s="94"/>
      <c r="S295" s="94"/>
      <c r="T295" s="94"/>
      <c r="U295" s="94"/>
      <c r="V295" s="94"/>
    </row>
    <row r="296" ht="24.0" customHeight="1">
      <c r="A296" s="149"/>
      <c r="B296" s="150"/>
      <c r="C296" s="197"/>
      <c r="D296" s="198"/>
      <c r="E296" s="198"/>
      <c r="F296" s="199"/>
      <c r="G296" s="200"/>
      <c r="H296" s="201"/>
      <c r="I296" s="202"/>
      <c r="J296" s="201"/>
      <c r="K296" s="170"/>
      <c r="L296" s="171"/>
      <c r="M296" s="94"/>
      <c r="N296" s="94"/>
      <c r="O296" s="94"/>
      <c r="P296" s="94"/>
      <c r="Q296" s="94"/>
      <c r="R296" s="94"/>
      <c r="S296" s="94"/>
      <c r="T296" s="94"/>
      <c r="U296" s="94"/>
      <c r="V296" s="94"/>
    </row>
    <row r="297" ht="24.0" customHeight="1">
      <c r="A297" s="149"/>
      <c r="B297" s="150"/>
      <c r="C297" s="197"/>
      <c r="D297" s="198"/>
      <c r="E297" s="198"/>
      <c r="F297" s="199"/>
      <c r="G297" s="200"/>
      <c r="H297" s="201"/>
      <c r="I297" s="202"/>
      <c r="J297" s="201"/>
      <c r="K297" s="170"/>
      <c r="L297" s="171"/>
      <c r="M297" s="94"/>
      <c r="N297" s="94"/>
      <c r="O297" s="94"/>
      <c r="P297" s="94"/>
      <c r="Q297" s="94"/>
      <c r="R297" s="94"/>
      <c r="S297" s="94"/>
      <c r="T297" s="94"/>
      <c r="U297" s="94"/>
      <c r="V297" s="94"/>
    </row>
    <row r="298" ht="24.0" customHeight="1">
      <c r="A298" s="149"/>
      <c r="B298" s="150"/>
      <c r="C298" s="197"/>
      <c r="D298" s="198"/>
      <c r="E298" s="198"/>
      <c r="F298" s="199"/>
      <c r="G298" s="200"/>
      <c r="H298" s="201"/>
      <c r="I298" s="202"/>
      <c r="J298" s="201"/>
      <c r="K298" s="170"/>
      <c r="L298" s="171"/>
      <c r="M298" s="94"/>
      <c r="N298" s="94"/>
      <c r="O298" s="94"/>
      <c r="P298" s="94"/>
      <c r="Q298" s="94"/>
      <c r="R298" s="94"/>
      <c r="S298" s="94"/>
      <c r="T298" s="94"/>
      <c r="U298" s="94"/>
      <c r="V298" s="94"/>
    </row>
    <row r="299" ht="24.0" customHeight="1">
      <c r="A299" s="149"/>
      <c r="B299" s="150"/>
      <c r="C299" s="197"/>
      <c r="D299" s="198"/>
      <c r="E299" s="198"/>
      <c r="F299" s="199"/>
      <c r="G299" s="200"/>
      <c r="H299" s="201"/>
      <c r="I299" s="202"/>
      <c r="J299" s="201"/>
      <c r="K299" s="170"/>
      <c r="L299" s="171"/>
      <c r="M299" s="94"/>
      <c r="N299" s="94"/>
      <c r="O299" s="94"/>
      <c r="P299" s="94"/>
      <c r="Q299" s="94"/>
      <c r="R299" s="94"/>
      <c r="S299" s="94"/>
      <c r="T299" s="94"/>
      <c r="U299" s="94"/>
      <c r="V299" s="94"/>
    </row>
    <row r="300" ht="24.0" customHeight="1">
      <c r="A300" s="149"/>
      <c r="B300" s="150"/>
      <c r="C300" s="197"/>
      <c r="D300" s="198"/>
      <c r="E300" s="198"/>
      <c r="F300" s="199"/>
      <c r="G300" s="200"/>
      <c r="H300" s="201"/>
      <c r="I300" s="202"/>
      <c r="J300" s="201"/>
      <c r="K300" s="170"/>
      <c r="L300" s="171"/>
      <c r="M300" s="94"/>
      <c r="N300" s="94"/>
      <c r="O300" s="94"/>
      <c r="P300" s="94"/>
      <c r="Q300" s="94"/>
      <c r="R300" s="94"/>
      <c r="S300" s="94"/>
      <c r="T300" s="94"/>
      <c r="U300" s="94"/>
      <c r="V300" s="94"/>
    </row>
    <row r="301" ht="24.0" customHeight="1">
      <c r="A301" s="149"/>
      <c r="B301" s="150"/>
      <c r="C301" s="197"/>
      <c r="D301" s="198"/>
      <c r="E301" s="198"/>
      <c r="F301" s="199"/>
      <c r="G301" s="200"/>
      <c r="H301" s="201"/>
      <c r="I301" s="202"/>
      <c r="J301" s="201"/>
      <c r="K301" s="170"/>
      <c r="L301" s="171"/>
      <c r="M301" s="94"/>
      <c r="N301" s="94"/>
      <c r="O301" s="94"/>
      <c r="P301" s="94"/>
      <c r="Q301" s="94"/>
      <c r="R301" s="94"/>
      <c r="S301" s="94"/>
      <c r="T301" s="94"/>
      <c r="U301" s="94"/>
      <c r="V301" s="94"/>
    </row>
    <row r="302" ht="24.0" customHeight="1">
      <c r="A302" s="149"/>
      <c r="B302" s="150"/>
      <c r="C302" s="197"/>
      <c r="D302" s="198"/>
      <c r="E302" s="198"/>
      <c r="F302" s="199"/>
      <c r="G302" s="200"/>
      <c r="H302" s="201"/>
      <c r="I302" s="202"/>
      <c r="J302" s="201"/>
      <c r="K302" s="170"/>
      <c r="L302" s="171"/>
      <c r="M302" s="94"/>
      <c r="N302" s="94"/>
      <c r="O302" s="94"/>
      <c r="P302" s="94"/>
      <c r="Q302" s="94"/>
      <c r="R302" s="94"/>
      <c r="S302" s="94"/>
      <c r="T302" s="94"/>
      <c r="U302" s="94"/>
      <c r="V302" s="94"/>
    </row>
    <row r="303" ht="24.0" customHeight="1">
      <c r="A303" s="149"/>
      <c r="B303" s="150"/>
      <c r="C303" s="197"/>
      <c r="D303" s="198"/>
      <c r="E303" s="198"/>
      <c r="F303" s="199"/>
      <c r="G303" s="200"/>
      <c r="H303" s="201"/>
      <c r="I303" s="202"/>
      <c r="J303" s="201"/>
      <c r="K303" s="170"/>
      <c r="L303" s="171"/>
      <c r="M303" s="94"/>
      <c r="N303" s="94"/>
      <c r="O303" s="94"/>
      <c r="P303" s="94"/>
      <c r="Q303" s="94"/>
      <c r="R303" s="94"/>
      <c r="S303" s="94"/>
      <c r="T303" s="94"/>
      <c r="U303" s="94"/>
      <c r="V303" s="94"/>
    </row>
    <row r="304" ht="24.0" customHeight="1">
      <c r="A304" s="149"/>
      <c r="B304" s="150"/>
      <c r="C304" s="197"/>
      <c r="D304" s="198"/>
      <c r="E304" s="198"/>
      <c r="F304" s="199"/>
      <c r="G304" s="200"/>
      <c r="H304" s="201"/>
      <c r="I304" s="202"/>
      <c r="J304" s="201"/>
      <c r="K304" s="170"/>
      <c r="L304" s="171"/>
      <c r="M304" s="94"/>
      <c r="N304" s="94"/>
      <c r="O304" s="94"/>
      <c r="P304" s="94"/>
      <c r="Q304" s="94"/>
      <c r="R304" s="94"/>
      <c r="S304" s="94"/>
      <c r="T304" s="94"/>
      <c r="U304" s="94"/>
      <c r="V304" s="94"/>
    </row>
    <row r="305" ht="24.0" customHeight="1">
      <c r="A305" s="149"/>
      <c r="B305" s="150"/>
      <c r="C305" s="197"/>
      <c r="D305" s="198"/>
      <c r="E305" s="198"/>
      <c r="F305" s="199"/>
      <c r="G305" s="200"/>
      <c r="H305" s="201"/>
      <c r="I305" s="202"/>
      <c r="J305" s="201"/>
      <c r="K305" s="170"/>
      <c r="L305" s="171"/>
      <c r="M305" s="94"/>
      <c r="N305" s="94"/>
      <c r="O305" s="94"/>
      <c r="P305" s="94"/>
      <c r="Q305" s="94"/>
      <c r="R305" s="94"/>
      <c r="S305" s="94"/>
      <c r="T305" s="94"/>
      <c r="U305" s="94"/>
      <c r="V305" s="94"/>
    </row>
    <row r="306" ht="24.0" customHeight="1">
      <c r="A306" s="149"/>
      <c r="B306" s="150"/>
      <c r="C306" s="197"/>
      <c r="D306" s="198"/>
      <c r="E306" s="198"/>
      <c r="F306" s="199"/>
      <c r="G306" s="200"/>
      <c r="H306" s="201"/>
      <c r="I306" s="202"/>
      <c r="J306" s="201"/>
      <c r="K306" s="170"/>
      <c r="L306" s="171"/>
      <c r="M306" s="94"/>
      <c r="N306" s="94"/>
      <c r="O306" s="94"/>
      <c r="P306" s="94"/>
      <c r="Q306" s="94"/>
      <c r="R306" s="94"/>
      <c r="S306" s="94"/>
      <c r="T306" s="94"/>
      <c r="U306" s="94"/>
      <c r="V306" s="94"/>
    </row>
    <row r="307" ht="24.0" customHeight="1">
      <c r="A307" s="149"/>
      <c r="B307" s="150"/>
      <c r="C307" s="197"/>
      <c r="D307" s="198"/>
      <c r="E307" s="198"/>
      <c r="F307" s="199"/>
      <c r="G307" s="200"/>
      <c r="H307" s="201"/>
      <c r="I307" s="202"/>
      <c r="J307" s="201"/>
      <c r="K307" s="170"/>
      <c r="L307" s="171"/>
      <c r="M307" s="94"/>
      <c r="N307" s="94"/>
      <c r="O307" s="94"/>
      <c r="P307" s="94"/>
      <c r="Q307" s="94"/>
      <c r="R307" s="94"/>
      <c r="S307" s="94"/>
      <c r="T307" s="94"/>
      <c r="U307" s="94"/>
      <c r="V307" s="94"/>
    </row>
    <row r="308" ht="24.0" customHeight="1">
      <c r="A308" s="149"/>
      <c r="B308" s="150"/>
      <c r="C308" s="197"/>
      <c r="D308" s="198"/>
      <c r="E308" s="198"/>
      <c r="F308" s="199"/>
      <c r="G308" s="200"/>
      <c r="H308" s="201"/>
      <c r="I308" s="202"/>
      <c r="J308" s="201"/>
      <c r="K308" s="170"/>
      <c r="L308" s="171"/>
      <c r="M308" s="94"/>
      <c r="N308" s="94"/>
      <c r="O308" s="94"/>
      <c r="P308" s="94"/>
      <c r="Q308" s="94"/>
      <c r="R308" s="94"/>
      <c r="S308" s="94"/>
      <c r="T308" s="94"/>
      <c r="U308" s="94"/>
      <c r="V308" s="94"/>
    </row>
    <row r="309" ht="24.0" customHeight="1">
      <c r="A309" s="149"/>
      <c r="B309" s="150"/>
      <c r="C309" s="197"/>
      <c r="D309" s="198"/>
      <c r="E309" s="198"/>
      <c r="F309" s="199"/>
      <c r="G309" s="200"/>
      <c r="H309" s="201"/>
      <c r="I309" s="202"/>
      <c r="J309" s="201"/>
      <c r="K309" s="170"/>
      <c r="L309" s="171"/>
      <c r="M309" s="94"/>
      <c r="N309" s="94"/>
      <c r="O309" s="94"/>
      <c r="P309" s="94"/>
      <c r="Q309" s="94"/>
      <c r="R309" s="94"/>
      <c r="S309" s="94"/>
      <c r="T309" s="94"/>
      <c r="U309" s="94"/>
      <c r="V309" s="94"/>
    </row>
    <row r="310" ht="24.0" customHeight="1">
      <c r="A310" s="149"/>
      <c r="B310" s="150"/>
      <c r="C310" s="197"/>
      <c r="D310" s="198"/>
      <c r="E310" s="198"/>
      <c r="F310" s="199"/>
      <c r="G310" s="200"/>
      <c r="H310" s="201"/>
      <c r="I310" s="202"/>
      <c r="J310" s="201"/>
      <c r="K310" s="170"/>
      <c r="L310" s="171"/>
      <c r="M310" s="94"/>
      <c r="N310" s="94"/>
      <c r="O310" s="94"/>
      <c r="P310" s="94"/>
      <c r="Q310" s="94"/>
      <c r="R310" s="94"/>
      <c r="S310" s="94"/>
      <c r="T310" s="94"/>
      <c r="U310" s="94"/>
      <c r="V310" s="94"/>
    </row>
    <row r="311" ht="24.0" customHeight="1">
      <c r="A311" s="149"/>
      <c r="B311" s="150"/>
      <c r="C311" s="197"/>
      <c r="D311" s="198"/>
      <c r="E311" s="198"/>
      <c r="F311" s="199"/>
      <c r="G311" s="200"/>
      <c r="H311" s="201"/>
      <c r="I311" s="202"/>
      <c r="J311" s="201"/>
      <c r="K311" s="170"/>
      <c r="L311" s="171"/>
      <c r="M311" s="94"/>
      <c r="N311" s="94"/>
      <c r="O311" s="94"/>
      <c r="P311" s="94"/>
      <c r="Q311" s="94"/>
      <c r="R311" s="94"/>
      <c r="S311" s="94"/>
      <c r="T311" s="94"/>
      <c r="U311" s="94"/>
      <c r="V311" s="94"/>
    </row>
    <row r="312" ht="24.0" customHeight="1">
      <c r="A312" s="149"/>
      <c r="B312" s="150"/>
      <c r="C312" s="197"/>
      <c r="D312" s="198"/>
      <c r="E312" s="198"/>
      <c r="F312" s="199"/>
      <c r="G312" s="200"/>
      <c r="H312" s="201"/>
      <c r="I312" s="202"/>
      <c r="J312" s="201"/>
      <c r="K312" s="170"/>
      <c r="L312" s="171"/>
      <c r="M312" s="94"/>
      <c r="N312" s="94"/>
      <c r="O312" s="94"/>
      <c r="P312" s="94"/>
      <c r="Q312" s="94"/>
      <c r="R312" s="94"/>
      <c r="S312" s="94"/>
      <c r="T312" s="94"/>
      <c r="U312" s="94"/>
      <c r="V312" s="94"/>
    </row>
    <row r="313" ht="24.0" customHeight="1">
      <c r="A313" s="149"/>
      <c r="B313" s="150"/>
      <c r="C313" s="197"/>
      <c r="D313" s="198"/>
      <c r="E313" s="198"/>
      <c r="F313" s="199"/>
      <c r="G313" s="200"/>
      <c r="H313" s="201"/>
      <c r="I313" s="202"/>
      <c r="J313" s="201"/>
      <c r="K313" s="170"/>
      <c r="L313" s="171"/>
      <c r="M313" s="94"/>
      <c r="N313" s="94"/>
      <c r="O313" s="94"/>
      <c r="P313" s="94"/>
      <c r="Q313" s="94"/>
      <c r="R313" s="94"/>
      <c r="S313" s="94"/>
      <c r="T313" s="94"/>
      <c r="U313" s="94"/>
      <c r="V313" s="94"/>
    </row>
    <row r="314" ht="24.0" customHeight="1">
      <c r="A314" s="149"/>
      <c r="B314" s="150"/>
      <c r="C314" s="197"/>
      <c r="D314" s="198"/>
      <c r="E314" s="198"/>
      <c r="F314" s="199"/>
      <c r="G314" s="200"/>
      <c r="H314" s="201"/>
      <c r="I314" s="202"/>
      <c r="J314" s="201"/>
      <c r="K314" s="170"/>
      <c r="L314" s="171"/>
      <c r="M314" s="94"/>
      <c r="N314" s="94"/>
      <c r="O314" s="94"/>
      <c r="P314" s="94"/>
      <c r="Q314" s="94"/>
      <c r="R314" s="94"/>
      <c r="S314" s="94"/>
      <c r="T314" s="94"/>
      <c r="U314" s="94"/>
      <c r="V314" s="94"/>
    </row>
    <row r="315" ht="24.0" customHeight="1">
      <c r="A315" s="149"/>
      <c r="B315" s="150"/>
      <c r="C315" s="197"/>
      <c r="D315" s="198"/>
      <c r="E315" s="198"/>
      <c r="F315" s="199"/>
      <c r="G315" s="200"/>
      <c r="H315" s="201"/>
      <c r="I315" s="202"/>
      <c r="J315" s="201"/>
      <c r="K315" s="170"/>
      <c r="L315" s="171"/>
      <c r="M315" s="94"/>
      <c r="N315" s="94"/>
      <c r="O315" s="94"/>
      <c r="P315" s="94"/>
      <c r="Q315" s="94"/>
      <c r="R315" s="94"/>
      <c r="S315" s="94"/>
      <c r="T315" s="94"/>
      <c r="U315" s="94"/>
      <c r="V315" s="94"/>
    </row>
    <row r="316" ht="24.0" customHeight="1">
      <c r="A316" s="149"/>
      <c r="B316" s="150"/>
      <c r="C316" s="197"/>
      <c r="D316" s="198"/>
      <c r="E316" s="198"/>
      <c r="F316" s="199"/>
      <c r="G316" s="200"/>
      <c r="H316" s="201"/>
      <c r="I316" s="202"/>
      <c r="J316" s="201"/>
      <c r="K316" s="170"/>
      <c r="L316" s="171"/>
      <c r="M316" s="94"/>
      <c r="N316" s="94"/>
      <c r="O316" s="94"/>
      <c r="P316" s="94"/>
      <c r="Q316" s="94"/>
      <c r="R316" s="94"/>
      <c r="S316" s="94"/>
      <c r="T316" s="94"/>
      <c r="U316" s="94"/>
      <c r="V316" s="94"/>
    </row>
    <row r="317" ht="24.0" customHeight="1">
      <c r="A317" s="149"/>
      <c r="B317" s="150"/>
      <c r="C317" s="197"/>
      <c r="D317" s="198"/>
      <c r="E317" s="198"/>
      <c r="F317" s="199"/>
      <c r="G317" s="200"/>
      <c r="H317" s="201"/>
      <c r="I317" s="202"/>
      <c r="J317" s="201"/>
      <c r="K317" s="170"/>
      <c r="L317" s="171"/>
      <c r="M317" s="94"/>
      <c r="N317" s="94"/>
      <c r="O317" s="94"/>
      <c r="P317" s="94"/>
      <c r="Q317" s="94"/>
      <c r="R317" s="94"/>
      <c r="S317" s="94"/>
      <c r="T317" s="94"/>
      <c r="U317" s="94"/>
      <c r="V317" s="94"/>
    </row>
    <row r="318" ht="24.0" customHeight="1">
      <c r="A318" s="149"/>
      <c r="B318" s="150"/>
      <c r="C318" s="197"/>
      <c r="D318" s="198"/>
      <c r="E318" s="198"/>
      <c r="F318" s="199"/>
      <c r="G318" s="200"/>
      <c r="H318" s="201"/>
      <c r="I318" s="202"/>
      <c r="J318" s="201"/>
      <c r="K318" s="170"/>
      <c r="L318" s="171"/>
      <c r="M318" s="94"/>
      <c r="N318" s="94"/>
      <c r="O318" s="94"/>
      <c r="P318" s="94"/>
      <c r="Q318" s="94"/>
      <c r="R318" s="94"/>
      <c r="S318" s="94"/>
      <c r="T318" s="94"/>
      <c r="U318" s="94"/>
      <c r="V318" s="94"/>
    </row>
    <row r="319" ht="24.0" customHeight="1">
      <c r="A319" s="149"/>
      <c r="B319" s="150"/>
      <c r="C319" s="197"/>
      <c r="D319" s="198"/>
      <c r="E319" s="198"/>
      <c r="F319" s="199"/>
      <c r="G319" s="200"/>
      <c r="H319" s="201"/>
      <c r="I319" s="202"/>
      <c r="J319" s="201"/>
      <c r="K319" s="170"/>
      <c r="L319" s="171"/>
      <c r="M319" s="94"/>
      <c r="N319" s="94"/>
      <c r="O319" s="94"/>
      <c r="P319" s="94"/>
      <c r="Q319" s="94"/>
      <c r="R319" s="94"/>
      <c r="S319" s="94"/>
      <c r="T319" s="94"/>
      <c r="U319" s="94"/>
      <c r="V319" s="94"/>
    </row>
    <row r="320" ht="24.0" customHeight="1">
      <c r="A320" s="149"/>
      <c r="B320" s="150"/>
      <c r="C320" s="197"/>
      <c r="D320" s="198"/>
      <c r="E320" s="198"/>
      <c r="F320" s="199"/>
      <c r="G320" s="200"/>
      <c r="H320" s="201"/>
      <c r="I320" s="202"/>
      <c r="J320" s="201"/>
      <c r="K320" s="170"/>
      <c r="L320" s="171"/>
      <c r="M320" s="94"/>
      <c r="N320" s="94"/>
      <c r="O320" s="94"/>
      <c r="P320" s="94"/>
      <c r="Q320" s="94"/>
      <c r="R320" s="94"/>
      <c r="S320" s="94"/>
      <c r="T320" s="94"/>
      <c r="U320" s="94"/>
      <c r="V320" s="94"/>
    </row>
    <row r="321" ht="24.0" customHeight="1">
      <c r="A321" s="149"/>
      <c r="B321" s="150"/>
      <c r="C321" s="197"/>
      <c r="D321" s="198"/>
      <c r="E321" s="198"/>
      <c r="F321" s="199"/>
      <c r="G321" s="200"/>
      <c r="H321" s="201"/>
      <c r="I321" s="202"/>
      <c r="J321" s="201"/>
      <c r="K321" s="170"/>
      <c r="L321" s="171"/>
      <c r="M321" s="94"/>
      <c r="N321" s="94"/>
      <c r="O321" s="94"/>
      <c r="P321" s="94"/>
      <c r="Q321" s="94"/>
      <c r="R321" s="94"/>
      <c r="S321" s="94"/>
      <c r="T321" s="94"/>
      <c r="U321" s="94"/>
      <c r="V321" s="94"/>
    </row>
    <row r="322" ht="24.0" customHeight="1">
      <c r="A322" s="149"/>
      <c r="B322" s="150"/>
      <c r="C322" s="197"/>
      <c r="D322" s="198"/>
      <c r="E322" s="198"/>
      <c r="F322" s="199"/>
      <c r="G322" s="200"/>
      <c r="H322" s="201"/>
      <c r="I322" s="202"/>
      <c r="J322" s="201"/>
      <c r="K322" s="170"/>
      <c r="L322" s="171"/>
      <c r="M322" s="94"/>
      <c r="N322" s="94"/>
      <c r="O322" s="94"/>
      <c r="P322" s="94"/>
      <c r="Q322" s="94"/>
      <c r="R322" s="94"/>
      <c r="S322" s="94"/>
      <c r="T322" s="94"/>
      <c r="U322" s="94"/>
      <c r="V322" s="94"/>
    </row>
    <row r="323" ht="24.0" customHeight="1">
      <c r="A323" s="149"/>
      <c r="B323" s="150"/>
      <c r="C323" s="197"/>
      <c r="D323" s="198"/>
      <c r="E323" s="198"/>
      <c r="F323" s="199"/>
      <c r="G323" s="200"/>
      <c r="H323" s="201"/>
      <c r="I323" s="202"/>
      <c r="J323" s="201"/>
      <c r="K323" s="170"/>
      <c r="L323" s="171"/>
      <c r="M323" s="94"/>
      <c r="N323" s="94"/>
      <c r="O323" s="94"/>
      <c r="P323" s="94"/>
      <c r="Q323" s="94"/>
      <c r="R323" s="94"/>
      <c r="S323" s="94"/>
      <c r="T323" s="94"/>
      <c r="U323" s="94"/>
      <c r="V323" s="94"/>
    </row>
    <row r="324" ht="24.0" customHeight="1">
      <c r="A324" s="149"/>
      <c r="B324" s="150"/>
      <c r="C324" s="197"/>
      <c r="D324" s="198"/>
      <c r="E324" s="198"/>
      <c r="F324" s="199"/>
      <c r="G324" s="200"/>
      <c r="H324" s="201"/>
      <c r="I324" s="202"/>
      <c r="J324" s="201"/>
      <c r="K324" s="170"/>
      <c r="L324" s="171"/>
      <c r="M324" s="94"/>
      <c r="N324" s="94"/>
      <c r="O324" s="94"/>
      <c r="P324" s="94"/>
      <c r="Q324" s="94"/>
      <c r="R324" s="94"/>
      <c r="S324" s="94"/>
      <c r="T324" s="94"/>
      <c r="U324" s="94"/>
      <c r="V324" s="94"/>
    </row>
    <row r="325" ht="24.0" customHeight="1">
      <c r="A325" s="149"/>
      <c r="B325" s="150"/>
      <c r="C325" s="197"/>
      <c r="D325" s="198"/>
      <c r="E325" s="198"/>
      <c r="F325" s="199"/>
      <c r="G325" s="200"/>
      <c r="H325" s="201"/>
      <c r="I325" s="202"/>
      <c r="J325" s="201"/>
      <c r="K325" s="170"/>
      <c r="L325" s="171"/>
      <c r="M325" s="94"/>
      <c r="N325" s="94"/>
      <c r="O325" s="94"/>
      <c r="P325" s="94"/>
      <c r="Q325" s="94"/>
      <c r="R325" s="94"/>
      <c r="S325" s="94"/>
      <c r="T325" s="94"/>
      <c r="U325" s="94"/>
      <c r="V325" s="94"/>
    </row>
    <row r="326" ht="24.0" customHeight="1">
      <c r="A326" s="149"/>
      <c r="B326" s="150"/>
      <c r="C326" s="197"/>
      <c r="D326" s="198"/>
      <c r="E326" s="198"/>
      <c r="F326" s="199"/>
      <c r="G326" s="200"/>
      <c r="H326" s="201"/>
      <c r="I326" s="202"/>
      <c r="J326" s="201"/>
      <c r="K326" s="170"/>
      <c r="L326" s="171"/>
      <c r="M326" s="94"/>
      <c r="N326" s="94"/>
      <c r="O326" s="94"/>
      <c r="P326" s="94"/>
      <c r="Q326" s="94"/>
      <c r="R326" s="94"/>
      <c r="S326" s="94"/>
      <c r="T326" s="94"/>
      <c r="U326" s="94"/>
      <c r="V326" s="94"/>
    </row>
    <row r="327" ht="24.0" customHeight="1">
      <c r="A327" s="149"/>
      <c r="B327" s="150"/>
      <c r="C327" s="197"/>
      <c r="D327" s="198"/>
      <c r="E327" s="198"/>
      <c r="F327" s="199"/>
      <c r="G327" s="200"/>
      <c r="H327" s="201"/>
      <c r="I327" s="202"/>
      <c r="J327" s="201"/>
      <c r="K327" s="170"/>
      <c r="L327" s="171"/>
      <c r="M327" s="94"/>
      <c r="N327" s="94"/>
      <c r="O327" s="94"/>
      <c r="P327" s="94"/>
      <c r="Q327" s="94"/>
      <c r="R327" s="94"/>
      <c r="S327" s="94"/>
      <c r="T327" s="94"/>
      <c r="U327" s="94"/>
      <c r="V327" s="94"/>
    </row>
    <row r="328" ht="24.0" customHeight="1">
      <c r="A328" s="149"/>
      <c r="B328" s="150"/>
      <c r="C328" s="197"/>
      <c r="D328" s="198"/>
      <c r="E328" s="198"/>
      <c r="F328" s="199"/>
      <c r="G328" s="200"/>
      <c r="H328" s="201"/>
      <c r="I328" s="202"/>
      <c r="J328" s="201"/>
      <c r="K328" s="170"/>
      <c r="L328" s="171"/>
      <c r="M328" s="94"/>
      <c r="N328" s="94"/>
      <c r="O328" s="94"/>
      <c r="P328" s="94"/>
      <c r="Q328" s="94"/>
      <c r="R328" s="94"/>
      <c r="S328" s="94"/>
      <c r="T328" s="94"/>
      <c r="U328" s="94"/>
      <c r="V328" s="94"/>
    </row>
    <row r="329" ht="24.0" customHeight="1">
      <c r="A329" s="149"/>
      <c r="B329" s="150"/>
      <c r="C329" s="197"/>
      <c r="D329" s="198"/>
      <c r="E329" s="198"/>
      <c r="F329" s="199"/>
      <c r="G329" s="200"/>
      <c r="H329" s="201"/>
      <c r="I329" s="202"/>
      <c r="J329" s="201"/>
      <c r="K329" s="170"/>
      <c r="L329" s="171"/>
      <c r="M329" s="94"/>
      <c r="N329" s="94"/>
      <c r="O329" s="94"/>
      <c r="P329" s="94"/>
      <c r="Q329" s="94"/>
      <c r="R329" s="94"/>
      <c r="S329" s="94"/>
      <c r="T329" s="94"/>
      <c r="U329" s="94"/>
      <c r="V329" s="94"/>
    </row>
    <row r="330" ht="24.0" customHeight="1">
      <c r="A330" s="149"/>
      <c r="B330" s="150"/>
      <c r="C330" s="197"/>
      <c r="D330" s="198"/>
      <c r="E330" s="198"/>
      <c r="F330" s="199"/>
      <c r="G330" s="200"/>
      <c r="H330" s="201"/>
      <c r="I330" s="202"/>
      <c r="J330" s="201"/>
      <c r="K330" s="170"/>
      <c r="L330" s="171"/>
      <c r="M330" s="94"/>
      <c r="N330" s="94"/>
      <c r="O330" s="94"/>
      <c r="P330" s="94"/>
      <c r="Q330" s="94"/>
      <c r="R330" s="94"/>
      <c r="S330" s="94"/>
      <c r="T330" s="94"/>
      <c r="U330" s="94"/>
      <c r="V330" s="94"/>
    </row>
    <row r="331" ht="24.0" customHeight="1">
      <c r="A331" s="149"/>
      <c r="B331" s="150"/>
      <c r="C331" s="197"/>
      <c r="D331" s="198"/>
      <c r="E331" s="198"/>
      <c r="F331" s="199"/>
      <c r="G331" s="200"/>
      <c r="H331" s="201"/>
      <c r="I331" s="202"/>
      <c r="J331" s="201"/>
      <c r="K331" s="170"/>
      <c r="L331" s="171"/>
      <c r="M331" s="94"/>
      <c r="N331" s="94"/>
      <c r="O331" s="94"/>
      <c r="P331" s="94"/>
      <c r="Q331" s="94"/>
      <c r="R331" s="94"/>
      <c r="S331" s="94"/>
      <c r="T331" s="94"/>
      <c r="U331" s="94"/>
      <c r="V331" s="94"/>
    </row>
    <row r="332" ht="24.0" customHeight="1">
      <c r="A332" s="149"/>
      <c r="B332" s="150"/>
      <c r="C332" s="197"/>
      <c r="D332" s="198"/>
      <c r="E332" s="198"/>
      <c r="F332" s="199"/>
      <c r="G332" s="200"/>
      <c r="H332" s="201"/>
      <c r="I332" s="202"/>
      <c r="J332" s="201"/>
      <c r="K332" s="170"/>
      <c r="L332" s="171"/>
      <c r="M332" s="94"/>
      <c r="N332" s="94"/>
      <c r="O332" s="94"/>
      <c r="P332" s="94"/>
      <c r="Q332" s="94"/>
      <c r="R332" s="94"/>
      <c r="S332" s="94"/>
      <c r="T332" s="94"/>
      <c r="U332" s="94"/>
      <c r="V332" s="94"/>
    </row>
    <row r="333" ht="24.0" customHeight="1">
      <c r="A333" s="149"/>
      <c r="B333" s="150"/>
      <c r="C333" s="197"/>
      <c r="D333" s="198"/>
      <c r="E333" s="198"/>
      <c r="F333" s="199"/>
      <c r="G333" s="200"/>
      <c r="H333" s="201"/>
      <c r="I333" s="202"/>
      <c r="J333" s="201"/>
      <c r="K333" s="170"/>
      <c r="L333" s="171"/>
      <c r="M333" s="94"/>
      <c r="N333" s="94"/>
      <c r="O333" s="94"/>
      <c r="P333" s="94"/>
      <c r="Q333" s="94"/>
      <c r="R333" s="94"/>
      <c r="S333" s="94"/>
      <c r="T333" s="94"/>
      <c r="U333" s="94"/>
      <c r="V333" s="94"/>
    </row>
    <row r="334" ht="24.0" customHeight="1">
      <c r="A334" s="149"/>
      <c r="B334" s="150"/>
      <c r="C334" s="197"/>
      <c r="D334" s="198"/>
      <c r="E334" s="198"/>
      <c r="F334" s="199"/>
      <c r="G334" s="200"/>
      <c r="H334" s="201"/>
      <c r="I334" s="202"/>
      <c r="J334" s="201"/>
      <c r="K334" s="170"/>
      <c r="L334" s="171"/>
      <c r="M334" s="94"/>
      <c r="N334" s="94"/>
      <c r="O334" s="94"/>
      <c r="P334" s="94"/>
      <c r="Q334" s="94"/>
      <c r="R334" s="94"/>
      <c r="S334" s="94"/>
      <c r="T334" s="94"/>
      <c r="U334" s="94"/>
      <c r="V334" s="94"/>
    </row>
    <row r="335" ht="24.0" customHeight="1">
      <c r="A335" s="149"/>
      <c r="B335" s="150"/>
      <c r="C335" s="197"/>
      <c r="D335" s="198"/>
      <c r="E335" s="198"/>
      <c r="F335" s="199"/>
      <c r="G335" s="200"/>
      <c r="H335" s="201"/>
      <c r="I335" s="202"/>
      <c r="J335" s="201"/>
      <c r="K335" s="170"/>
      <c r="L335" s="171"/>
      <c r="M335" s="94"/>
      <c r="N335" s="94"/>
      <c r="O335" s="94"/>
      <c r="P335" s="94"/>
      <c r="Q335" s="94"/>
      <c r="R335" s="94"/>
      <c r="S335" s="94"/>
      <c r="T335" s="94"/>
      <c r="U335" s="94"/>
      <c r="V335" s="94"/>
    </row>
    <row r="336" ht="24.0" customHeight="1">
      <c r="A336" s="149"/>
      <c r="B336" s="150"/>
      <c r="C336" s="197"/>
      <c r="D336" s="198"/>
      <c r="E336" s="198"/>
      <c r="F336" s="199"/>
      <c r="G336" s="200"/>
      <c r="H336" s="201"/>
      <c r="I336" s="202"/>
      <c r="J336" s="201"/>
      <c r="K336" s="170"/>
      <c r="L336" s="171"/>
      <c r="M336" s="94"/>
      <c r="N336" s="94"/>
      <c r="O336" s="94"/>
      <c r="P336" s="94"/>
      <c r="Q336" s="94"/>
      <c r="R336" s="94"/>
      <c r="S336" s="94"/>
      <c r="T336" s="94"/>
      <c r="U336" s="94"/>
      <c r="V336" s="94"/>
    </row>
    <row r="337" ht="24.0" customHeight="1">
      <c r="A337" s="149"/>
      <c r="B337" s="150"/>
      <c r="C337" s="197"/>
      <c r="D337" s="198"/>
      <c r="E337" s="198"/>
      <c r="F337" s="199"/>
      <c r="G337" s="200"/>
      <c r="H337" s="201"/>
      <c r="I337" s="202"/>
      <c r="J337" s="201"/>
      <c r="K337" s="170"/>
      <c r="L337" s="171"/>
      <c r="M337" s="94"/>
      <c r="N337" s="94"/>
      <c r="O337" s="94"/>
      <c r="P337" s="94"/>
      <c r="Q337" s="94"/>
      <c r="R337" s="94"/>
      <c r="S337" s="94"/>
      <c r="T337" s="94"/>
      <c r="U337" s="94"/>
      <c r="V337" s="94"/>
    </row>
    <row r="338" ht="24.0" customHeight="1">
      <c r="A338" s="149"/>
      <c r="B338" s="150"/>
      <c r="C338" s="197"/>
      <c r="D338" s="198"/>
      <c r="E338" s="198"/>
      <c r="F338" s="199"/>
      <c r="G338" s="200"/>
      <c r="H338" s="201"/>
      <c r="I338" s="202"/>
      <c r="J338" s="201"/>
      <c r="K338" s="170"/>
      <c r="L338" s="171"/>
      <c r="M338" s="94"/>
      <c r="N338" s="94"/>
      <c r="O338" s="94"/>
      <c r="P338" s="94"/>
      <c r="Q338" s="94"/>
      <c r="R338" s="94"/>
      <c r="S338" s="94"/>
      <c r="T338" s="94"/>
      <c r="U338" s="94"/>
      <c r="V338" s="94"/>
    </row>
    <row r="339" ht="24.0" customHeight="1">
      <c r="A339" s="149"/>
      <c r="B339" s="150"/>
      <c r="C339" s="197"/>
      <c r="D339" s="198"/>
      <c r="E339" s="198"/>
      <c r="F339" s="199"/>
      <c r="G339" s="200"/>
      <c r="H339" s="201"/>
      <c r="I339" s="202"/>
      <c r="J339" s="201"/>
      <c r="K339" s="170"/>
      <c r="L339" s="171"/>
      <c r="M339" s="94"/>
      <c r="N339" s="94"/>
      <c r="O339" s="94"/>
      <c r="P339" s="94"/>
      <c r="Q339" s="94"/>
      <c r="R339" s="94"/>
      <c r="S339" s="94"/>
      <c r="T339" s="94"/>
      <c r="U339" s="94"/>
      <c r="V339" s="94"/>
    </row>
    <row r="340" ht="24.0" customHeight="1">
      <c r="A340" s="149"/>
      <c r="B340" s="150"/>
      <c r="C340" s="197"/>
      <c r="D340" s="198"/>
      <c r="E340" s="198"/>
      <c r="F340" s="199"/>
      <c r="G340" s="200"/>
      <c r="H340" s="201"/>
      <c r="I340" s="202"/>
      <c r="J340" s="201"/>
      <c r="K340" s="170"/>
      <c r="L340" s="171"/>
      <c r="M340" s="94"/>
      <c r="N340" s="94"/>
      <c r="O340" s="94"/>
      <c r="P340" s="94"/>
      <c r="Q340" s="94"/>
      <c r="R340" s="94"/>
      <c r="S340" s="94"/>
      <c r="T340" s="94"/>
      <c r="U340" s="94"/>
      <c r="V340" s="94"/>
    </row>
    <row r="341" ht="24.0" customHeight="1">
      <c r="A341" s="149"/>
      <c r="B341" s="150"/>
      <c r="C341" s="197"/>
      <c r="D341" s="198"/>
      <c r="E341" s="198"/>
      <c r="F341" s="199"/>
      <c r="G341" s="200"/>
      <c r="H341" s="201"/>
      <c r="I341" s="202"/>
      <c r="J341" s="201"/>
      <c r="K341" s="170"/>
      <c r="L341" s="171"/>
      <c r="M341" s="94"/>
      <c r="N341" s="94"/>
      <c r="O341" s="94"/>
      <c r="P341" s="94"/>
      <c r="Q341" s="94"/>
      <c r="R341" s="94"/>
      <c r="S341" s="94"/>
      <c r="T341" s="94"/>
      <c r="U341" s="94"/>
      <c r="V341" s="94"/>
    </row>
    <row r="342" ht="24.0" customHeight="1">
      <c r="A342" s="149"/>
      <c r="B342" s="150"/>
      <c r="C342" s="197"/>
      <c r="D342" s="198"/>
      <c r="E342" s="198"/>
      <c r="F342" s="199"/>
      <c r="G342" s="200"/>
      <c r="H342" s="201"/>
      <c r="I342" s="202"/>
      <c r="J342" s="201"/>
      <c r="K342" s="170"/>
      <c r="L342" s="171"/>
      <c r="M342" s="94"/>
      <c r="N342" s="94"/>
      <c r="O342" s="94"/>
      <c r="P342" s="94"/>
      <c r="Q342" s="94"/>
      <c r="R342" s="94"/>
      <c r="S342" s="94"/>
      <c r="T342" s="94"/>
      <c r="U342" s="94"/>
      <c r="V342" s="94"/>
    </row>
    <row r="343" ht="24.0" customHeight="1">
      <c r="A343" s="149"/>
      <c r="B343" s="150"/>
      <c r="C343" s="197"/>
      <c r="D343" s="198"/>
      <c r="E343" s="198"/>
      <c r="F343" s="199"/>
      <c r="G343" s="200"/>
      <c r="H343" s="201"/>
      <c r="I343" s="202"/>
      <c r="J343" s="201"/>
      <c r="K343" s="170"/>
      <c r="L343" s="171"/>
      <c r="M343" s="94"/>
      <c r="N343" s="94"/>
      <c r="O343" s="94"/>
      <c r="P343" s="94"/>
      <c r="Q343" s="94"/>
      <c r="R343" s="94"/>
      <c r="S343" s="94"/>
      <c r="T343" s="94"/>
      <c r="U343" s="94"/>
      <c r="V343" s="94"/>
    </row>
    <row r="344" ht="24.0" customHeight="1">
      <c r="A344" s="149"/>
      <c r="B344" s="150"/>
      <c r="C344" s="197"/>
      <c r="D344" s="198"/>
      <c r="E344" s="198"/>
      <c r="F344" s="199"/>
      <c r="G344" s="200"/>
      <c r="H344" s="201"/>
      <c r="I344" s="202"/>
      <c r="J344" s="201"/>
      <c r="K344" s="170"/>
      <c r="L344" s="171"/>
      <c r="M344" s="94"/>
      <c r="N344" s="94"/>
      <c r="O344" s="94"/>
      <c r="P344" s="94"/>
      <c r="Q344" s="94"/>
      <c r="R344" s="94"/>
      <c r="S344" s="94"/>
      <c r="T344" s="94"/>
      <c r="U344" s="94"/>
      <c r="V344" s="94"/>
    </row>
    <row r="345" ht="24.0" customHeight="1">
      <c r="A345" s="149"/>
      <c r="B345" s="150"/>
      <c r="C345" s="197"/>
      <c r="D345" s="198"/>
      <c r="E345" s="198"/>
      <c r="F345" s="199"/>
      <c r="G345" s="200"/>
      <c r="H345" s="201"/>
      <c r="I345" s="202"/>
      <c r="J345" s="201"/>
      <c r="K345" s="170"/>
      <c r="L345" s="171"/>
      <c r="M345" s="94"/>
      <c r="N345" s="94"/>
      <c r="O345" s="94"/>
      <c r="P345" s="94"/>
      <c r="Q345" s="94"/>
      <c r="R345" s="94"/>
      <c r="S345" s="94"/>
      <c r="T345" s="94"/>
      <c r="U345" s="94"/>
      <c r="V345" s="94"/>
    </row>
    <row r="346" ht="24.0" customHeight="1">
      <c r="A346" s="149"/>
      <c r="B346" s="150"/>
      <c r="C346" s="197"/>
      <c r="D346" s="198"/>
      <c r="E346" s="198"/>
      <c r="F346" s="199"/>
      <c r="G346" s="200"/>
      <c r="H346" s="201"/>
      <c r="I346" s="202"/>
      <c r="J346" s="201"/>
      <c r="K346" s="170"/>
      <c r="L346" s="171"/>
      <c r="M346" s="94"/>
      <c r="N346" s="94"/>
      <c r="O346" s="94"/>
      <c r="P346" s="94"/>
      <c r="Q346" s="94"/>
      <c r="R346" s="94"/>
      <c r="S346" s="94"/>
      <c r="T346" s="94"/>
      <c r="U346" s="94"/>
      <c r="V346" s="94"/>
    </row>
    <row r="347" ht="24.0" customHeight="1">
      <c r="A347" s="149"/>
      <c r="B347" s="150"/>
      <c r="C347" s="197"/>
      <c r="D347" s="198"/>
      <c r="E347" s="198"/>
      <c r="F347" s="199"/>
      <c r="G347" s="200"/>
      <c r="H347" s="201"/>
      <c r="I347" s="202"/>
      <c r="J347" s="201"/>
      <c r="K347" s="170"/>
      <c r="L347" s="171"/>
      <c r="M347" s="94"/>
      <c r="N347" s="94"/>
      <c r="O347" s="94"/>
      <c r="P347" s="94"/>
      <c r="Q347" s="94"/>
      <c r="R347" s="94"/>
      <c r="S347" s="94"/>
      <c r="T347" s="94"/>
      <c r="U347" s="94"/>
      <c r="V347" s="94"/>
    </row>
    <row r="348" ht="24.0" customHeight="1">
      <c r="A348" s="149"/>
      <c r="B348" s="150"/>
      <c r="C348" s="197"/>
      <c r="D348" s="198"/>
      <c r="E348" s="198"/>
      <c r="F348" s="199"/>
      <c r="G348" s="200"/>
      <c r="H348" s="201"/>
      <c r="I348" s="202"/>
      <c r="J348" s="201"/>
      <c r="K348" s="170"/>
      <c r="L348" s="171"/>
      <c r="M348" s="94"/>
      <c r="N348" s="94"/>
      <c r="O348" s="94"/>
      <c r="P348" s="94"/>
      <c r="Q348" s="94"/>
      <c r="R348" s="94"/>
      <c r="S348" s="94"/>
      <c r="T348" s="94"/>
      <c r="U348" s="94"/>
      <c r="V348" s="94"/>
    </row>
    <row r="349" ht="24.0" customHeight="1">
      <c r="A349" s="149"/>
      <c r="B349" s="150"/>
      <c r="C349" s="197"/>
      <c r="D349" s="198"/>
      <c r="E349" s="198"/>
      <c r="F349" s="199"/>
      <c r="G349" s="200"/>
      <c r="H349" s="201"/>
      <c r="I349" s="202"/>
      <c r="J349" s="201"/>
      <c r="K349" s="170"/>
      <c r="L349" s="171"/>
      <c r="M349" s="94"/>
      <c r="N349" s="94"/>
      <c r="O349" s="94"/>
      <c r="P349" s="94"/>
      <c r="Q349" s="94"/>
      <c r="R349" s="94"/>
      <c r="S349" s="94"/>
      <c r="T349" s="94"/>
      <c r="U349" s="94"/>
      <c r="V349" s="94"/>
    </row>
    <row r="350" ht="24.0" customHeight="1">
      <c r="A350" s="149"/>
      <c r="B350" s="150"/>
      <c r="C350" s="197"/>
      <c r="D350" s="198"/>
      <c r="E350" s="198"/>
      <c r="F350" s="199"/>
      <c r="G350" s="200"/>
      <c r="H350" s="201"/>
      <c r="I350" s="202"/>
      <c r="J350" s="201"/>
      <c r="K350" s="170"/>
      <c r="L350" s="171"/>
      <c r="M350" s="94"/>
      <c r="N350" s="94"/>
      <c r="O350" s="94"/>
      <c r="P350" s="94"/>
      <c r="Q350" s="94"/>
      <c r="R350" s="94"/>
      <c r="S350" s="94"/>
      <c r="T350" s="94"/>
      <c r="U350" s="94"/>
      <c r="V350" s="94"/>
    </row>
    <row r="351" ht="24.0" customHeight="1">
      <c r="A351" s="149"/>
      <c r="B351" s="150"/>
      <c r="C351" s="197"/>
      <c r="D351" s="198"/>
      <c r="E351" s="198"/>
      <c r="F351" s="199"/>
      <c r="G351" s="200"/>
      <c r="H351" s="201"/>
      <c r="I351" s="202"/>
      <c r="J351" s="201"/>
      <c r="K351" s="170"/>
      <c r="L351" s="171"/>
      <c r="M351" s="94"/>
      <c r="N351" s="94"/>
      <c r="O351" s="94"/>
      <c r="P351" s="94"/>
      <c r="Q351" s="94"/>
      <c r="R351" s="94"/>
      <c r="S351" s="94"/>
      <c r="T351" s="94"/>
      <c r="U351" s="94"/>
      <c r="V351" s="94"/>
    </row>
    <row r="352" ht="24.0" customHeight="1">
      <c r="A352" s="149"/>
      <c r="B352" s="150"/>
      <c r="C352" s="197"/>
      <c r="D352" s="198"/>
      <c r="E352" s="198"/>
      <c r="F352" s="199"/>
      <c r="G352" s="200"/>
      <c r="H352" s="201"/>
      <c r="I352" s="202"/>
      <c r="J352" s="201"/>
      <c r="K352" s="170"/>
      <c r="L352" s="171"/>
      <c r="M352" s="94"/>
      <c r="N352" s="94"/>
      <c r="O352" s="94"/>
      <c r="P352" s="94"/>
      <c r="Q352" s="94"/>
      <c r="R352" s="94"/>
      <c r="S352" s="94"/>
      <c r="T352" s="94"/>
      <c r="U352" s="94"/>
      <c r="V352" s="94"/>
    </row>
    <row r="353" ht="24.0" customHeight="1">
      <c r="A353" s="149"/>
      <c r="B353" s="150"/>
      <c r="C353" s="197"/>
      <c r="D353" s="198"/>
      <c r="E353" s="198"/>
      <c r="F353" s="199"/>
      <c r="G353" s="200"/>
      <c r="H353" s="201"/>
      <c r="I353" s="202"/>
      <c r="J353" s="201"/>
      <c r="K353" s="170"/>
      <c r="L353" s="171"/>
      <c r="M353" s="94"/>
      <c r="N353" s="94"/>
      <c r="O353" s="94"/>
      <c r="P353" s="94"/>
      <c r="Q353" s="94"/>
      <c r="R353" s="94"/>
      <c r="S353" s="94"/>
      <c r="T353" s="94"/>
      <c r="U353" s="94"/>
      <c r="V353" s="94"/>
    </row>
    <row r="354" ht="24.0" customHeight="1">
      <c r="A354" s="149"/>
      <c r="B354" s="150"/>
      <c r="C354" s="197"/>
      <c r="D354" s="198"/>
      <c r="E354" s="198"/>
      <c r="F354" s="199"/>
      <c r="G354" s="200"/>
      <c r="H354" s="201"/>
      <c r="I354" s="202"/>
      <c r="J354" s="201"/>
      <c r="K354" s="170"/>
      <c r="L354" s="171"/>
      <c r="M354" s="94"/>
      <c r="N354" s="94"/>
      <c r="O354" s="94"/>
      <c r="P354" s="94"/>
      <c r="Q354" s="94"/>
      <c r="R354" s="94"/>
      <c r="S354" s="94"/>
      <c r="T354" s="94"/>
      <c r="U354" s="94"/>
      <c r="V354" s="94"/>
    </row>
    <row r="355" ht="24.0" customHeight="1">
      <c r="A355" s="149"/>
      <c r="B355" s="150"/>
      <c r="C355" s="197"/>
      <c r="D355" s="198"/>
      <c r="E355" s="198"/>
      <c r="F355" s="199"/>
      <c r="G355" s="200"/>
      <c r="H355" s="201"/>
      <c r="I355" s="202"/>
      <c r="J355" s="201"/>
      <c r="K355" s="170"/>
      <c r="L355" s="171"/>
      <c r="M355" s="94"/>
      <c r="N355" s="94"/>
      <c r="O355" s="94"/>
      <c r="P355" s="94"/>
      <c r="Q355" s="94"/>
      <c r="R355" s="94"/>
      <c r="S355" s="94"/>
      <c r="T355" s="94"/>
      <c r="U355" s="94"/>
      <c r="V355" s="94"/>
    </row>
    <row r="356" ht="24.0" customHeight="1">
      <c r="A356" s="149"/>
      <c r="B356" s="150"/>
      <c r="C356" s="197"/>
      <c r="D356" s="198"/>
      <c r="E356" s="198"/>
      <c r="F356" s="199"/>
      <c r="G356" s="200"/>
      <c r="H356" s="201"/>
      <c r="I356" s="202"/>
      <c r="J356" s="201"/>
      <c r="K356" s="170"/>
      <c r="L356" s="171"/>
      <c r="M356" s="94"/>
      <c r="N356" s="94"/>
      <c r="O356" s="94"/>
      <c r="P356" s="94"/>
      <c r="Q356" s="94"/>
      <c r="R356" s="94"/>
      <c r="S356" s="94"/>
      <c r="T356" s="94"/>
      <c r="U356" s="94"/>
      <c r="V356" s="94"/>
    </row>
    <row r="357" ht="24.0" customHeight="1">
      <c r="A357" s="149"/>
      <c r="B357" s="150"/>
      <c r="C357" s="197"/>
      <c r="D357" s="198"/>
      <c r="E357" s="198"/>
      <c r="F357" s="199"/>
      <c r="G357" s="200"/>
      <c r="H357" s="201"/>
      <c r="I357" s="202"/>
      <c r="J357" s="201"/>
      <c r="K357" s="170"/>
      <c r="L357" s="171"/>
      <c r="M357" s="94"/>
      <c r="N357" s="94"/>
      <c r="O357" s="94"/>
      <c r="P357" s="94"/>
      <c r="Q357" s="94"/>
      <c r="R357" s="94"/>
      <c r="S357" s="94"/>
      <c r="T357" s="94"/>
      <c r="U357" s="94"/>
      <c r="V357" s="94"/>
    </row>
    <row r="358" ht="24.0" customHeight="1">
      <c r="A358" s="149"/>
      <c r="B358" s="150"/>
      <c r="C358" s="197"/>
      <c r="D358" s="198"/>
      <c r="E358" s="198"/>
      <c r="F358" s="199"/>
      <c r="G358" s="200"/>
      <c r="H358" s="201"/>
      <c r="I358" s="202"/>
      <c r="J358" s="201"/>
      <c r="K358" s="170"/>
      <c r="L358" s="171"/>
      <c r="M358" s="94"/>
      <c r="N358" s="94"/>
      <c r="O358" s="94"/>
      <c r="P358" s="94"/>
      <c r="Q358" s="94"/>
      <c r="R358" s="94"/>
      <c r="S358" s="94"/>
      <c r="T358" s="94"/>
      <c r="U358" s="94"/>
      <c r="V358" s="94"/>
    </row>
    <row r="359" ht="24.0" customHeight="1">
      <c r="A359" s="149"/>
      <c r="B359" s="150"/>
      <c r="C359" s="197"/>
      <c r="D359" s="198"/>
      <c r="E359" s="198"/>
      <c r="F359" s="199"/>
      <c r="G359" s="200"/>
      <c r="H359" s="201"/>
      <c r="I359" s="202"/>
      <c r="J359" s="201"/>
      <c r="K359" s="170"/>
      <c r="L359" s="171"/>
      <c r="M359" s="94"/>
      <c r="N359" s="94"/>
      <c r="O359" s="94"/>
      <c r="P359" s="94"/>
      <c r="Q359" s="94"/>
      <c r="R359" s="94"/>
      <c r="S359" s="94"/>
      <c r="T359" s="94"/>
      <c r="U359" s="94"/>
      <c r="V359" s="94"/>
    </row>
    <row r="360" ht="24.0" customHeight="1">
      <c r="A360" s="149"/>
      <c r="B360" s="150"/>
      <c r="C360" s="197"/>
      <c r="D360" s="198"/>
      <c r="E360" s="198"/>
      <c r="F360" s="199"/>
      <c r="G360" s="200"/>
      <c r="H360" s="201"/>
      <c r="I360" s="202"/>
      <c r="J360" s="201"/>
      <c r="K360" s="170"/>
      <c r="L360" s="171"/>
      <c r="M360" s="94"/>
      <c r="N360" s="94"/>
      <c r="O360" s="94"/>
      <c r="P360" s="94"/>
      <c r="Q360" s="94"/>
      <c r="R360" s="94"/>
      <c r="S360" s="94"/>
      <c r="T360" s="94"/>
      <c r="U360" s="94"/>
      <c r="V360" s="94"/>
    </row>
    <row r="361" ht="24.0" customHeight="1">
      <c r="A361" s="149"/>
      <c r="B361" s="150"/>
      <c r="C361" s="197"/>
      <c r="D361" s="198"/>
      <c r="E361" s="198"/>
      <c r="F361" s="199"/>
      <c r="G361" s="200"/>
      <c r="H361" s="201"/>
      <c r="I361" s="202"/>
      <c r="J361" s="201"/>
      <c r="K361" s="170"/>
      <c r="L361" s="171"/>
      <c r="M361" s="94"/>
      <c r="N361" s="94"/>
      <c r="O361" s="94"/>
      <c r="P361" s="94"/>
      <c r="Q361" s="94"/>
      <c r="R361" s="94"/>
      <c r="S361" s="94"/>
      <c r="T361" s="94"/>
      <c r="U361" s="94"/>
      <c r="V361" s="94"/>
    </row>
    <row r="362" ht="24.0" customHeight="1">
      <c r="A362" s="149"/>
      <c r="B362" s="150"/>
      <c r="C362" s="197"/>
      <c r="D362" s="198"/>
      <c r="E362" s="198"/>
      <c r="F362" s="199"/>
      <c r="G362" s="200"/>
      <c r="H362" s="201"/>
      <c r="I362" s="202"/>
      <c r="J362" s="201"/>
      <c r="K362" s="170"/>
      <c r="L362" s="171"/>
      <c r="M362" s="94"/>
      <c r="N362" s="94"/>
      <c r="O362" s="94"/>
      <c r="P362" s="94"/>
      <c r="Q362" s="94"/>
      <c r="R362" s="94"/>
      <c r="S362" s="94"/>
      <c r="T362" s="94"/>
      <c r="U362" s="94"/>
      <c r="V362" s="94"/>
    </row>
    <row r="363" ht="24.0" customHeight="1">
      <c r="A363" s="149"/>
      <c r="B363" s="150"/>
      <c r="C363" s="197"/>
      <c r="D363" s="198"/>
      <c r="E363" s="198"/>
      <c r="F363" s="199"/>
      <c r="G363" s="200"/>
      <c r="H363" s="201"/>
      <c r="I363" s="202"/>
      <c r="J363" s="201"/>
      <c r="K363" s="170"/>
      <c r="L363" s="171"/>
      <c r="M363" s="94"/>
      <c r="N363" s="94"/>
      <c r="O363" s="94"/>
      <c r="P363" s="94"/>
      <c r="Q363" s="94"/>
      <c r="R363" s="94"/>
      <c r="S363" s="94"/>
      <c r="T363" s="94"/>
      <c r="U363" s="94"/>
      <c r="V363" s="94"/>
    </row>
    <row r="364" ht="24.0" customHeight="1">
      <c r="A364" s="149"/>
      <c r="B364" s="150"/>
      <c r="C364" s="197"/>
      <c r="D364" s="198"/>
      <c r="E364" s="198"/>
      <c r="F364" s="199"/>
      <c r="G364" s="200"/>
      <c r="H364" s="201"/>
      <c r="I364" s="202"/>
      <c r="J364" s="201"/>
      <c r="K364" s="170"/>
      <c r="L364" s="171"/>
      <c r="M364" s="94"/>
      <c r="N364" s="94"/>
      <c r="O364" s="94"/>
      <c r="P364" s="94"/>
      <c r="Q364" s="94"/>
      <c r="R364" s="94"/>
      <c r="S364" s="94"/>
      <c r="T364" s="94"/>
      <c r="U364" s="94"/>
      <c r="V364" s="94"/>
    </row>
    <row r="365" ht="24.0" customHeight="1">
      <c r="A365" s="149"/>
      <c r="B365" s="150"/>
      <c r="C365" s="197"/>
      <c r="D365" s="198"/>
      <c r="E365" s="198"/>
      <c r="F365" s="199"/>
      <c r="G365" s="200"/>
      <c r="H365" s="201"/>
      <c r="I365" s="202"/>
      <c r="J365" s="201"/>
      <c r="K365" s="170"/>
      <c r="L365" s="171"/>
      <c r="M365" s="94"/>
      <c r="N365" s="94"/>
      <c r="O365" s="94"/>
      <c r="P365" s="94"/>
      <c r="Q365" s="94"/>
      <c r="R365" s="94"/>
      <c r="S365" s="94"/>
      <c r="T365" s="94"/>
      <c r="U365" s="94"/>
      <c r="V365" s="94"/>
    </row>
    <row r="366" ht="24.0" customHeight="1">
      <c r="A366" s="149"/>
      <c r="B366" s="150"/>
      <c r="C366" s="197"/>
      <c r="D366" s="198"/>
      <c r="E366" s="198"/>
      <c r="F366" s="199"/>
      <c r="G366" s="200"/>
      <c r="H366" s="201"/>
      <c r="I366" s="202"/>
      <c r="J366" s="201"/>
      <c r="K366" s="170"/>
      <c r="L366" s="171"/>
      <c r="M366" s="94"/>
      <c r="N366" s="94"/>
      <c r="O366" s="94"/>
      <c r="P366" s="94"/>
      <c r="Q366" s="94"/>
      <c r="R366" s="94"/>
      <c r="S366" s="94"/>
      <c r="T366" s="94"/>
      <c r="U366" s="94"/>
      <c r="V366" s="94"/>
    </row>
    <row r="367" ht="24.0" customHeight="1">
      <c r="A367" s="149"/>
      <c r="B367" s="150"/>
      <c r="C367" s="197"/>
      <c r="D367" s="198"/>
      <c r="E367" s="198"/>
      <c r="F367" s="199"/>
      <c r="G367" s="200"/>
      <c r="H367" s="201"/>
      <c r="I367" s="202"/>
      <c r="J367" s="201"/>
      <c r="K367" s="170"/>
      <c r="L367" s="171"/>
      <c r="M367" s="94"/>
      <c r="N367" s="94"/>
      <c r="O367" s="94"/>
      <c r="P367" s="94"/>
      <c r="Q367" s="94"/>
      <c r="R367" s="94"/>
      <c r="S367" s="94"/>
      <c r="T367" s="94"/>
      <c r="U367" s="94"/>
      <c r="V367" s="94"/>
    </row>
    <row r="368" ht="24.0" customHeight="1">
      <c r="A368" s="149"/>
      <c r="B368" s="150"/>
      <c r="C368" s="197"/>
      <c r="D368" s="198"/>
      <c r="E368" s="198"/>
      <c r="F368" s="199"/>
      <c r="G368" s="200"/>
      <c r="H368" s="201"/>
      <c r="I368" s="202"/>
      <c r="J368" s="201"/>
      <c r="K368" s="170"/>
      <c r="L368" s="171"/>
      <c r="M368" s="94"/>
      <c r="N368" s="94"/>
      <c r="O368" s="94"/>
      <c r="P368" s="94"/>
      <c r="Q368" s="94"/>
      <c r="R368" s="94"/>
      <c r="S368" s="94"/>
      <c r="T368" s="94"/>
      <c r="U368" s="94"/>
      <c r="V368" s="94"/>
    </row>
    <row r="369" ht="24.0" customHeight="1">
      <c r="A369" s="149"/>
      <c r="B369" s="150"/>
      <c r="C369" s="197"/>
      <c r="D369" s="198"/>
      <c r="E369" s="198"/>
      <c r="F369" s="199"/>
      <c r="G369" s="200"/>
      <c r="H369" s="201"/>
      <c r="I369" s="202"/>
      <c r="J369" s="201"/>
      <c r="K369" s="170"/>
      <c r="L369" s="171"/>
      <c r="M369" s="94"/>
      <c r="N369" s="94"/>
      <c r="O369" s="94"/>
      <c r="P369" s="94"/>
      <c r="Q369" s="94"/>
      <c r="R369" s="94"/>
      <c r="S369" s="94"/>
      <c r="T369" s="94"/>
      <c r="U369" s="94"/>
      <c r="V369" s="94"/>
    </row>
    <row r="370" ht="24.0" customHeight="1">
      <c r="A370" s="149"/>
      <c r="B370" s="150"/>
      <c r="C370" s="197"/>
      <c r="D370" s="198"/>
      <c r="E370" s="198"/>
      <c r="F370" s="199"/>
      <c r="G370" s="200"/>
      <c r="H370" s="201"/>
      <c r="I370" s="202"/>
      <c r="J370" s="201"/>
      <c r="K370" s="170"/>
      <c r="L370" s="171"/>
      <c r="M370" s="94"/>
      <c r="N370" s="94"/>
      <c r="O370" s="94"/>
      <c r="P370" s="94"/>
      <c r="Q370" s="94"/>
      <c r="R370" s="94"/>
      <c r="S370" s="94"/>
      <c r="T370" s="94"/>
      <c r="U370" s="94"/>
      <c r="V370" s="94"/>
    </row>
    <row r="371" ht="24.0" customHeight="1">
      <c r="A371" s="149"/>
      <c r="B371" s="150"/>
      <c r="C371" s="197"/>
      <c r="D371" s="198"/>
      <c r="E371" s="198"/>
      <c r="F371" s="199"/>
      <c r="G371" s="200"/>
      <c r="H371" s="201"/>
      <c r="I371" s="202"/>
      <c r="J371" s="201"/>
      <c r="K371" s="170"/>
      <c r="L371" s="171"/>
      <c r="M371" s="94"/>
      <c r="N371" s="94"/>
      <c r="O371" s="94"/>
      <c r="P371" s="94"/>
      <c r="Q371" s="94"/>
      <c r="R371" s="94"/>
      <c r="S371" s="94"/>
      <c r="T371" s="94"/>
      <c r="U371" s="94"/>
      <c r="V371" s="94"/>
    </row>
    <row r="372" ht="24.0" customHeight="1">
      <c r="A372" s="149"/>
      <c r="B372" s="150"/>
      <c r="C372" s="197"/>
      <c r="D372" s="198"/>
      <c r="E372" s="198"/>
      <c r="F372" s="199"/>
      <c r="G372" s="200"/>
      <c r="H372" s="201"/>
      <c r="I372" s="202"/>
      <c r="J372" s="201"/>
      <c r="K372" s="170"/>
      <c r="L372" s="171"/>
      <c r="M372" s="94"/>
      <c r="N372" s="94"/>
      <c r="O372" s="94"/>
      <c r="P372" s="94"/>
      <c r="Q372" s="94"/>
      <c r="R372" s="94"/>
      <c r="S372" s="94"/>
      <c r="T372" s="94"/>
      <c r="U372" s="94"/>
      <c r="V372" s="94"/>
    </row>
    <row r="373" ht="24.0" customHeight="1">
      <c r="A373" s="149"/>
      <c r="B373" s="150"/>
      <c r="C373" s="197"/>
      <c r="D373" s="198"/>
      <c r="E373" s="198"/>
      <c r="F373" s="199"/>
      <c r="G373" s="200"/>
      <c r="H373" s="201"/>
      <c r="I373" s="202"/>
      <c r="J373" s="201"/>
      <c r="K373" s="170"/>
      <c r="L373" s="171"/>
      <c r="M373" s="94"/>
      <c r="N373" s="94"/>
      <c r="O373" s="94"/>
      <c r="P373" s="94"/>
      <c r="Q373" s="94"/>
      <c r="R373" s="94"/>
      <c r="S373" s="94"/>
      <c r="T373" s="94"/>
      <c r="U373" s="94"/>
      <c r="V373" s="94"/>
    </row>
    <row r="374" ht="24.0" customHeight="1">
      <c r="A374" s="149"/>
      <c r="B374" s="150"/>
      <c r="C374" s="197"/>
      <c r="D374" s="198"/>
      <c r="E374" s="198"/>
      <c r="F374" s="199"/>
      <c r="G374" s="200"/>
      <c r="H374" s="201"/>
      <c r="I374" s="202"/>
      <c r="J374" s="201"/>
      <c r="K374" s="170"/>
      <c r="L374" s="171"/>
      <c r="M374" s="94"/>
      <c r="N374" s="94"/>
      <c r="O374" s="94"/>
      <c r="P374" s="94"/>
      <c r="Q374" s="94"/>
      <c r="R374" s="94"/>
      <c r="S374" s="94"/>
      <c r="T374" s="94"/>
      <c r="U374" s="94"/>
      <c r="V374" s="94"/>
    </row>
    <row r="375" ht="24.0" customHeight="1">
      <c r="A375" s="149"/>
      <c r="B375" s="150"/>
      <c r="C375" s="197"/>
      <c r="D375" s="198"/>
      <c r="E375" s="198"/>
      <c r="F375" s="199"/>
      <c r="G375" s="200"/>
      <c r="H375" s="201"/>
      <c r="I375" s="202"/>
      <c r="J375" s="201"/>
      <c r="K375" s="170"/>
      <c r="L375" s="171"/>
      <c r="M375" s="94"/>
      <c r="N375" s="94"/>
      <c r="O375" s="94"/>
      <c r="P375" s="94"/>
      <c r="Q375" s="94"/>
      <c r="R375" s="94"/>
      <c r="S375" s="94"/>
      <c r="T375" s="94"/>
      <c r="U375" s="94"/>
      <c r="V375" s="94"/>
    </row>
    <row r="376" ht="24.0" customHeight="1">
      <c r="A376" s="149"/>
      <c r="B376" s="150"/>
      <c r="C376" s="197"/>
      <c r="D376" s="198"/>
      <c r="E376" s="198"/>
      <c r="F376" s="199"/>
      <c r="G376" s="200"/>
      <c r="H376" s="201"/>
      <c r="I376" s="202"/>
      <c r="J376" s="201"/>
      <c r="K376" s="170"/>
      <c r="L376" s="171"/>
      <c r="M376" s="94"/>
      <c r="N376" s="94"/>
      <c r="O376" s="94"/>
      <c r="P376" s="94"/>
      <c r="Q376" s="94"/>
      <c r="R376" s="94"/>
      <c r="S376" s="94"/>
      <c r="T376" s="94"/>
      <c r="U376" s="94"/>
      <c r="V376" s="94"/>
    </row>
    <row r="377" ht="24.0" customHeight="1">
      <c r="A377" s="149"/>
      <c r="B377" s="150"/>
      <c r="C377" s="197"/>
      <c r="D377" s="198"/>
      <c r="E377" s="198"/>
      <c r="F377" s="199"/>
      <c r="G377" s="200"/>
      <c r="H377" s="201"/>
      <c r="I377" s="202"/>
      <c r="J377" s="201"/>
      <c r="K377" s="170"/>
      <c r="L377" s="171"/>
      <c r="M377" s="94"/>
      <c r="N377" s="94"/>
      <c r="O377" s="94"/>
      <c r="P377" s="94"/>
      <c r="Q377" s="94"/>
      <c r="R377" s="94"/>
      <c r="S377" s="94"/>
      <c r="T377" s="94"/>
      <c r="U377" s="94"/>
      <c r="V377" s="94"/>
    </row>
    <row r="378" ht="24.0" customHeight="1">
      <c r="A378" s="149"/>
      <c r="B378" s="150"/>
      <c r="C378" s="197"/>
      <c r="D378" s="198"/>
      <c r="E378" s="198"/>
      <c r="F378" s="199"/>
      <c r="G378" s="200"/>
      <c r="H378" s="201"/>
      <c r="I378" s="202"/>
      <c r="J378" s="201"/>
      <c r="K378" s="170"/>
      <c r="L378" s="171"/>
      <c r="M378" s="94"/>
      <c r="N378" s="94"/>
      <c r="O378" s="94"/>
      <c r="P378" s="94"/>
      <c r="Q378" s="94"/>
      <c r="R378" s="94"/>
      <c r="S378" s="94"/>
      <c r="T378" s="94"/>
      <c r="U378" s="94"/>
      <c r="V378" s="94"/>
    </row>
    <row r="379" ht="24.0" customHeight="1">
      <c r="A379" s="149"/>
      <c r="B379" s="150"/>
      <c r="C379" s="197"/>
      <c r="D379" s="198"/>
      <c r="E379" s="198"/>
      <c r="F379" s="199"/>
      <c r="G379" s="200"/>
      <c r="H379" s="201"/>
      <c r="I379" s="202"/>
      <c r="J379" s="201"/>
      <c r="K379" s="170"/>
      <c r="L379" s="171"/>
      <c r="M379" s="94"/>
      <c r="N379" s="94"/>
      <c r="O379" s="94"/>
      <c r="P379" s="94"/>
      <c r="Q379" s="94"/>
      <c r="R379" s="94"/>
      <c r="S379" s="94"/>
      <c r="T379" s="94"/>
      <c r="U379" s="94"/>
      <c r="V379" s="94"/>
    </row>
    <row r="380" ht="24.0" customHeight="1">
      <c r="A380" s="149"/>
      <c r="B380" s="150"/>
      <c r="C380" s="197"/>
      <c r="D380" s="198"/>
      <c r="E380" s="198"/>
      <c r="F380" s="199"/>
      <c r="G380" s="200"/>
      <c r="H380" s="201"/>
      <c r="I380" s="202"/>
      <c r="J380" s="201"/>
      <c r="K380" s="170"/>
      <c r="L380" s="171"/>
      <c r="M380" s="94"/>
      <c r="N380" s="94"/>
      <c r="O380" s="94"/>
      <c r="P380" s="94"/>
      <c r="Q380" s="94"/>
      <c r="R380" s="94"/>
      <c r="S380" s="94"/>
      <c r="T380" s="94"/>
      <c r="U380" s="94"/>
      <c r="V380" s="94"/>
    </row>
    <row r="381" ht="24.0" customHeight="1">
      <c r="A381" s="149"/>
      <c r="B381" s="150"/>
      <c r="C381" s="197"/>
      <c r="D381" s="198"/>
      <c r="E381" s="198"/>
      <c r="F381" s="199"/>
      <c r="G381" s="200"/>
      <c r="H381" s="201"/>
      <c r="I381" s="202"/>
      <c r="J381" s="201"/>
      <c r="K381" s="170"/>
      <c r="L381" s="171"/>
      <c r="M381" s="94"/>
      <c r="N381" s="94"/>
      <c r="O381" s="94"/>
      <c r="P381" s="94"/>
      <c r="Q381" s="94"/>
      <c r="R381" s="94"/>
      <c r="S381" s="94"/>
      <c r="T381" s="94"/>
      <c r="U381" s="94"/>
      <c r="V381" s="94"/>
    </row>
    <row r="382" ht="24.0" customHeight="1">
      <c r="A382" s="149"/>
      <c r="B382" s="150"/>
      <c r="C382" s="197"/>
      <c r="D382" s="198"/>
      <c r="E382" s="198"/>
      <c r="F382" s="199"/>
      <c r="G382" s="200"/>
      <c r="H382" s="201"/>
      <c r="I382" s="202"/>
      <c r="J382" s="201"/>
      <c r="K382" s="170"/>
      <c r="L382" s="171"/>
      <c r="M382" s="94"/>
      <c r="N382" s="94"/>
      <c r="O382" s="94"/>
      <c r="P382" s="94"/>
      <c r="Q382" s="94"/>
      <c r="R382" s="94"/>
      <c r="S382" s="94"/>
      <c r="T382" s="94"/>
      <c r="U382" s="94"/>
      <c r="V382" s="94"/>
    </row>
    <row r="383" ht="24.0" customHeight="1">
      <c r="A383" s="149"/>
      <c r="B383" s="150"/>
      <c r="C383" s="197"/>
      <c r="D383" s="198"/>
      <c r="E383" s="198"/>
      <c r="F383" s="199"/>
      <c r="G383" s="200"/>
      <c r="H383" s="201"/>
      <c r="I383" s="202"/>
      <c r="J383" s="201"/>
      <c r="K383" s="170"/>
      <c r="L383" s="171"/>
      <c r="M383" s="94"/>
      <c r="N383" s="94"/>
      <c r="O383" s="94"/>
      <c r="P383" s="94"/>
      <c r="Q383" s="94"/>
      <c r="R383" s="94"/>
      <c r="S383" s="94"/>
      <c r="T383" s="94"/>
      <c r="U383" s="94"/>
      <c r="V383" s="94"/>
    </row>
    <row r="384" ht="24.0" customHeight="1">
      <c r="A384" s="149"/>
      <c r="B384" s="150"/>
      <c r="C384" s="197"/>
      <c r="D384" s="198"/>
      <c r="E384" s="198"/>
      <c r="F384" s="199"/>
      <c r="G384" s="200"/>
      <c r="H384" s="201"/>
      <c r="I384" s="202"/>
      <c r="J384" s="201"/>
      <c r="K384" s="170"/>
      <c r="L384" s="171"/>
      <c r="M384" s="94"/>
      <c r="N384" s="94"/>
      <c r="O384" s="94"/>
      <c r="P384" s="94"/>
      <c r="Q384" s="94"/>
      <c r="R384" s="94"/>
      <c r="S384" s="94"/>
      <c r="T384" s="94"/>
      <c r="U384" s="94"/>
      <c r="V384" s="94"/>
    </row>
    <row r="385" ht="24.0" customHeight="1">
      <c r="A385" s="149"/>
      <c r="B385" s="150"/>
      <c r="C385" s="197"/>
      <c r="D385" s="198"/>
      <c r="E385" s="198"/>
      <c r="F385" s="199"/>
      <c r="G385" s="200"/>
      <c r="H385" s="201"/>
      <c r="I385" s="202"/>
      <c r="J385" s="201"/>
      <c r="K385" s="170"/>
      <c r="L385" s="171"/>
      <c r="M385" s="94"/>
      <c r="N385" s="94"/>
      <c r="O385" s="94"/>
      <c r="P385" s="94"/>
      <c r="Q385" s="94"/>
      <c r="R385" s="94"/>
      <c r="S385" s="94"/>
      <c r="T385" s="94"/>
      <c r="U385" s="94"/>
      <c r="V385" s="94"/>
    </row>
    <row r="386" ht="24.0" customHeight="1">
      <c r="A386" s="149"/>
      <c r="B386" s="150"/>
      <c r="C386" s="197"/>
      <c r="D386" s="198"/>
      <c r="E386" s="198"/>
      <c r="F386" s="199"/>
      <c r="G386" s="200"/>
      <c r="H386" s="201"/>
      <c r="I386" s="202"/>
      <c r="J386" s="201"/>
      <c r="K386" s="170"/>
      <c r="L386" s="171"/>
      <c r="M386" s="94"/>
      <c r="N386" s="94"/>
      <c r="O386" s="94"/>
      <c r="P386" s="94"/>
      <c r="Q386" s="94"/>
      <c r="R386" s="94"/>
      <c r="S386" s="94"/>
      <c r="T386" s="94"/>
      <c r="U386" s="94"/>
      <c r="V386" s="94"/>
    </row>
    <row r="387" ht="24.0" customHeight="1">
      <c r="A387" s="149"/>
      <c r="B387" s="150"/>
      <c r="C387" s="197"/>
      <c r="D387" s="198"/>
      <c r="E387" s="198"/>
      <c r="F387" s="199"/>
      <c r="G387" s="200"/>
      <c r="H387" s="201"/>
      <c r="I387" s="202"/>
      <c r="J387" s="201"/>
      <c r="K387" s="170"/>
      <c r="L387" s="171"/>
      <c r="M387" s="94"/>
      <c r="N387" s="94"/>
      <c r="O387" s="94"/>
      <c r="P387" s="94"/>
      <c r="Q387" s="94"/>
      <c r="R387" s="94"/>
      <c r="S387" s="94"/>
      <c r="T387" s="94"/>
      <c r="U387" s="94"/>
      <c r="V387" s="94"/>
    </row>
    <row r="388" ht="24.0" customHeight="1">
      <c r="A388" s="149"/>
      <c r="B388" s="150"/>
      <c r="C388" s="197"/>
      <c r="D388" s="198"/>
      <c r="E388" s="198"/>
      <c r="F388" s="199"/>
      <c r="G388" s="200"/>
      <c r="H388" s="201"/>
      <c r="I388" s="202"/>
      <c r="J388" s="201"/>
      <c r="K388" s="170"/>
      <c r="L388" s="171"/>
      <c r="M388" s="94"/>
      <c r="N388" s="94"/>
      <c r="O388" s="94"/>
      <c r="P388" s="94"/>
      <c r="Q388" s="94"/>
      <c r="R388" s="94"/>
      <c r="S388" s="94"/>
      <c r="T388" s="94"/>
      <c r="U388" s="94"/>
      <c r="V388" s="94"/>
    </row>
    <row r="389" ht="24.0" customHeight="1">
      <c r="A389" s="149"/>
      <c r="B389" s="150"/>
      <c r="C389" s="197"/>
      <c r="D389" s="198"/>
      <c r="E389" s="198"/>
      <c r="F389" s="199"/>
      <c r="G389" s="200"/>
      <c r="H389" s="201"/>
      <c r="I389" s="202"/>
      <c r="J389" s="201"/>
      <c r="K389" s="170"/>
      <c r="L389" s="171"/>
      <c r="M389" s="94"/>
      <c r="N389" s="94"/>
      <c r="O389" s="94"/>
      <c r="P389" s="94"/>
      <c r="Q389" s="94"/>
      <c r="R389" s="94"/>
      <c r="S389" s="94"/>
      <c r="T389" s="94"/>
      <c r="U389" s="94"/>
      <c r="V389" s="94"/>
    </row>
    <row r="390" ht="24.0" customHeight="1">
      <c r="A390" s="149"/>
      <c r="B390" s="150"/>
      <c r="C390" s="197"/>
      <c r="D390" s="198"/>
      <c r="E390" s="198"/>
      <c r="F390" s="199"/>
      <c r="G390" s="200"/>
      <c r="H390" s="201"/>
      <c r="I390" s="202"/>
      <c r="J390" s="201"/>
      <c r="K390" s="170"/>
      <c r="L390" s="171"/>
      <c r="M390" s="94"/>
      <c r="N390" s="94"/>
      <c r="O390" s="94"/>
      <c r="P390" s="94"/>
      <c r="Q390" s="94"/>
      <c r="R390" s="94"/>
      <c r="S390" s="94"/>
      <c r="T390" s="94"/>
      <c r="U390" s="94"/>
      <c r="V390" s="94"/>
    </row>
    <row r="391" ht="24.0" customHeight="1">
      <c r="A391" s="149"/>
      <c r="B391" s="150"/>
      <c r="C391" s="197"/>
      <c r="D391" s="198"/>
      <c r="E391" s="198"/>
      <c r="F391" s="199"/>
      <c r="G391" s="200"/>
      <c r="H391" s="201"/>
      <c r="I391" s="202"/>
      <c r="J391" s="201"/>
      <c r="K391" s="170"/>
      <c r="L391" s="171"/>
      <c r="M391" s="94"/>
      <c r="N391" s="94"/>
      <c r="O391" s="94"/>
      <c r="P391" s="94"/>
      <c r="Q391" s="94"/>
      <c r="R391" s="94"/>
      <c r="S391" s="94"/>
      <c r="T391" s="94"/>
      <c r="U391" s="94"/>
      <c r="V391" s="94"/>
    </row>
    <row r="392" ht="24.0" customHeight="1">
      <c r="A392" s="149"/>
      <c r="B392" s="150"/>
      <c r="C392" s="197"/>
      <c r="D392" s="198"/>
      <c r="E392" s="198"/>
      <c r="F392" s="199"/>
      <c r="G392" s="200"/>
      <c r="H392" s="201"/>
      <c r="I392" s="202"/>
      <c r="J392" s="201"/>
      <c r="K392" s="170"/>
      <c r="L392" s="171"/>
      <c r="M392" s="94"/>
      <c r="N392" s="94"/>
      <c r="O392" s="94"/>
      <c r="P392" s="94"/>
      <c r="Q392" s="94"/>
      <c r="R392" s="94"/>
      <c r="S392" s="94"/>
      <c r="T392" s="94"/>
      <c r="U392" s="94"/>
      <c r="V392" s="94"/>
    </row>
    <row r="393" ht="24.0" customHeight="1">
      <c r="A393" s="149"/>
      <c r="B393" s="150"/>
      <c r="C393" s="197"/>
      <c r="D393" s="198"/>
      <c r="E393" s="198"/>
      <c r="F393" s="199"/>
      <c r="G393" s="200"/>
      <c r="H393" s="201"/>
      <c r="I393" s="202"/>
      <c r="J393" s="201"/>
      <c r="K393" s="170"/>
      <c r="L393" s="171"/>
      <c r="M393" s="94"/>
      <c r="N393" s="94"/>
      <c r="O393" s="94"/>
      <c r="P393" s="94"/>
      <c r="Q393" s="94"/>
      <c r="R393" s="94"/>
      <c r="S393" s="94"/>
      <c r="T393" s="94"/>
      <c r="U393" s="94"/>
      <c r="V393" s="94"/>
    </row>
    <row r="394" ht="24.0" customHeight="1">
      <c r="A394" s="149"/>
      <c r="B394" s="150"/>
      <c r="C394" s="197"/>
      <c r="D394" s="198"/>
      <c r="E394" s="198"/>
      <c r="F394" s="199"/>
      <c r="G394" s="200"/>
      <c r="H394" s="201"/>
      <c r="I394" s="202"/>
      <c r="J394" s="201"/>
      <c r="K394" s="170"/>
      <c r="L394" s="171"/>
      <c r="M394" s="94"/>
      <c r="N394" s="94"/>
      <c r="O394" s="94"/>
      <c r="P394" s="94"/>
      <c r="Q394" s="94"/>
      <c r="R394" s="94"/>
      <c r="S394" s="94"/>
      <c r="T394" s="94"/>
      <c r="U394" s="94"/>
      <c r="V394" s="94"/>
    </row>
    <row r="395" ht="24.0" customHeight="1">
      <c r="A395" s="149"/>
      <c r="B395" s="150"/>
      <c r="C395" s="197"/>
      <c r="D395" s="198"/>
      <c r="E395" s="198"/>
      <c r="F395" s="199"/>
      <c r="G395" s="200"/>
      <c r="H395" s="201"/>
      <c r="I395" s="202"/>
      <c r="J395" s="201"/>
      <c r="K395" s="170"/>
      <c r="L395" s="171"/>
      <c r="M395" s="94"/>
      <c r="N395" s="94"/>
      <c r="O395" s="94"/>
      <c r="P395" s="94"/>
      <c r="Q395" s="94"/>
      <c r="R395" s="94"/>
      <c r="S395" s="94"/>
      <c r="T395" s="94"/>
      <c r="U395" s="94"/>
      <c r="V395" s="94"/>
    </row>
    <row r="396" ht="24.0" customHeight="1">
      <c r="A396" s="149"/>
      <c r="B396" s="150"/>
      <c r="C396" s="197"/>
      <c r="D396" s="198"/>
      <c r="E396" s="198"/>
      <c r="F396" s="199"/>
      <c r="G396" s="200"/>
      <c r="H396" s="201"/>
      <c r="I396" s="202"/>
      <c r="J396" s="201"/>
      <c r="K396" s="170"/>
      <c r="L396" s="171"/>
      <c r="M396" s="94"/>
      <c r="N396" s="94"/>
      <c r="O396" s="94"/>
      <c r="P396" s="94"/>
      <c r="Q396" s="94"/>
      <c r="R396" s="94"/>
      <c r="S396" s="94"/>
      <c r="T396" s="94"/>
      <c r="U396" s="94"/>
      <c r="V396" s="94"/>
    </row>
    <row r="397" ht="24.0" customHeight="1">
      <c r="A397" s="149"/>
      <c r="B397" s="150"/>
      <c r="C397" s="197"/>
      <c r="D397" s="198"/>
      <c r="E397" s="198"/>
      <c r="F397" s="199"/>
      <c r="G397" s="200"/>
      <c r="H397" s="201"/>
      <c r="I397" s="202"/>
      <c r="J397" s="201"/>
      <c r="K397" s="170"/>
      <c r="L397" s="171"/>
      <c r="M397" s="94"/>
      <c r="N397" s="94"/>
      <c r="O397" s="94"/>
      <c r="P397" s="94"/>
      <c r="Q397" s="94"/>
      <c r="R397" s="94"/>
      <c r="S397" s="94"/>
      <c r="T397" s="94"/>
      <c r="U397" s="94"/>
      <c r="V397" s="94"/>
    </row>
    <row r="398" ht="24.0" customHeight="1">
      <c r="A398" s="149"/>
      <c r="B398" s="150"/>
      <c r="C398" s="197"/>
      <c r="D398" s="198"/>
      <c r="E398" s="198"/>
      <c r="F398" s="199"/>
      <c r="G398" s="200"/>
      <c r="H398" s="201"/>
      <c r="I398" s="202"/>
      <c r="J398" s="201"/>
      <c r="K398" s="170"/>
      <c r="L398" s="171"/>
      <c r="M398" s="94"/>
      <c r="N398" s="94"/>
      <c r="O398" s="94"/>
      <c r="P398" s="94"/>
      <c r="Q398" s="94"/>
      <c r="R398" s="94"/>
      <c r="S398" s="94"/>
      <c r="T398" s="94"/>
      <c r="U398" s="94"/>
      <c r="V398" s="94"/>
    </row>
    <row r="399" ht="24.0" customHeight="1">
      <c r="A399" s="149"/>
      <c r="B399" s="150"/>
      <c r="C399" s="197"/>
      <c r="D399" s="198"/>
      <c r="E399" s="198"/>
      <c r="F399" s="199"/>
      <c r="G399" s="200"/>
      <c r="H399" s="201"/>
      <c r="I399" s="202"/>
      <c r="J399" s="201"/>
      <c r="K399" s="170"/>
      <c r="L399" s="171"/>
      <c r="M399" s="94"/>
      <c r="N399" s="94"/>
      <c r="O399" s="94"/>
      <c r="P399" s="94"/>
      <c r="Q399" s="94"/>
      <c r="R399" s="94"/>
      <c r="S399" s="94"/>
      <c r="T399" s="94"/>
      <c r="U399" s="94"/>
      <c r="V399" s="94"/>
    </row>
    <row r="400" ht="24.0" customHeight="1">
      <c r="A400" s="149"/>
      <c r="B400" s="150"/>
      <c r="C400" s="197"/>
      <c r="D400" s="198"/>
      <c r="E400" s="198"/>
      <c r="F400" s="199"/>
      <c r="G400" s="200"/>
      <c r="H400" s="201"/>
      <c r="I400" s="202"/>
      <c r="J400" s="201"/>
      <c r="K400" s="170"/>
      <c r="L400" s="171"/>
      <c r="M400" s="94"/>
      <c r="N400" s="94"/>
      <c r="O400" s="94"/>
      <c r="P400" s="94"/>
      <c r="Q400" s="94"/>
      <c r="R400" s="94"/>
      <c r="S400" s="94"/>
      <c r="T400" s="94"/>
      <c r="U400" s="94"/>
      <c r="V400" s="94"/>
    </row>
    <row r="401" ht="24.0" customHeight="1">
      <c r="A401" s="149"/>
      <c r="B401" s="150"/>
      <c r="C401" s="197"/>
      <c r="D401" s="198"/>
      <c r="E401" s="198"/>
      <c r="F401" s="199"/>
      <c r="G401" s="200"/>
      <c r="H401" s="201"/>
      <c r="I401" s="202"/>
      <c r="J401" s="201"/>
      <c r="K401" s="170"/>
      <c r="L401" s="171"/>
      <c r="M401" s="94"/>
      <c r="N401" s="94"/>
      <c r="O401" s="94"/>
      <c r="P401" s="94"/>
      <c r="Q401" s="94"/>
      <c r="R401" s="94"/>
      <c r="S401" s="94"/>
      <c r="T401" s="94"/>
      <c r="U401" s="94"/>
      <c r="V401" s="94"/>
    </row>
    <row r="402" ht="24.0" customHeight="1">
      <c r="A402" s="149"/>
      <c r="B402" s="150"/>
      <c r="C402" s="197"/>
      <c r="D402" s="198"/>
      <c r="E402" s="198"/>
      <c r="F402" s="199"/>
      <c r="G402" s="200"/>
      <c r="H402" s="201"/>
      <c r="I402" s="202"/>
      <c r="J402" s="201"/>
      <c r="K402" s="170"/>
      <c r="L402" s="171"/>
      <c r="M402" s="94"/>
      <c r="N402" s="94"/>
      <c r="O402" s="94"/>
      <c r="P402" s="94"/>
      <c r="Q402" s="94"/>
      <c r="R402" s="94"/>
      <c r="S402" s="94"/>
      <c r="T402" s="94"/>
      <c r="U402" s="94"/>
      <c r="V402" s="94"/>
    </row>
    <row r="403" ht="24.0" customHeight="1">
      <c r="A403" s="149"/>
      <c r="B403" s="150"/>
      <c r="C403" s="197"/>
      <c r="D403" s="198"/>
      <c r="E403" s="198"/>
      <c r="F403" s="199"/>
      <c r="G403" s="200"/>
      <c r="H403" s="201"/>
      <c r="I403" s="202"/>
      <c r="J403" s="201"/>
      <c r="K403" s="170"/>
      <c r="L403" s="171"/>
      <c r="M403" s="94"/>
      <c r="N403" s="94"/>
      <c r="O403" s="94"/>
      <c r="P403" s="94"/>
      <c r="Q403" s="94"/>
      <c r="R403" s="94"/>
      <c r="S403" s="94"/>
      <c r="T403" s="94"/>
      <c r="U403" s="94"/>
      <c r="V403" s="94"/>
    </row>
    <row r="404" ht="24.0" customHeight="1">
      <c r="A404" s="149"/>
      <c r="B404" s="150"/>
      <c r="C404" s="197"/>
      <c r="D404" s="198"/>
      <c r="E404" s="198"/>
      <c r="F404" s="199"/>
      <c r="G404" s="200"/>
      <c r="H404" s="201"/>
      <c r="I404" s="202"/>
      <c r="J404" s="201"/>
      <c r="K404" s="170"/>
      <c r="L404" s="171"/>
      <c r="M404" s="94"/>
      <c r="N404" s="94"/>
      <c r="O404" s="94"/>
      <c r="P404" s="94"/>
      <c r="Q404" s="94"/>
      <c r="R404" s="94"/>
      <c r="S404" s="94"/>
      <c r="T404" s="94"/>
      <c r="U404" s="94"/>
      <c r="V404" s="94"/>
    </row>
    <row r="405" ht="24.0" customHeight="1">
      <c r="A405" s="149"/>
      <c r="B405" s="150"/>
      <c r="C405" s="197"/>
      <c r="D405" s="198"/>
      <c r="E405" s="198"/>
      <c r="F405" s="199"/>
      <c r="G405" s="200"/>
      <c r="H405" s="201"/>
      <c r="I405" s="202"/>
      <c r="J405" s="201"/>
      <c r="K405" s="170"/>
      <c r="L405" s="171"/>
      <c r="M405" s="94"/>
      <c r="N405" s="94"/>
      <c r="O405" s="94"/>
      <c r="P405" s="94"/>
      <c r="Q405" s="94"/>
      <c r="R405" s="94"/>
      <c r="S405" s="94"/>
      <c r="T405" s="94"/>
      <c r="U405" s="94"/>
      <c r="V405" s="94"/>
    </row>
    <row r="406" ht="24.0" customHeight="1">
      <c r="A406" s="149"/>
      <c r="B406" s="150"/>
      <c r="C406" s="197"/>
      <c r="D406" s="198"/>
      <c r="E406" s="198"/>
      <c r="F406" s="199"/>
      <c r="G406" s="200"/>
      <c r="H406" s="201"/>
      <c r="I406" s="202"/>
      <c r="J406" s="201"/>
      <c r="K406" s="170"/>
      <c r="L406" s="171"/>
      <c r="M406" s="94"/>
      <c r="N406" s="94"/>
      <c r="O406" s="94"/>
      <c r="P406" s="94"/>
      <c r="Q406" s="94"/>
      <c r="R406" s="94"/>
      <c r="S406" s="94"/>
      <c r="T406" s="94"/>
      <c r="U406" s="94"/>
      <c r="V406" s="94"/>
    </row>
    <row r="407" ht="24.0" customHeight="1">
      <c r="A407" s="149"/>
      <c r="B407" s="150"/>
      <c r="C407" s="197"/>
      <c r="D407" s="198"/>
      <c r="E407" s="198"/>
      <c r="F407" s="199"/>
      <c r="G407" s="200"/>
      <c r="H407" s="201"/>
      <c r="I407" s="202"/>
      <c r="J407" s="201"/>
      <c r="K407" s="170"/>
      <c r="L407" s="171"/>
      <c r="M407" s="94"/>
      <c r="N407" s="94"/>
      <c r="O407" s="94"/>
      <c r="P407" s="94"/>
      <c r="Q407" s="94"/>
      <c r="R407" s="94"/>
      <c r="S407" s="94"/>
      <c r="T407" s="94"/>
      <c r="U407" s="94"/>
      <c r="V407" s="94"/>
    </row>
    <row r="408" ht="24.0" customHeight="1">
      <c r="A408" s="149"/>
      <c r="B408" s="150"/>
      <c r="C408" s="197"/>
      <c r="D408" s="198"/>
      <c r="E408" s="198"/>
      <c r="F408" s="199"/>
      <c r="G408" s="200"/>
      <c r="H408" s="201"/>
      <c r="I408" s="202"/>
      <c r="J408" s="201"/>
      <c r="K408" s="170"/>
      <c r="L408" s="171"/>
      <c r="M408" s="94"/>
      <c r="N408" s="94"/>
      <c r="O408" s="94"/>
      <c r="P408" s="94"/>
      <c r="Q408" s="94"/>
      <c r="R408" s="94"/>
      <c r="S408" s="94"/>
      <c r="T408" s="94"/>
      <c r="U408" s="94"/>
      <c r="V408" s="94"/>
    </row>
    <row r="409" ht="24.0" customHeight="1">
      <c r="A409" s="149"/>
      <c r="B409" s="150"/>
      <c r="C409" s="197"/>
      <c r="D409" s="198"/>
      <c r="E409" s="198"/>
      <c r="F409" s="199"/>
      <c r="G409" s="200"/>
      <c r="H409" s="201"/>
      <c r="I409" s="202"/>
      <c r="J409" s="201"/>
      <c r="K409" s="170"/>
      <c r="L409" s="171"/>
      <c r="M409" s="94"/>
      <c r="N409" s="94"/>
      <c r="O409" s="94"/>
      <c r="P409" s="94"/>
      <c r="Q409" s="94"/>
      <c r="R409" s="94"/>
      <c r="S409" s="94"/>
      <c r="T409" s="94"/>
      <c r="U409" s="94"/>
      <c r="V409" s="94"/>
    </row>
    <row r="410" ht="24.0" customHeight="1">
      <c r="A410" s="149"/>
      <c r="B410" s="150"/>
      <c r="C410" s="197"/>
      <c r="D410" s="198"/>
      <c r="E410" s="198"/>
      <c r="F410" s="199"/>
      <c r="G410" s="200"/>
      <c r="H410" s="201"/>
      <c r="I410" s="202"/>
      <c r="J410" s="201"/>
      <c r="K410" s="170"/>
      <c r="L410" s="171"/>
      <c r="M410" s="94"/>
      <c r="N410" s="94"/>
      <c r="O410" s="94"/>
      <c r="P410" s="94"/>
      <c r="Q410" s="94"/>
      <c r="R410" s="94"/>
      <c r="S410" s="94"/>
      <c r="T410" s="94"/>
      <c r="U410" s="94"/>
      <c r="V410" s="94"/>
    </row>
    <row r="411" ht="24.0" customHeight="1">
      <c r="A411" s="149"/>
      <c r="B411" s="150"/>
      <c r="C411" s="197"/>
      <c r="D411" s="198"/>
      <c r="E411" s="198"/>
      <c r="F411" s="199"/>
      <c r="G411" s="200"/>
      <c r="H411" s="201"/>
      <c r="I411" s="202"/>
      <c r="J411" s="201"/>
      <c r="K411" s="170"/>
      <c r="L411" s="171"/>
      <c r="M411" s="94"/>
      <c r="N411" s="94"/>
      <c r="O411" s="94"/>
      <c r="P411" s="94"/>
      <c r="Q411" s="94"/>
      <c r="R411" s="94"/>
      <c r="S411" s="94"/>
      <c r="T411" s="94"/>
      <c r="U411" s="94"/>
      <c r="V411" s="94"/>
    </row>
    <row r="412" ht="24.0" customHeight="1">
      <c r="A412" s="149"/>
      <c r="B412" s="150"/>
      <c r="C412" s="197"/>
      <c r="D412" s="198"/>
      <c r="E412" s="198"/>
      <c r="F412" s="199"/>
      <c r="G412" s="200"/>
      <c r="H412" s="201"/>
      <c r="I412" s="202"/>
      <c r="J412" s="201"/>
      <c r="K412" s="170"/>
      <c r="L412" s="171"/>
      <c r="M412" s="94"/>
      <c r="N412" s="94"/>
      <c r="O412" s="94"/>
      <c r="P412" s="94"/>
      <c r="Q412" s="94"/>
      <c r="R412" s="94"/>
      <c r="S412" s="94"/>
      <c r="T412" s="94"/>
      <c r="U412" s="94"/>
      <c r="V412" s="94"/>
    </row>
    <row r="413" ht="24.0" customHeight="1">
      <c r="A413" s="149"/>
      <c r="B413" s="150"/>
      <c r="C413" s="197"/>
      <c r="D413" s="198"/>
      <c r="E413" s="198"/>
      <c r="F413" s="199"/>
      <c r="G413" s="200"/>
      <c r="H413" s="201"/>
      <c r="I413" s="202"/>
      <c r="J413" s="201"/>
      <c r="K413" s="170"/>
      <c r="L413" s="171"/>
      <c r="M413" s="94"/>
      <c r="N413" s="94"/>
      <c r="O413" s="94"/>
      <c r="P413" s="94"/>
      <c r="Q413" s="94"/>
      <c r="R413" s="94"/>
      <c r="S413" s="94"/>
      <c r="T413" s="94"/>
      <c r="U413" s="94"/>
      <c r="V413" s="94"/>
    </row>
    <row r="414" ht="24.0" customHeight="1">
      <c r="A414" s="149"/>
      <c r="B414" s="150"/>
      <c r="C414" s="197"/>
      <c r="D414" s="198"/>
      <c r="E414" s="198"/>
      <c r="F414" s="199"/>
      <c r="G414" s="200"/>
      <c r="H414" s="201"/>
      <c r="I414" s="202"/>
      <c r="J414" s="201"/>
      <c r="K414" s="170"/>
      <c r="L414" s="171"/>
      <c r="M414" s="94"/>
      <c r="N414" s="94"/>
      <c r="O414" s="94"/>
      <c r="P414" s="94"/>
      <c r="Q414" s="94"/>
      <c r="R414" s="94"/>
      <c r="S414" s="94"/>
      <c r="T414" s="94"/>
      <c r="U414" s="94"/>
      <c r="V414" s="94"/>
    </row>
    <row r="415" ht="24.0" customHeight="1">
      <c r="A415" s="149"/>
      <c r="B415" s="150"/>
      <c r="C415" s="197"/>
      <c r="D415" s="198"/>
      <c r="E415" s="198"/>
      <c r="F415" s="199"/>
      <c r="G415" s="200"/>
      <c r="H415" s="201"/>
      <c r="I415" s="202"/>
      <c r="J415" s="201"/>
      <c r="K415" s="170"/>
      <c r="L415" s="171"/>
      <c r="M415" s="94"/>
      <c r="N415" s="94"/>
      <c r="O415" s="94"/>
      <c r="P415" s="94"/>
      <c r="Q415" s="94"/>
      <c r="R415" s="94"/>
      <c r="S415" s="94"/>
      <c r="T415" s="94"/>
      <c r="U415" s="94"/>
      <c r="V415" s="94"/>
    </row>
    <row r="416" ht="24.0" customHeight="1">
      <c r="A416" s="149"/>
      <c r="B416" s="150"/>
      <c r="C416" s="197"/>
      <c r="D416" s="198"/>
      <c r="E416" s="198"/>
      <c r="F416" s="199"/>
      <c r="G416" s="200"/>
      <c r="H416" s="201"/>
      <c r="I416" s="202"/>
      <c r="J416" s="201"/>
      <c r="K416" s="170"/>
      <c r="L416" s="171"/>
      <c r="M416" s="94"/>
      <c r="N416" s="94"/>
      <c r="O416" s="94"/>
      <c r="P416" s="94"/>
      <c r="Q416" s="94"/>
      <c r="R416" s="94"/>
      <c r="S416" s="94"/>
      <c r="T416" s="94"/>
      <c r="U416" s="94"/>
      <c r="V416" s="94"/>
    </row>
    <row r="417" ht="24.0" customHeight="1">
      <c r="A417" s="149"/>
      <c r="B417" s="150"/>
      <c r="C417" s="197"/>
      <c r="D417" s="198"/>
      <c r="E417" s="198"/>
      <c r="F417" s="199"/>
      <c r="G417" s="200"/>
      <c r="H417" s="201"/>
      <c r="I417" s="202"/>
      <c r="J417" s="201"/>
      <c r="K417" s="170"/>
      <c r="L417" s="171"/>
      <c r="M417" s="94"/>
      <c r="N417" s="94"/>
      <c r="O417" s="94"/>
      <c r="P417" s="94"/>
      <c r="Q417" s="94"/>
      <c r="R417" s="94"/>
      <c r="S417" s="94"/>
      <c r="T417" s="94"/>
      <c r="U417" s="94"/>
      <c r="V417" s="94"/>
    </row>
    <row r="418" ht="24.0" customHeight="1">
      <c r="A418" s="149"/>
      <c r="B418" s="150"/>
      <c r="C418" s="197"/>
      <c r="D418" s="198"/>
      <c r="E418" s="198"/>
      <c r="F418" s="199"/>
      <c r="G418" s="200"/>
      <c r="H418" s="201"/>
      <c r="I418" s="202"/>
      <c r="J418" s="201"/>
      <c r="K418" s="170"/>
      <c r="L418" s="171"/>
      <c r="M418" s="94"/>
      <c r="N418" s="94"/>
      <c r="O418" s="94"/>
      <c r="P418" s="94"/>
      <c r="Q418" s="94"/>
      <c r="R418" s="94"/>
      <c r="S418" s="94"/>
      <c r="T418" s="94"/>
      <c r="U418" s="94"/>
      <c r="V418" s="94"/>
    </row>
    <row r="419" ht="24.0" customHeight="1">
      <c r="A419" s="149"/>
      <c r="B419" s="150"/>
      <c r="C419" s="197"/>
      <c r="D419" s="198"/>
      <c r="E419" s="198"/>
      <c r="F419" s="199"/>
      <c r="G419" s="200"/>
      <c r="H419" s="201"/>
      <c r="I419" s="202"/>
      <c r="J419" s="201"/>
      <c r="K419" s="170"/>
      <c r="L419" s="171"/>
      <c r="M419" s="94"/>
      <c r="N419" s="94"/>
      <c r="O419" s="94"/>
      <c r="P419" s="94"/>
      <c r="Q419" s="94"/>
      <c r="R419" s="94"/>
      <c r="S419" s="94"/>
      <c r="T419" s="94"/>
      <c r="U419" s="94"/>
      <c r="V419" s="94"/>
    </row>
    <row r="420" ht="24.0" customHeight="1">
      <c r="A420" s="149"/>
      <c r="B420" s="150"/>
      <c r="C420" s="197"/>
      <c r="D420" s="198"/>
      <c r="E420" s="198"/>
      <c r="F420" s="199"/>
      <c r="G420" s="200"/>
      <c r="H420" s="201"/>
      <c r="I420" s="202"/>
      <c r="J420" s="201"/>
      <c r="K420" s="170"/>
      <c r="L420" s="171"/>
      <c r="M420" s="94"/>
      <c r="N420" s="94"/>
      <c r="O420" s="94"/>
      <c r="P420" s="94"/>
      <c r="Q420" s="94"/>
      <c r="R420" s="94"/>
      <c r="S420" s="94"/>
      <c r="T420" s="94"/>
      <c r="U420" s="94"/>
      <c r="V420" s="94"/>
    </row>
    <row r="421" ht="24.0" customHeight="1">
      <c r="A421" s="149"/>
      <c r="B421" s="150"/>
      <c r="C421" s="197"/>
      <c r="D421" s="198"/>
      <c r="E421" s="198"/>
      <c r="F421" s="199"/>
      <c r="G421" s="200"/>
      <c r="H421" s="201"/>
      <c r="I421" s="202"/>
      <c r="J421" s="201"/>
      <c r="K421" s="170"/>
      <c r="L421" s="171"/>
      <c r="M421" s="94"/>
      <c r="N421" s="94"/>
      <c r="O421" s="94"/>
      <c r="P421" s="94"/>
      <c r="Q421" s="94"/>
      <c r="R421" s="94"/>
      <c r="S421" s="94"/>
      <c r="T421" s="94"/>
      <c r="U421" s="94"/>
      <c r="V421" s="94"/>
    </row>
    <row r="422" ht="24.0" customHeight="1">
      <c r="A422" s="149"/>
      <c r="B422" s="150"/>
      <c r="C422" s="197"/>
      <c r="D422" s="198"/>
      <c r="E422" s="198"/>
      <c r="F422" s="199"/>
      <c r="G422" s="200"/>
      <c r="H422" s="201"/>
      <c r="I422" s="202"/>
      <c r="J422" s="201"/>
      <c r="K422" s="170"/>
      <c r="L422" s="171"/>
      <c r="M422" s="94"/>
      <c r="N422" s="94"/>
      <c r="O422" s="94"/>
      <c r="P422" s="94"/>
      <c r="Q422" s="94"/>
      <c r="R422" s="94"/>
      <c r="S422" s="94"/>
      <c r="T422" s="94"/>
      <c r="U422" s="94"/>
      <c r="V422" s="94"/>
    </row>
    <row r="423" ht="24.0" customHeight="1">
      <c r="A423" s="149"/>
      <c r="B423" s="150"/>
      <c r="C423" s="197"/>
      <c r="D423" s="198"/>
      <c r="E423" s="198"/>
      <c r="F423" s="199"/>
      <c r="G423" s="200"/>
      <c r="H423" s="201"/>
      <c r="I423" s="202"/>
      <c r="J423" s="201"/>
      <c r="K423" s="170"/>
      <c r="L423" s="171"/>
      <c r="M423" s="94"/>
      <c r="N423" s="94"/>
      <c r="O423" s="94"/>
      <c r="P423" s="94"/>
      <c r="Q423" s="94"/>
      <c r="R423" s="94"/>
      <c r="S423" s="94"/>
      <c r="T423" s="94"/>
      <c r="U423" s="94"/>
      <c r="V423" s="94"/>
    </row>
    <row r="424" ht="24.0" customHeight="1">
      <c r="A424" s="149"/>
      <c r="B424" s="150"/>
      <c r="C424" s="197"/>
      <c r="D424" s="198"/>
      <c r="E424" s="198"/>
      <c r="F424" s="199"/>
      <c r="G424" s="200"/>
      <c r="H424" s="201"/>
      <c r="I424" s="202"/>
      <c r="J424" s="201"/>
      <c r="K424" s="170"/>
      <c r="L424" s="171"/>
      <c r="M424" s="94"/>
      <c r="N424" s="94"/>
      <c r="O424" s="94"/>
      <c r="P424" s="94"/>
      <c r="Q424" s="94"/>
      <c r="R424" s="94"/>
      <c r="S424" s="94"/>
      <c r="T424" s="94"/>
      <c r="U424" s="94"/>
      <c r="V424" s="94"/>
    </row>
    <row r="425" ht="24.0" customHeight="1">
      <c r="A425" s="149"/>
      <c r="B425" s="150"/>
      <c r="C425" s="197"/>
      <c r="D425" s="198"/>
      <c r="E425" s="198"/>
      <c r="F425" s="199"/>
      <c r="G425" s="200"/>
      <c r="H425" s="201"/>
      <c r="I425" s="202"/>
      <c r="J425" s="201"/>
      <c r="K425" s="170"/>
      <c r="L425" s="171"/>
      <c r="M425" s="94"/>
      <c r="N425" s="94"/>
      <c r="O425" s="94"/>
      <c r="P425" s="94"/>
      <c r="Q425" s="94"/>
      <c r="R425" s="94"/>
      <c r="S425" s="94"/>
      <c r="T425" s="94"/>
      <c r="U425" s="94"/>
      <c r="V425" s="94"/>
    </row>
    <row r="426" ht="24.0" customHeight="1">
      <c r="A426" s="149"/>
      <c r="B426" s="150"/>
      <c r="C426" s="197"/>
      <c r="D426" s="198"/>
      <c r="E426" s="198"/>
      <c r="F426" s="199"/>
      <c r="G426" s="200"/>
      <c r="H426" s="201"/>
      <c r="I426" s="202"/>
      <c r="J426" s="201"/>
      <c r="K426" s="170"/>
      <c r="L426" s="171"/>
      <c r="M426" s="94"/>
      <c r="N426" s="94"/>
      <c r="O426" s="94"/>
      <c r="P426" s="94"/>
      <c r="Q426" s="94"/>
      <c r="R426" s="94"/>
      <c r="S426" s="94"/>
      <c r="T426" s="94"/>
      <c r="U426" s="94"/>
      <c r="V426" s="94"/>
    </row>
    <row r="427" ht="24.0" customHeight="1">
      <c r="A427" s="149"/>
      <c r="B427" s="150"/>
      <c r="C427" s="197"/>
      <c r="D427" s="198"/>
      <c r="E427" s="198"/>
      <c r="F427" s="199"/>
      <c r="G427" s="200"/>
      <c r="H427" s="201"/>
      <c r="I427" s="202"/>
      <c r="J427" s="201"/>
      <c r="K427" s="170"/>
      <c r="L427" s="171"/>
      <c r="M427" s="94"/>
      <c r="N427" s="94"/>
      <c r="O427" s="94"/>
      <c r="P427" s="94"/>
      <c r="Q427" s="94"/>
      <c r="R427" s="94"/>
      <c r="S427" s="94"/>
      <c r="T427" s="94"/>
      <c r="U427" s="94"/>
      <c r="V427" s="94"/>
    </row>
    <row r="428" ht="24.0" customHeight="1">
      <c r="A428" s="149"/>
      <c r="B428" s="150"/>
      <c r="C428" s="197"/>
      <c r="D428" s="198"/>
      <c r="E428" s="198"/>
      <c r="F428" s="199"/>
      <c r="G428" s="200"/>
      <c r="H428" s="201"/>
      <c r="I428" s="202"/>
      <c r="J428" s="201"/>
      <c r="K428" s="170"/>
      <c r="L428" s="171"/>
      <c r="M428" s="94"/>
      <c r="N428" s="94"/>
      <c r="O428" s="94"/>
      <c r="P428" s="94"/>
      <c r="Q428" s="94"/>
      <c r="R428" s="94"/>
      <c r="S428" s="94"/>
      <c r="T428" s="94"/>
      <c r="U428" s="94"/>
      <c r="V428" s="94"/>
    </row>
    <row r="429" ht="24.0" customHeight="1">
      <c r="A429" s="149"/>
      <c r="B429" s="150"/>
      <c r="C429" s="197"/>
      <c r="D429" s="198"/>
      <c r="E429" s="198"/>
      <c r="F429" s="199"/>
      <c r="G429" s="200"/>
      <c r="H429" s="201"/>
      <c r="I429" s="202"/>
      <c r="J429" s="201"/>
      <c r="K429" s="170"/>
      <c r="L429" s="171"/>
      <c r="M429" s="94"/>
      <c r="N429" s="94"/>
      <c r="O429" s="94"/>
      <c r="P429" s="94"/>
      <c r="Q429" s="94"/>
      <c r="R429" s="94"/>
      <c r="S429" s="94"/>
      <c r="T429" s="94"/>
      <c r="U429" s="94"/>
      <c r="V429" s="94"/>
    </row>
    <row r="430" ht="24.0" customHeight="1">
      <c r="A430" s="149"/>
      <c r="B430" s="150"/>
      <c r="C430" s="197"/>
      <c r="D430" s="198"/>
      <c r="E430" s="198"/>
      <c r="F430" s="199"/>
      <c r="G430" s="200"/>
      <c r="H430" s="201"/>
      <c r="I430" s="202"/>
      <c r="J430" s="201"/>
      <c r="K430" s="170"/>
      <c r="L430" s="171"/>
      <c r="M430" s="94"/>
      <c r="N430" s="94"/>
      <c r="O430" s="94"/>
      <c r="P430" s="94"/>
      <c r="Q430" s="94"/>
      <c r="R430" s="94"/>
      <c r="S430" s="94"/>
      <c r="T430" s="94"/>
      <c r="U430" s="94"/>
      <c r="V430" s="94"/>
    </row>
    <row r="431" ht="24.0" customHeight="1">
      <c r="A431" s="149"/>
      <c r="B431" s="150"/>
      <c r="C431" s="197"/>
      <c r="D431" s="198"/>
      <c r="E431" s="198"/>
      <c r="F431" s="199"/>
      <c r="G431" s="200"/>
      <c r="H431" s="201"/>
      <c r="I431" s="202"/>
      <c r="J431" s="201"/>
      <c r="K431" s="170"/>
      <c r="L431" s="171"/>
      <c r="M431" s="94"/>
      <c r="N431" s="94"/>
      <c r="O431" s="94"/>
      <c r="P431" s="94"/>
      <c r="Q431" s="94"/>
      <c r="R431" s="94"/>
      <c r="S431" s="94"/>
      <c r="T431" s="94"/>
      <c r="U431" s="94"/>
      <c r="V431" s="94"/>
    </row>
    <row r="432" ht="24.0" customHeight="1">
      <c r="A432" s="149"/>
      <c r="B432" s="150"/>
      <c r="C432" s="197"/>
      <c r="D432" s="198"/>
      <c r="E432" s="198"/>
      <c r="F432" s="199"/>
      <c r="G432" s="200"/>
      <c r="H432" s="201"/>
      <c r="I432" s="202"/>
      <c r="J432" s="201"/>
      <c r="K432" s="170"/>
      <c r="L432" s="171"/>
      <c r="M432" s="94"/>
      <c r="N432" s="94"/>
      <c r="O432" s="94"/>
      <c r="P432" s="94"/>
      <c r="Q432" s="94"/>
      <c r="R432" s="94"/>
      <c r="S432" s="94"/>
      <c r="T432" s="94"/>
      <c r="U432" s="94"/>
      <c r="V432" s="94"/>
    </row>
    <row r="433" ht="24.0" customHeight="1">
      <c r="A433" s="149"/>
      <c r="B433" s="150"/>
      <c r="C433" s="197"/>
      <c r="D433" s="198"/>
      <c r="E433" s="198"/>
      <c r="F433" s="199"/>
      <c r="G433" s="200"/>
      <c r="H433" s="201"/>
      <c r="I433" s="202"/>
      <c r="J433" s="201"/>
      <c r="K433" s="170"/>
      <c r="L433" s="171"/>
      <c r="M433" s="94"/>
      <c r="N433" s="94"/>
      <c r="O433" s="94"/>
      <c r="P433" s="94"/>
      <c r="Q433" s="94"/>
      <c r="R433" s="94"/>
      <c r="S433" s="94"/>
      <c r="T433" s="94"/>
      <c r="U433" s="94"/>
      <c r="V433" s="94"/>
    </row>
    <row r="434" ht="24.0" customHeight="1">
      <c r="A434" s="149"/>
      <c r="B434" s="150"/>
      <c r="C434" s="197"/>
      <c r="D434" s="198"/>
      <c r="E434" s="198"/>
      <c r="F434" s="199"/>
      <c r="G434" s="200"/>
      <c r="H434" s="201"/>
      <c r="I434" s="202"/>
      <c r="J434" s="201"/>
      <c r="K434" s="170"/>
      <c r="L434" s="171"/>
      <c r="M434" s="94"/>
      <c r="N434" s="94"/>
      <c r="O434" s="94"/>
      <c r="P434" s="94"/>
      <c r="Q434" s="94"/>
      <c r="R434" s="94"/>
      <c r="S434" s="94"/>
      <c r="T434" s="94"/>
      <c r="U434" s="94"/>
      <c r="V434" s="94"/>
    </row>
    <row r="435" ht="24.0" customHeight="1">
      <c r="A435" s="149"/>
      <c r="B435" s="150"/>
      <c r="C435" s="197"/>
      <c r="D435" s="198"/>
      <c r="E435" s="198"/>
      <c r="F435" s="199"/>
      <c r="G435" s="200"/>
      <c r="H435" s="201"/>
      <c r="I435" s="202"/>
      <c r="J435" s="201"/>
      <c r="K435" s="170"/>
      <c r="L435" s="171"/>
      <c r="M435" s="94"/>
      <c r="N435" s="94"/>
      <c r="O435" s="94"/>
      <c r="P435" s="94"/>
      <c r="Q435" s="94"/>
      <c r="R435" s="94"/>
      <c r="S435" s="94"/>
      <c r="T435" s="94"/>
      <c r="U435" s="94"/>
      <c r="V435" s="94"/>
    </row>
    <row r="436" ht="24.0" customHeight="1">
      <c r="A436" s="149"/>
      <c r="B436" s="150"/>
      <c r="C436" s="197"/>
      <c r="D436" s="198"/>
      <c r="E436" s="198"/>
      <c r="F436" s="199"/>
      <c r="G436" s="200"/>
      <c r="H436" s="201"/>
      <c r="I436" s="202"/>
      <c r="J436" s="201"/>
      <c r="K436" s="170"/>
      <c r="L436" s="171"/>
      <c r="M436" s="94"/>
      <c r="N436" s="94"/>
      <c r="O436" s="94"/>
      <c r="P436" s="94"/>
      <c r="Q436" s="94"/>
      <c r="R436" s="94"/>
      <c r="S436" s="94"/>
      <c r="T436" s="94"/>
      <c r="U436" s="94"/>
      <c r="V436" s="94"/>
    </row>
    <row r="437" ht="24.0" customHeight="1">
      <c r="A437" s="149"/>
      <c r="B437" s="150"/>
      <c r="C437" s="197"/>
      <c r="D437" s="198"/>
      <c r="E437" s="198"/>
      <c r="F437" s="199"/>
      <c r="G437" s="200"/>
      <c r="H437" s="201"/>
      <c r="I437" s="202"/>
      <c r="J437" s="201"/>
      <c r="K437" s="170"/>
      <c r="L437" s="171"/>
      <c r="M437" s="94"/>
      <c r="N437" s="94"/>
      <c r="O437" s="94"/>
      <c r="P437" s="94"/>
      <c r="Q437" s="94"/>
      <c r="R437" s="94"/>
      <c r="S437" s="94"/>
      <c r="T437" s="94"/>
      <c r="U437" s="94"/>
      <c r="V437" s="94"/>
    </row>
    <row r="438" ht="24.0" customHeight="1">
      <c r="A438" s="149"/>
      <c r="B438" s="150"/>
      <c r="C438" s="197"/>
      <c r="D438" s="198"/>
      <c r="E438" s="198"/>
      <c r="F438" s="199"/>
      <c r="G438" s="200"/>
      <c r="H438" s="201"/>
      <c r="I438" s="202"/>
      <c r="J438" s="201"/>
      <c r="K438" s="170"/>
      <c r="L438" s="171"/>
      <c r="M438" s="94"/>
      <c r="N438" s="94"/>
      <c r="O438" s="94"/>
      <c r="P438" s="94"/>
      <c r="Q438" s="94"/>
      <c r="R438" s="94"/>
      <c r="S438" s="94"/>
      <c r="T438" s="94"/>
      <c r="U438" s="94"/>
      <c r="V438" s="94"/>
    </row>
    <row r="439" ht="24.0" customHeight="1">
      <c r="A439" s="149"/>
      <c r="B439" s="150"/>
      <c r="C439" s="197"/>
      <c r="D439" s="198"/>
      <c r="E439" s="198"/>
      <c r="F439" s="199"/>
      <c r="G439" s="200"/>
      <c r="H439" s="201"/>
      <c r="I439" s="202"/>
      <c r="J439" s="201"/>
      <c r="K439" s="170"/>
      <c r="L439" s="171"/>
      <c r="M439" s="94"/>
      <c r="N439" s="94"/>
      <c r="O439" s="94"/>
      <c r="P439" s="94"/>
      <c r="Q439" s="94"/>
      <c r="R439" s="94"/>
      <c r="S439" s="94"/>
      <c r="T439" s="94"/>
      <c r="U439" s="94"/>
      <c r="V439" s="94"/>
    </row>
    <row r="440" ht="24.0" customHeight="1">
      <c r="A440" s="149"/>
      <c r="B440" s="150"/>
      <c r="C440" s="197"/>
      <c r="D440" s="198"/>
      <c r="E440" s="198"/>
      <c r="F440" s="199"/>
      <c r="G440" s="200"/>
      <c r="H440" s="201"/>
      <c r="I440" s="202"/>
      <c r="J440" s="201"/>
      <c r="K440" s="170"/>
      <c r="L440" s="171"/>
      <c r="M440" s="94"/>
      <c r="N440" s="94"/>
      <c r="O440" s="94"/>
      <c r="P440" s="94"/>
      <c r="Q440" s="94"/>
      <c r="R440" s="94"/>
      <c r="S440" s="94"/>
      <c r="T440" s="94"/>
      <c r="U440" s="94"/>
      <c r="V440" s="94"/>
    </row>
    <row r="441" ht="24.0" customHeight="1">
      <c r="A441" s="149"/>
      <c r="B441" s="150"/>
      <c r="C441" s="197"/>
      <c r="D441" s="198"/>
      <c r="E441" s="198"/>
      <c r="F441" s="199"/>
      <c r="G441" s="200"/>
      <c r="H441" s="201"/>
      <c r="I441" s="202"/>
      <c r="J441" s="201"/>
      <c r="K441" s="170"/>
      <c r="L441" s="171"/>
      <c r="M441" s="94"/>
      <c r="N441" s="94"/>
      <c r="O441" s="94"/>
      <c r="P441" s="94"/>
      <c r="Q441" s="94"/>
      <c r="R441" s="94"/>
      <c r="S441" s="94"/>
      <c r="T441" s="94"/>
      <c r="U441" s="94"/>
      <c r="V441" s="94"/>
    </row>
    <row r="442" ht="24.0" customHeight="1">
      <c r="A442" s="149"/>
      <c r="B442" s="150"/>
      <c r="C442" s="197"/>
      <c r="D442" s="198"/>
      <c r="E442" s="198"/>
      <c r="F442" s="199"/>
      <c r="G442" s="200"/>
      <c r="H442" s="201"/>
      <c r="I442" s="202"/>
      <c r="J442" s="201"/>
      <c r="K442" s="170"/>
      <c r="L442" s="171"/>
      <c r="M442" s="94"/>
      <c r="N442" s="94"/>
      <c r="O442" s="94"/>
      <c r="P442" s="94"/>
      <c r="Q442" s="94"/>
      <c r="R442" s="94"/>
      <c r="S442" s="94"/>
      <c r="T442" s="94"/>
      <c r="U442" s="94"/>
      <c r="V442" s="94"/>
    </row>
    <row r="443" ht="24.0" customHeight="1">
      <c r="A443" s="149"/>
      <c r="B443" s="150"/>
      <c r="C443" s="197"/>
      <c r="D443" s="198"/>
      <c r="E443" s="198"/>
      <c r="F443" s="199"/>
      <c r="G443" s="200"/>
      <c r="H443" s="201"/>
      <c r="I443" s="202"/>
      <c r="J443" s="201"/>
      <c r="K443" s="170"/>
      <c r="L443" s="171"/>
      <c r="M443" s="94"/>
      <c r="N443" s="94"/>
      <c r="O443" s="94"/>
      <c r="P443" s="94"/>
      <c r="Q443" s="94"/>
      <c r="R443" s="94"/>
      <c r="S443" s="94"/>
      <c r="T443" s="94"/>
      <c r="U443" s="94"/>
      <c r="V443" s="94"/>
    </row>
    <row r="444" ht="24.0" customHeight="1">
      <c r="A444" s="149"/>
      <c r="B444" s="150"/>
      <c r="C444" s="197"/>
      <c r="D444" s="198"/>
      <c r="E444" s="198"/>
      <c r="F444" s="199"/>
      <c r="G444" s="200"/>
      <c r="H444" s="201"/>
      <c r="I444" s="202"/>
      <c r="J444" s="201"/>
      <c r="K444" s="170"/>
      <c r="L444" s="171"/>
      <c r="M444" s="94"/>
      <c r="N444" s="94"/>
      <c r="O444" s="94"/>
      <c r="P444" s="94"/>
      <c r="Q444" s="94"/>
      <c r="R444" s="94"/>
      <c r="S444" s="94"/>
      <c r="T444" s="94"/>
      <c r="U444" s="94"/>
      <c r="V444" s="94"/>
    </row>
    <row r="445" ht="24.0" customHeight="1">
      <c r="A445" s="149"/>
      <c r="B445" s="150"/>
      <c r="C445" s="197"/>
      <c r="D445" s="198"/>
      <c r="E445" s="198"/>
      <c r="F445" s="199"/>
      <c r="G445" s="200"/>
      <c r="H445" s="201"/>
      <c r="I445" s="202"/>
      <c r="J445" s="201"/>
      <c r="K445" s="170"/>
      <c r="L445" s="171"/>
      <c r="M445" s="94"/>
      <c r="N445" s="94"/>
      <c r="O445" s="94"/>
      <c r="P445" s="94"/>
      <c r="Q445" s="94"/>
      <c r="R445" s="94"/>
      <c r="S445" s="94"/>
      <c r="T445" s="94"/>
      <c r="U445" s="94"/>
      <c r="V445" s="94"/>
    </row>
    <row r="446" ht="24.0" customHeight="1">
      <c r="A446" s="149"/>
      <c r="B446" s="150"/>
      <c r="C446" s="197"/>
      <c r="D446" s="198"/>
      <c r="E446" s="198"/>
      <c r="F446" s="199"/>
      <c r="G446" s="200"/>
      <c r="H446" s="201"/>
      <c r="I446" s="202"/>
      <c r="J446" s="201"/>
      <c r="K446" s="170"/>
      <c r="L446" s="171"/>
      <c r="M446" s="94"/>
      <c r="N446" s="94"/>
      <c r="O446" s="94"/>
      <c r="P446" s="94"/>
      <c r="Q446" s="94"/>
      <c r="R446" s="94"/>
      <c r="S446" s="94"/>
      <c r="T446" s="94"/>
      <c r="U446" s="94"/>
      <c r="V446" s="94"/>
    </row>
    <row r="447" ht="24.0" customHeight="1">
      <c r="A447" s="149"/>
      <c r="B447" s="150"/>
      <c r="C447" s="197"/>
      <c r="D447" s="198"/>
      <c r="E447" s="198"/>
      <c r="F447" s="199"/>
      <c r="G447" s="200"/>
      <c r="H447" s="201"/>
      <c r="I447" s="202"/>
      <c r="J447" s="201"/>
      <c r="K447" s="170"/>
      <c r="L447" s="171"/>
      <c r="M447" s="94"/>
      <c r="N447" s="94"/>
      <c r="O447" s="94"/>
      <c r="P447" s="94"/>
      <c r="Q447" s="94"/>
      <c r="R447" s="94"/>
      <c r="S447" s="94"/>
      <c r="T447" s="94"/>
      <c r="U447" s="94"/>
      <c r="V447" s="94"/>
    </row>
    <row r="448" ht="24.0" customHeight="1">
      <c r="A448" s="149"/>
      <c r="B448" s="150"/>
      <c r="C448" s="197"/>
      <c r="D448" s="198"/>
      <c r="E448" s="198"/>
      <c r="F448" s="199"/>
      <c r="G448" s="200"/>
      <c r="H448" s="201"/>
      <c r="I448" s="202"/>
      <c r="J448" s="201"/>
      <c r="K448" s="170"/>
      <c r="L448" s="171"/>
      <c r="M448" s="94"/>
      <c r="N448" s="94"/>
      <c r="O448" s="94"/>
      <c r="P448" s="94"/>
      <c r="Q448" s="94"/>
      <c r="R448" s="94"/>
      <c r="S448" s="94"/>
      <c r="T448" s="94"/>
      <c r="U448" s="94"/>
      <c r="V448" s="94"/>
    </row>
    <row r="449" ht="24.0" customHeight="1">
      <c r="A449" s="149"/>
      <c r="B449" s="150"/>
      <c r="C449" s="197"/>
      <c r="D449" s="198"/>
      <c r="E449" s="198"/>
      <c r="F449" s="199"/>
      <c r="G449" s="200"/>
      <c r="H449" s="201"/>
      <c r="I449" s="202"/>
      <c r="J449" s="201"/>
      <c r="K449" s="170"/>
      <c r="L449" s="171"/>
      <c r="M449" s="94"/>
      <c r="N449" s="94"/>
      <c r="O449" s="94"/>
      <c r="P449" s="94"/>
      <c r="Q449" s="94"/>
      <c r="R449" s="94"/>
      <c r="S449" s="94"/>
      <c r="T449" s="94"/>
      <c r="U449" s="94"/>
      <c r="V449" s="94"/>
    </row>
    <row r="450" ht="24.0" customHeight="1">
      <c r="A450" s="149"/>
      <c r="B450" s="150"/>
      <c r="C450" s="197"/>
      <c r="D450" s="198"/>
      <c r="E450" s="198"/>
      <c r="F450" s="199"/>
      <c r="G450" s="200"/>
      <c r="H450" s="201"/>
      <c r="I450" s="202"/>
      <c r="J450" s="201"/>
      <c r="K450" s="170"/>
      <c r="L450" s="171"/>
      <c r="M450" s="94"/>
      <c r="N450" s="94"/>
      <c r="O450" s="94"/>
      <c r="P450" s="94"/>
      <c r="Q450" s="94"/>
      <c r="R450" s="94"/>
      <c r="S450" s="94"/>
      <c r="T450" s="94"/>
      <c r="U450" s="94"/>
      <c r="V450" s="94"/>
    </row>
    <row r="451" ht="24.0" customHeight="1">
      <c r="A451" s="149"/>
      <c r="B451" s="150"/>
      <c r="C451" s="197"/>
      <c r="D451" s="198"/>
      <c r="E451" s="198"/>
      <c r="F451" s="199"/>
      <c r="G451" s="200"/>
      <c r="H451" s="201"/>
      <c r="I451" s="202"/>
      <c r="J451" s="201"/>
      <c r="K451" s="170"/>
      <c r="L451" s="171"/>
      <c r="M451" s="94"/>
      <c r="N451" s="94"/>
      <c r="O451" s="94"/>
      <c r="P451" s="94"/>
      <c r="Q451" s="94"/>
      <c r="R451" s="94"/>
      <c r="S451" s="94"/>
      <c r="T451" s="94"/>
      <c r="U451" s="94"/>
      <c r="V451" s="94"/>
    </row>
    <row r="452" ht="24.0" customHeight="1">
      <c r="A452" s="149"/>
      <c r="B452" s="150"/>
      <c r="C452" s="197"/>
      <c r="D452" s="198"/>
      <c r="E452" s="198"/>
      <c r="F452" s="199"/>
      <c r="G452" s="200"/>
      <c r="H452" s="201"/>
      <c r="I452" s="202"/>
      <c r="J452" s="201"/>
      <c r="K452" s="170"/>
      <c r="L452" s="171"/>
      <c r="M452" s="94"/>
      <c r="N452" s="94"/>
      <c r="O452" s="94"/>
      <c r="P452" s="94"/>
      <c r="Q452" s="94"/>
      <c r="R452" s="94"/>
      <c r="S452" s="94"/>
      <c r="T452" s="94"/>
      <c r="U452" s="94"/>
      <c r="V452" s="94"/>
    </row>
    <row r="453" ht="24.0" customHeight="1">
      <c r="A453" s="149"/>
      <c r="B453" s="150"/>
      <c r="C453" s="197"/>
      <c r="D453" s="198"/>
      <c r="E453" s="198"/>
      <c r="F453" s="199"/>
      <c r="G453" s="200"/>
      <c r="H453" s="201"/>
      <c r="I453" s="202"/>
      <c r="J453" s="201"/>
      <c r="K453" s="170"/>
      <c r="L453" s="171"/>
      <c r="M453" s="94"/>
      <c r="N453" s="94"/>
      <c r="O453" s="94"/>
      <c r="P453" s="94"/>
      <c r="Q453" s="94"/>
      <c r="R453" s="94"/>
      <c r="S453" s="94"/>
      <c r="T453" s="94"/>
      <c r="U453" s="94"/>
      <c r="V453" s="94"/>
    </row>
    <row r="454" ht="24.0" customHeight="1">
      <c r="A454" s="149"/>
      <c r="B454" s="150"/>
      <c r="C454" s="197"/>
      <c r="D454" s="198"/>
      <c r="E454" s="198"/>
      <c r="F454" s="199"/>
      <c r="G454" s="200"/>
      <c r="H454" s="201"/>
      <c r="I454" s="202"/>
      <c r="J454" s="201"/>
      <c r="K454" s="170"/>
      <c r="L454" s="171"/>
      <c r="M454" s="94"/>
      <c r="N454" s="94"/>
      <c r="O454" s="94"/>
      <c r="P454" s="94"/>
      <c r="Q454" s="94"/>
      <c r="R454" s="94"/>
      <c r="S454" s="94"/>
      <c r="T454" s="94"/>
      <c r="U454" s="94"/>
      <c r="V454" s="94"/>
    </row>
    <row r="455" ht="24.0" customHeight="1">
      <c r="A455" s="149"/>
      <c r="B455" s="150"/>
      <c r="C455" s="197"/>
      <c r="D455" s="198"/>
      <c r="E455" s="198"/>
      <c r="F455" s="199"/>
      <c r="G455" s="200"/>
      <c r="H455" s="201"/>
      <c r="I455" s="202"/>
      <c r="J455" s="201"/>
      <c r="K455" s="170"/>
      <c r="L455" s="171"/>
      <c r="M455" s="94"/>
      <c r="N455" s="94"/>
      <c r="O455" s="94"/>
      <c r="P455" s="94"/>
      <c r="Q455" s="94"/>
      <c r="R455" s="94"/>
      <c r="S455" s="94"/>
      <c r="T455" s="94"/>
      <c r="U455" s="94"/>
      <c r="V455" s="94"/>
    </row>
    <row r="456" ht="24.0" customHeight="1">
      <c r="A456" s="149"/>
      <c r="B456" s="150"/>
      <c r="C456" s="197"/>
      <c r="D456" s="198"/>
      <c r="E456" s="198"/>
      <c r="F456" s="199"/>
      <c r="G456" s="200"/>
      <c r="H456" s="201"/>
      <c r="I456" s="202"/>
      <c r="J456" s="201"/>
      <c r="K456" s="170"/>
      <c r="L456" s="171"/>
      <c r="M456" s="94"/>
      <c r="N456" s="94"/>
      <c r="O456" s="94"/>
      <c r="P456" s="94"/>
      <c r="Q456" s="94"/>
      <c r="R456" s="94"/>
      <c r="S456" s="94"/>
      <c r="T456" s="94"/>
      <c r="U456" s="94"/>
      <c r="V456" s="94"/>
    </row>
    <row r="457" ht="24.0" customHeight="1">
      <c r="A457" s="149"/>
      <c r="B457" s="150"/>
      <c r="C457" s="197"/>
      <c r="D457" s="198"/>
      <c r="E457" s="198"/>
      <c r="F457" s="199"/>
      <c r="G457" s="200"/>
      <c r="H457" s="201"/>
      <c r="I457" s="202"/>
      <c r="J457" s="201"/>
      <c r="K457" s="170"/>
      <c r="L457" s="171"/>
      <c r="M457" s="94"/>
      <c r="N457" s="94"/>
      <c r="O457" s="94"/>
      <c r="P457" s="94"/>
      <c r="Q457" s="94"/>
      <c r="R457" s="94"/>
      <c r="S457" s="94"/>
      <c r="T457" s="94"/>
      <c r="U457" s="94"/>
      <c r="V457" s="94"/>
    </row>
    <row r="458" ht="24.0" customHeight="1">
      <c r="A458" s="149"/>
      <c r="B458" s="150"/>
      <c r="C458" s="197"/>
      <c r="D458" s="198"/>
      <c r="E458" s="198"/>
      <c r="F458" s="199"/>
      <c r="G458" s="200"/>
      <c r="H458" s="201"/>
      <c r="I458" s="202"/>
      <c r="J458" s="201"/>
      <c r="K458" s="170"/>
      <c r="L458" s="171"/>
      <c r="M458" s="94"/>
      <c r="N458" s="94"/>
      <c r="O458" s="94"/>
      <c r="P458" s="94"/>
      <c r="Q458" s="94"/>
      <c r="R458" s="94"/>
      <c r="S458" s="94"/>
      <c r="T458" s="94"/>
      <c r="U458" s="94"/>
      <c r="V458" s="94"/>
    </row>
    <row r="459" ht="24.0" customHeight="1">
      <c r="A459" s="149"/>
      <c r="B459" s="150"/>
      <c r="C459" s="197"/>
      <c r="D459" s="198"/>
      <c r="E459" s="198"/>
      <c r="F459" s="199"/>
      <c r="G459" s="200"/>
      <c r="H459" s="201"/>
      <c r="I459" s="202"/>
      <c r="J459" s="201"/>
      <c r="K459" s="170"/>
      <c r="L459" s="171"/>
      <c r="M459" s="94"/>
      <c r="N459" s="94"/>
      <c r="O459" s="94"/>
      <c r="P459" s="94"/>
      <c r="Q459" s="94"/>
      <c r="R459" s="94"/>
      <c r="S459" s="94"/>
      <c r="T459" s="94"/>
      <c r="U459" s="94"/>
      <c r="V459" s="94"/>
    </row>
    <row r="460" ht="24.0" customHeight="1">
      <c r="A460" s="149"/>
      <c r="B460" s="150"/>
      <c r="C460" s="197"/>
      <c r="D460" s="198"/>
      <c r="E460" s="198"/>
      <c r="F460" s="199"/>
      <c r="G460" s="200"/>
      <c r="H460" s="201"/>
      <c r="I460" s="202"/>
      <c r="J460" s="201"/>
      <c r="K460" s="170"/>
      <c r="L460" s="171"/>
      <c r="M460" s="94"/>
      <c r="N460" s="94"/>
      <c r="O460" s="94"/>
      <c r="P460" s="94"/>
      <c r="Q460" s="94"/>
      <c r="R460" s="94"/>
      <c r="S460" s="94"/>
      <c r="T460" s="94"/>
      <c r="U460" s="94"/>
      <c r="V460" s="94"/>
    </row>
    <row r="461" ht="24.0" customHeight="1">
      <c r="A461" s="149"/>
      <c r="B461" s="150"/>
      <c r="C461" s="197"/>
      <c r="D461" s="198"/>
      <c r="E461" s="198"/>
      <c r="F461" s="199"/>
      <c r="G461" s="200"/>
      <c r="H461" s="201"/>
      <c r="I461" s="202"/>
      <c r="J461" s="201"/>
      <c r="K461" s="170"/>
      <c r="L461" s="171"/>
      <c r="M461" s="94"/>
      <c r="N461" s="94"/>
      <c r="O461" s="94"/>
      <c r="P461" s="94"/>
      <c r="Q461" s="94"/>
      <c r="R461" s="94"/>
      <c r="S461" s="94"/>
      <c r="T461" s="94"/>
      <c r="U461" s="94"/>
      <c r="V461" s="94"/>
    </row>
    <row r="462" ht="24.0" customHeight="1">
      <c r="A462" s="149"/>
      <c r="B462" s="150"/>
      <c r="C462" s="197"/>
      <c r="D462" s="198"/>
      <c r="E462" s="198"/>
      <c r="F462" s="199"/>
      <c r="G462" s="200"/>
      <c r="H462" s="201"/>
      <c r="I462" s="202"/>
      <c r="J462" s="201"/>
      <c r="K462" s="170"/>
      <c r="L462" s="171"/>
      <c r="M462" s="94"/>
      <c r="N462" s="94"/>
      <c r="O462" s="94"/>
      <c r="P462" s="94"/>
      <c r="Q462" s="94"/>
      <c r="R462" s="94"/>
      <c r="S462" s="94"/>
      <c r="T462" s="94"/>
      <c r="U462" s="94"/>
      <c r="V462" s="94"/>
    </row>
    <row r="463" ht="24.0" customHeight="1">
      <c r="A463" s="149"/>
      <c r="B463" s="150"/>
      <c r="C463" s="197"/>
      <c r="D463" s="198"/>
      <c r="E463" s="198"/>
      <c r="F463" s="199"/>
      <c r="G463" s="200"/>
      <c r="H463" s="201"/>
      <c r="I463" s="202"/>
      <c r="J463" s="201"/>
      <c r="K463" s="170"/>
      <c r="L463" s="171"/>
      <c r="M463" s="94"/>
      <c r="N463" s="94"/>
      <c r="O463" s="94"/>
      <c r="P463" s="94"/>
      <c r="Q463" s="94"/>
      <c r="R463" s="94"/>
      <c r="S463" s="94"/>
      <c r="T463" s="94"/>
      <c r="U463" s="94"/>
      <c r="V463" s="94"/>
    </row>
    <row r="464" ht="24.0" customHeight="1">
      <c r="A464" s="149"/>
      <c r="B464" s="150"/>
      <c r="C464" s="197"/>
      <c r="D464" s="198"/>
      <c r="E464" s="198"/>
      <c r="F464" s="199"/>
      <c r="G464" s="200"/>
      <c r="H464" s="201"/>
      <c r="I464" s="202"/>
      <c r="J464" s="201"/>
      <c r="K464" s="170"/>
      <c r="L464" s="171"/>
      <c r="M464" s="94"/>
      <c r="N464" s="94"/>
      <c r="O464" s="94"/>
      <c r="P464" s="94"/>
      <c r="Q464" s="94"/>
      <c r="R464" s="94"/>
      <c r="S464" s="94"/>
      <c r="T464" s="94"/>
      <c r="U464" s="94"/>
      <c r="V464" s="94"/>
    </row>
    <row r="465" ht="24.0" customHeight="1">
      <c r="A465" s="149"/>
      <c r="B465" s="150"/>
      <c r="C465" s="197"/>
      <c r="D465" s="198"/>
      <c r="E465" s="198"/>
      <c r="F465" s="199"/>
      <c r="G465" s="200"/>
      <c r="H465" s="201"/>
      <c r="I465" s="202"/>
      <c r="J465" s="201"/>
      <c r="K465" s="170"/>
      <c r="L465" s="171"/>
      <c r="M465" s="94"/>
      <c r="N465" s="94"/>
      <c r="O465" s="94"/>
      <c r="P465" s="94"/>
      <c r="Q465" s="94"/>
      <c r="R465" s="94"/>
      <c r="S465" s="94"/>
      <c r="T465" s="94"/>
      <c r="U465" s="94"/>
      <c r="V465" s="94"/>
    </row>
    <row r="466" ht="24.0" customHeight="1">
      <c r="A466" s="149"/>
      <c r="B466" s="150"/>
      <c r="C466" s="197"/>
      <c r="D466" s="198"/>
      <c r="E466" s="198"/>
      <c r="F466" s="199"/>
      <c r="G466" s="200"/>
      <c r="H466" s="201"/>
      <c r="I466" s="202"/>
      <c r="J466" s="201"/>
      <c r="K466" s="170"/>
      <c r="L466" s="171"/>
      <c r="M466" s="94"/>
      <c r="N466" s="94"/>
      <c r="O466" s="94"/>
      <c r="P466" s="94"/>
      <c r="Q466" s="94"/>
      <c r="R466" s="94"/>
      <c r="S466" s="94"/>
      <c r="T466" s="94"/>
      <c r="U466" s="94"/>
      <c r="V466" s="94"/>
    </row>
    <row r="467" ht="24.0" customHeight="1">
      <c r="A467" s="149"/>
      <c r="B467" s="150"/>
      <c r="C467" s="197"/>
      <c r="D467" s="198"/>
      <c r="E467" s="198"/>
      <c r="F467" s="199"/>
      <c r="G467" s="200"/>
      <c r="H467" s="201"/>
      <c r="I467" s="202"/>
      <c r="J467" s="201"/>
      <c r="K467" s="170"/>
      <c r="L467" s="171"/>
      <c r="M467" s="94"/>
      <c r="N467" s="94"/>
      <c r="O467" s="94"/>
      <c r="P467" s="94"/>
      <c r="Q467" s="94"/>
      <c r="R467" s="94"/>
      <c r="S467" s="94"/>
      <c r="T467" s="94"/>
      <c r="U467" s="94"/>
      <c r="V467" s="94"/>
    </row>
    <row r="468" ht="24.0" customHeight="1">
      <c r="A468" s="149"/>
      <c r="B468" s="150"/>
      <c r="C468" s="197"/>
      <c r="D468" s="198"/>
      <c r="E468" s="198"/>
      <c r="F468" s="199"/>
      <c r="G468" s="200"/>
      <c r="H468" s="201"/>
      <c r="I468" s="202"/>
      <c r="J468" s="201"/>
      <c r="K468" s="170"/>
      <c r="L468" s="171"/>
      <c r="M468" s="94"/>
      <c r="N468" s="94"/>
      <c r="O468" s="94"/>
      <c r="P468" s="94"/>
      <c r="Q468" s="94"/>
      <c r="R468" s="94"/>
      <c r="S468" s="94"/>
      <c r="T468" s="94"/>
      <c r="U468" s="94"/>
      <c r="V468" s="94"/>
    </row>
    <row r="469" ht="24.0" customHeight="1">
      <c r="A469" s="149"/>
      <c r="B469" s="150"/>
      <c r="C469" s="197"/>
      <c r="D469" s="198"/>
      <c r="E469" s="198"/>
      <c r="F469" s="199"/>
      <c r="G469" s="200"/>
      <c r="H469" s="201"/>
      <c r="I469" s="202"/>
      <c r="J469" s="201"/>
      <c r="K469" s="170"/>
      <c r="L469" s="171"/>
      <c r="M469" s="94"/>
      <c r="N469" s="94"/>
      <c r="O469" s="94"/>
      <c r="P469" s="94"/>
      <c r="Q469" s="94"/>
      <c r="R469" s="94"/>
      <c r="S469" s="94"/>
      <c r="T469" s="94"/>
      <c r="U469" s="94"/>
      <c r="V469" s="94"/>
    </row>
    <row r="470" ht="24.0" customHeight="1">
      <c r="A470" s="149"/>
      <c r="B470" s="150"/>
      <c r="C470" s="197"/>
      <c r="D470" s="198"/>
      <c r="E470" s="198"/>
      <c r="F470" s="199"/>
      <c r="G470" s="200"/>
      <c r="H470" s="201"/>
      <c r="I470" s="202"/>
      <c r="J470" s="201"/>
      <c r="K470" s="170"/>
      <c r="L470" s="171"/>
      <c r="M470" s="94"/>
      <c r="N470" s="94"/>
      <c r="O470" s="94"/>
      <c r="P470" s="94"/>
      <c r="Q470" s="94"/>
      <c r="R470" s="94"/>
      <c r="S470" s="94"/>
      <c r="T470" s="94"/>
      <c r="U470" s="94"/>
      <c r="V470" s="94"/>
    </row>
    <row r="471" ht="24.0" customHeight="1">
      <c r="A471" s="149"/>
      <c r="B471" s="150"/>
      <c r="C471" s="197"/>
      <c r="D471" s="198"/>
      <c r="E471" s="198"/>
      <c r="F471" s="199"/>
      <c r="G471" s="200"/>
      <c r="H471" s="201"/>
      <c r="I471" s="202"/>
      <c r="J471" s="201"/>
      <c r="K471" s="170"/>
      <c r="L471" s="171"/>
      <c r="M471" s="94"/>
      <c r="N471" s="94"/>
      <c r="O471" s="94"/>
      <c r="P471" s="94"/>
      <c r="Q471" s="94"/>
      <c r="R471" s="94"/>
      <c r="S471" s="94"/>
      <c r="T471" s="94"/>
      <c r="U471" s="94"/>
      <c r="V471" s="94"/>
    </row>
    <row r="472" ht="24.0" customHeight="1">
      <c r="A472" s="149"/>
      <c r="B472" s="150"/>
      <c r="C472" s="197"/>
      <c r="D472" s="198"/>
      <c r="E472" s="198"/>
      <c r="F472" s="199"/>
      <c r="G472" s="200"/>
      <c r="H472" s="201"/>
      <c r="I472" s="202"/>
      <c r="J472" s="201"/>
      <c r="K472" s="170"/>
      <c r="L472" s="171"/>
      <c r="M472" s="94"/>
      <c r="N472" s="94"/>
      <c r="O472" s="94"/>
      <c r="P472" s="94"/>
      <c r="Q472" s="94"/>
      <c r="R472" s="94"/>
      <c r="S472" s="94"/>
      <c r="T472" s="94"/>
      <c r="U472" s="94"/>
      <c r="V472" s="94"/>
    </row>
    <row r="473" ht="24.0" customHeight="1">
      <c r="A473" s="149"/>
      <c r="B473" s="150"/>
      <c r="C473" s="197"/>
      <c r="D473" s="198"/>
      <c r="E473" s="198"/>
      <c r="F473" s="199"/>
      <c r="G473" s="200"/>
      <c r="H473" s="201"/>
      <c r="I473" s="202"/>
      <c r="J473" s="201"/>
      <c r="K473" s="170"/>
      <c r="L473" s="171"/>
      <c r="M473" s="94"/>
      <c r="N473" s="94"/>
      <c r="O473" s="94"/>
      <c r="P473" s="94"/>
      <c r="Q473" s="94"/>
      <c r="R473" s="94"/>
      <c r="S473" s="94"/>
      <c r="T473" s="94"/>
      <c r="U473" s="94"/>
      <c r="V473" s="94"/>
    </row>
    <row r="474" ht="24.0" customHeight="1">
      <c r="A474" s="149"/>
      <c r="B474" s="150"/>
      <c r="C474" s="197"/>
      <c r="D474" s="198"/>
      <c r="E474" s="198"/>
      <c r="F474" s="199"/>
      <c r="G474" s="200"/>
      <c r="H474" s="201"/>
      <c r="I474" s="202"/>
      <c r="J474" s="201"/>
      <c r="K474" s="170"/>
      <c r="L474" s="171"/>
      <c r="M474" s="94"/>
      <c r="N474" s="94"/>
      <c r="O474" s="94"/>
      <c r="P474" s="94"/>
      <c r="Q474" s="94"/>
      <c r="R474" s="94"/>
      <c r="S474" s="94"/>
      <c r="T474" s="94"/>
      <c r="U474" s="94"/>
      <c r="V474" s="94"/>
    </row>
    <row r="475" ht="24.0" customHeight="1">
      <c r="A475" s="149"/>
      <c r="B475" s="150"/>
      <c r="C475" s="197"/>
      <c r="D475" s="198"/>
      <c r="E475" s="198"/>
      <c r="F475" s="199"/>
      <c r="G475" s="200"/>
      <c r="H475" s="201"/>
      <c r="I475" s="202"/>
      <c r="J475" s="201"/>
      <c r="K475" s="170"/>
      <c r="L475" s="171"/>
      <c r="M475" s="94"/>
      <c r="N475" s="94"/>
      <c r="O475" s="94"/>
      <c r="P475" s="94"/>
      <c r="Q475" s="94"/>
      <c r="R475" s="94"/>
      <c r="S475" s="94"/>
      <c r="T475" s="94"/>
      <c r="U475" s="94"/>
      <c r="V475" s="94"/>
    </row>
    <row r="476" ht="24.0" customHeight="1">
      <c r="A476" s="149"/>
      <c r="B476" s="150"/>
      <c r="C476" s="197"/>
      <c r="D476" s="198"/>
      <c r="E476" s="198"/>
      <c r="F476" s="199"/>
      <c r="G476" s="200"/>
      <c r="H476" s="201"/>
      <c r="I476" s="202"/>
      <c r="J476" s="201"/>
      <c r="K476" s="170"/>
      <c r="L476" s="171"/>
      <c r="M476" s="94"/>
      <c r="N476" s="94"/>
      <c r="O476" s="94"/>
      <c r="P476" s="94"/>
      <c r="Q476" s="94"/>
      <c r="R476" s="94"/>
      <c r="S476" s="94"/>
      <c r="T476" s="94"/>
      <c r="U476" s="94"/>
      <c r="V476" s="94"/>
    </row>
    <row r="477" ht="24.0" customHeight="1">
      <c r="A477" s="149"/>
      <c r="B477" s="150"/>
      <c r="C477" s="197"/>
      <c r="D477" s="198"/>
      <c r="E477" s="198"/>
      <c r="F477" s="199"/>
      <c r="G477" s="200"/>
      <c r="H477" s="201"/>
      <c r="I477" s="202"/>
      <c r="J477" s="201"/>
      <c r="K477" s="170"/>
      <c r="L477" s="171"/>
      <c r="M477" s="94"/>
      <c r="N477" s="94"/>
      <c r="O477" s="94"/>
      <c r="P477" s="94"/>
      <c r="Q477" s="94"/>
      <c r="R477" s="94"/>
      <c r="S477" s="94"/>
      <c r="T477" s="94"/>
      <c r="U477" s="94"/>
      <c r="V477" s="94"/>
    </row>
    <row r="478" ht="24.0" customHeight="1">
      <c r="A478" s="149"/>
      <c r="B478" s="150"/>
      <c r="C478" s="197"/>
      <c r="D478" s="198"/>
      <c r="E478" s="198"/>
      <c r="F478" s="199"/>
      <c r="G478" s="200"/>
      <c r="H478" s="201"/>
      <c r="I478" s="202"/>
      <c r="J478" s="201"/>
      <c r="K478" s="170"/>
      <c r="L478" s="171"/>
      <c r="M478" s="94"/>
      <c r="N478" s="94"/>
      <c r="O478" s="94"/>
      <c r="P478" s="94"/>
      <c r="Q478" s="94"/>
      <c r="R478" s="94"/>
      <c r="S478" s="94"/>
      <c r="T478" s="94"/>
      <c r="U478" s="94"/>
      <c r="V478" s="94"/>
    </row>
    <row r="479" ht="24.0" customHeight="1">
      <c r="A479" s="149"/>
      <c r="B479" s="150"/>
      <c r="C479" s="197"/>
      <c r="D479" s="198"/>
      <c r="E479" s="198"/>
      <c r="F479" s="199"/>
      <c r="G479" s="200"/>
      <c r="H479" s="201"/>
      <c r="I479" s="202"/>
      <c r="J479" s="201"/>
      <c r="K479" s="170"/>
      <c r="L479" s="171"/>
      <c r="M479" s="94"/>
      <c r="N479" s="94"/>
      <c r="O479" s="94"/>
      <c r="P479" s="94"/>
      <c r="Q479" s="94"/>
      <c r="R479" s="94"/>
      <c r="S479" s="94"/>
      <c r="T479" s="94"/>
      <c r="U479" s="94"/>
      <c r="V479" s="94"/>
    </row>
    <row r="480" ht="24.0" customHeight="1">
      <c r="A480" s="149"/>
      <c r="B480" s="150"/>
      <c r="C480" s="197"/>
      <c r="D480" s="198"/>
      <c r="E480" s="198"/>
      <c r="F480" s="199"/>
      <c r="G480" s="200"/>
      <c r="H480" s="201"/>
      <c r="I480" s="202"/>
      <c r="J480" s="201"/>
      <c r="K480" s="170"/>
      <c r="L480" s="171"/>
      <c r="M480" s="94"/>
      <c r="N480" s="94"/>
      <c r="O480" s="94"/>
      <c r="P480" s="94"/>
      <c r="Q480" s="94"/>
      <c r="R480" s="94"/>
      <c r="S480" s="94"/>
      <c r="T480" s="94"/>
      <c r="U480" s="94"/>
      <c r="V480" s="94"/>
    </row>
    <row r="481" ht="24.0" customHeight="1">
      <c r="A481" s="149"/>
      <c r="B481" s="150"/>
      <c r="C481" s="197"/>
      <c r="D481" s="198"/>
      <c r="E481" s="198"/>
      <c r="F481" s="199"/>
      <c r="G481" s="200"/>
      <c r="H481" s="201"/>
      <c r="I481" s="202"/>
      <c r="J481" s="201"/>
      <c r="K481" s="170"/>
      <c r="L481" s="171"/>
      <c r="M481" s="94"/>
      <c r="N481" s="94"/>
      <c r="O481" s="94"/>
      <c r="P481" s="94"/>
      <c r="Q481" s="94"/>
      <c r="R481" s="94"/>
      <c r="S481" s="94"/>
      <c r="T481" s="94"/>
      <c r="U481" s="94"/>
      <c r="V481" s="94"/>
    </row>
    <row r="482" ht="24.0" customHeight="1">
      <c r="A482" s="149"/>
      <c r="B482" s="150"/>
      <c r="C482" s="197"/>
      <c r="D482" s="198"/>
      <c r="E482" s="198"/>
      <c r="F482" s="199"/>
      <c r="G482" s="200"/>
      <c r="H482" s="201"/>
      <c r="I482" s="202"/>
      <c r="J482" s="201"/>
      <c r="K482" s="170"/>
      <c r="L482" s="171"/>
      <c r="M482" s="94"/>
      <c r="N482" s="94"/>
      <c r="O482" s="94"/>
      <c r="P482" s="94"/>
      <c r="Q482" s="94"/>
      <c r="R482" s="94"/>
      <c r="S482" s="94"/>
      <c r="T482" s="94"/>
      <c r="U482" s="94"/>
      <c r="V482" s="94"/>
    </row>
    <row r="483" ht="24.0" customHeight="1">
      <c r="A483" s="149"/>
      <c r="B483" s="150"/>
      <c r="C483" s="197"/>
      <c r="D483" s="198"/>
      <c r="E483" s="198"/>
      <c r="F483" s="199"/>
      <c r="G483" s="200"/>
      <c r="H483" s="201"/>
      <c r="I483" s="202"/>
      <c r="J483" s="201"/>
      <c r="K483" s="170"/>
      <c r="L483" s="171"/>
      <c r="M483" s="94"/>
      <c r="N483" s="94"/>
      <c r="O483" s="94"/>
      <c r="P483" s="94"/>
      <c r="Q483" s="94"/>
      <c r="R483" s="94"/>
      <c r="S483" s="94"/>
      <c r="T483" s="94"/>
      <c r="U483" s="94"/>
      <c r="V483" s="94"/>
    </row>
    <row r="484" ht="24.0" customHeight="1">
      <c r="A484" s="149"/>
      <c r="B484" s="150"/>
      <c r="C484" s="197"/>
      <c r="D484" s="198"/>
      <c r="E484" s="198"/>
      <c r="F484" s="199"/>
      <c r="G484" s="200"/>
      <c r="H484" s="201"/>
      <c r="I484" s="202"/>
      <c r="J484" s="201"/>
      <c r="K484" s="170"/>
      <c r="L484" s="171"/>
      <c r="M484" s="94"/>
      <c r="N484" s="94"/>
      <c r="O484" s="94"/>
      <c r="P484" s="94"/>
      <c r="Q484" s="94"/>
      <c r="R484" s="94"/>
      <c r="S484" s="94"/>
      <c r="T484" s="94"/>
      <c r="U484" s="94"/>
      <c r="V484" s="94"/>
    </row>
    <row r="485" ht="24.0" customHeight="1">
      <c r="A485" s="149"/>
      <c r="B485" s="150"/>
      <c r="C485" s="197"/>
      <c r="D485" s="198"/>
      <c r="E485" s="198"/>
      <c r="F485" s="199"/>
      <c r="G485" s="200"/>
      <c r="H485" s="201"/>
      <c r="I485" s="202"/>
      <c r="J485" s="201"/>
      <c r="K485" s="170"/>
      <c r="L485" s="171"/>
      <c r="M485" s="94"/>
      <c r="N485" s="94"/>
      <c r="O485" s="94"/>
      <c r="P485" s="94"/>
      <c r="Q485" s="94"/>
      <c r="R485" s="94"/>
      <c r="S485" s="94"/>
      <c r="T485" s="94"/>
      <c r="U485" s="94"/>
      <c r="V485" s="94"/>
    </row>
    <row r="486" ht="24.0" customHeight="1">
      <c r="A486" s="149"/>
      <c r="B486" s="150"/>
      <c r="C486" s="197"/>
      <c r="D486" s="198"/>
      <c r="E486" s="198"/>
      <c r="F486" s="199"/>
      <c r="G486" s="200"/>
      <c r="H486" s="201"/>
      <c r="I486" s="202"/>
      <c r="J486" s="201"/>
      <c r="K486" s="170"/>
      <c r="L486" s="171"/>
      <c r="M486" s="94"/>
      <c r="N486" s="94"/>
      <c r="O486" s="94"/>
      <c r="P486" s="94"/>
      <c r="Q486" s="94"/>
      <c r="R486" s="94"/>
      <c r="S486" s="94"/>
      <c r="T486" s="94"/>
      <c r="U486" s="94"/>
      <c r="V486" s="94"/>
    </row>
    <row r="487" ht="24.0" customHeight="1">
      <c r="A487" s="149"/>
      <c r="B487" s="150"/>
      <c r="C487" s="197"/>
      <c r="D487" s="198"/>
      <c r="E487" s="198"/>
      <c r="F487" s="199"/>
      <c r="G487" s="200"/>
      <c r="H487" s="201"/>
      <c r="I487" s="202"/>
      <c r="J487" s="201"/>
      <c r="K487" s="170"/>
      <c r="L487" s="171"/>
      <c r="M487" s="94"/>
      <c r="N487" s="94"/>
      <c r="O487" s="94"/>
      <c r="P487" s="94"/>
      <c r="Q487" s="94"/>
      <c r="R487" s="94"/>
      <c r="S487" s="94"/>
      <c r="T487" s="94"/>
      <c r="U487" s="94"/>
      <c r="V487" s="94"/>
    </row>
    <row r="488" ht="24.0" customHeight="1">
      <c r="A488" s="149"/>
      <c r="B488" s="150"/>
      <c r="C488" s="197"/>
      <c r="D488" s="198"/>
      <c r="E488" s="198"/>
      <c r="F488" s="199"/>
      <c r="G488" s="200"/>
      <c r="H488" s="201"/>
      <c r="I488" s="202"/>
      <c r="J488" s="201"/>
      <c r="K488" s="170"/>
      <c r="L488" s="171"/>
      <c r="M488" s="94"/>
      <c r="N488" s="94"/>
      <c r="O488" s="94"/>
      <c r="P488" s="94"/>
      <c r="Q488" s="94"/>
      <c r="R488" s="94"/>
      <c r="S488" s="94"/>
      <c r="T488" s="94"/>
      <c r="U488" s="94"/>
      <c r="V488" s="94"/>
    </row>
    <row r="489" ht="24.0" customHeight="1">
      <c r="A489" s="149"/>
      <c r="B489" s="150"/>
      <c r="C489" s="197"/>
      <c r="D489" s="198"/>
      <c r="E489" s="198"/>
      <c r="F489" s="199"/>
      <c r="G489" s="200"/>
      <c r="H489" s="201"/>
      <c r="I489" s="202"/>
      <c r="J489" s="201"/>
      <c r="K489" s="170"/>
      <c r="L489" s="171"/>
      <c r="M489" s="94"/>
      <c r="N489" s="94"/>
      <c r="O489" s="94"/>
      <c r="P489" s="94"/>
      <c r="Q489" s="94"/>
      <c r="R489" s="94"/>
      <c r="S489" s="94"/>
      <c r="T489" s="94"/>
      <c r="U489" s="94"/>
      <c r="V489" s="94"/>
    </row>
    <row r="490" ht="24.0" customHeight="1">
      <c r="A490" s="149"/>
      <c r="B490" s="150"/>
      <c r="C490" s="197"/>
      <c r="D490" s="198"/>
      <c r="E490" s="198"/>
      <c r="F490" s="199"/>
      <c r="G490" s="200"/>
      <c r="H490" s="201"/>
      <c r="I490" s="202"/>
      <c r="J490" s="201"/>
      <c r="K490" s="170"/>
      <c r="L490" s="171"/>
      <c r="M490" s="94"/>
      <c r="N490" s="94"/>
      <c r="O490" s="94"/>
      <c r="P490" s="94"/>
      <c r="Q490" s="94"/>
      <c r="R490" s="94"/>
      <c r="S490" s="94"/>
      <c r="T490" s="94"/>
      <c r="U490" s="94"/>
      <c r="V490" s="94"/>
    </row>
    <row r="491" ht="24.0" customHeight="1">
      <c r="A491" s="149"/>
      <c r="B491" s="150"/>
      <c r="C491" s="197"/>
      <c r="D491" s="198"/>
      <c r="E491" s="198"/>
      <c r="F491" s="199"/>
      <c r="G491" s="200"/>
      <c r="H491" s="201"/>
      <c r="I491" s="202"/>
      <c r="J491" s="201"/>
      <c r="K491" s="170"/>
      <c r="L491" s="171"/>
      <c r="M491" s="94"/>
      <c r="N491" s="94"/>
      <c r="O491" s="94"/>
      <c r="P491" s="94"/>
      <c r="Q491" s="94"/>
      <c r="R491" s="94"/>
      <c r="S491" s="94"/>
      <c r="T491" s="94"/>
      <c r="U491" s="94"/>
      <c r="V491" s="94"/>
    </row>
    <row r="492" ht="24.0" customHeight="1">
      <c r="A492" s="149"/>
      <c r="B492" s="150"/>
      <c r="C492" s="197"/>
      <c r="D492" s="198"/>
      <c r="E492" s="198"/>
      <c r="F492" s="199"/>
      <c r="G492" s="200"/>
      <c r="H492" s="201"/>
      <c r="I492" s="202"/>
      <c r="J492" s="201"/>
      <c r="K492" s="170"/>
      <c r="L492" s="171"/>
      <c r="M492" s="94"/>
      <c r="N492" s="94"/>
      <c r="O492" s="94"/>
      <c r="P492" s="94"/>
      <c r="Q492" s="94"/>
      <c r="R492" s="94"/>
      <c r="S492" s="94"/>
      <c r="T492" s="94"/>
      <c r="U492" s="94"/>
      <c r="V492" s="94"/>
    </row>
    <row r="493" ht="24.0" customHeight="1">
      <c r="A493" s="149"/>
      <c r="B493" s="150"/>
      <c r="C493" s="197"/>
      <c r="D493" s="198"/>
      <c r="E493" s="198"/>
      <c r="F493" s="199"/>
      <c r="G493" s="200"/>
      <c r="H493" s="201"/>
      <c r="I493" s="202"/>
      <c r="J493" s="201"/>
      <c r="K493" s="170"/>
      <c r="L493" s="171"/>
      <c r="M493" s="94"/>
      <c r="N493" s="94"/>
      <c r="O493" s="94"/>
      <c r="P493" s="94"/>
      <c r="Q493" s="94"/>
      <c r="R493" s="94"/>
      <c r="S493" s="94"/>
      <c r="T493" s="94"/>
      <c r="U493" s="94"/>
      <c r="V493" s="94"/>
    </row>
    <row r="494" ht="24.0" customHeight="1">
      <c r="A494" s="149"/>
      <c r="B494" s="150"/>
      <c r="C494" s="197"/>
      <c r="D494" s="198"/>
      <c r="E494" s="198"/>
      <c r="F494" s="199"/>
      <c r="G494" s="200"/>
      <c r="H494" s="201"/>
      <c r="I494" s="202"/>
      <c r="J494" s="201"/>
      <c r="K494" s="170"/>
      <c r="L494" s="171"/>
      <c r="M494" s="94"/>
      <c r="N494" s="94"/>
      <c r="O494" s="94"/>
      <c r="P494" s="94"/>
      <c r="Q494" s="94"/>
      <c r="R494" s="94"/>
      <c r="S494" s="94"/>
      <c r="T494" s="94"/>
      <c r="U494" s="94"/>
      <c r="V494" s="94"/>
    </row>
    <row r="495" ht="24.0" customHeight="1">
      <c r="A495" s="149"/>
      <c r="B495" s="150"/>
      <c r="C495" s="197"/>
      <c r="D495" s="198"/>
      <c r="E495" s="198"/>
      <c r="F495" s="199"/>
      <c r="G495" s="200"/>
      <c r="H495" s="201"/>
      <c r="I495" s="202"/>
      <c r="J495" s="201"/>
      <c r="K495" s="170"/>
      <c r="L495" s="171"/>
      <c r="M495" s="94"/>
      <c r="N495" s="94"/>
      <c r="O495" s="94"/>
      <c r="P495" s="94"/>
      <c r="Q495" s="94"/>
      <c r="R495" s="94"/>
      <c r="S495" s="94"/>
      <c r="T495" s="94"/>
      <c r="U495" s="94"/>
      <c r="V495" s="94"/>
    </row>
    <row r="496" ht="24.0" customHeight="1">
      <c r="A496" s="149"/>
      <c r="B496" s="150"/>
      <c r="C496" s="197"/>
      <c r="D496" s="198"/>
      <c r="E496" s="198"/>
      <c r="F496" s="199"/>
      <c r="G496" s="200"/>
      <c r="H496" s="201"/>
      <c r="I496" s="202"/>
      <c r="J496" s="201"/>
      <c r="K496" s="170"/>
      <c r="L496" s="171"/>
      <c r="M496" s="94"/>
      <c r="N496" s="94"/>
      <c r="O496" s="94"/>
      <c r="P496" s="94"/>
      <c r="Q496" s="94"/>
      <c r="R496" s="94"/>
      <c r="S496" s="94"/>
      <c r="T496" s="94"/>
      <c r="U496" s="94"/>
      <c r="V496" s="94"/>
    </row>
    <row r="497" ht="24.0" customHeight="1">
      <c r="A497" s="149"/>
      <c r="B497" s="150"/>
      <c r="C497" s="197"/>
      <c r="D497" s="198"/>
      <c r="E497" s="198"/>
      <c r="F497" s="199"/>
      <c r="G497" s="200"/>
      <c r="H497" s="201"/>
      <c r="I497" s="202"/>
      <c r="J497" s="201"/>
      <c r="K497" s="170"/>
      <c r="L497" s="171"/>
      <c r="M497" s="94"/>
      <c r="N497" s="94"/>
      <c r="O497" s="94"/>
      <c r="P497" s="94"/>
      <c r="Q497" s="94"/>
      <c r="R497" s="94"/>
      <c r="S497" s="94"/>
      <c r="T497" s="94"/>
      <c r="U497" s="94"/>
      <c r="V497" s="94"/>
    </row>
    <row r="498" ht="24.0" customHeight="1">
      <c r="A498" s="149"/>
      <c r="B498" s="150"/>
      <c r="C498" s="197"/>
      <c r="D498" s="198"/>
      <c r="E498" s="198"/>
      <c r="F498" s="199"/>
      <c r="G498" s="200"/>
      <c r="H498" s="201"/>
      <c r="I498" s="202"/>
      <c r="J498" s="201"/>
      <c r="K498" s="170"/>
      <c r="L498" s="171"/>
      <c r="M498" s="94"/>
      <c r="N498" s="94"/>
      <c r="O498" s="94"/>
      <c r="P498" s="94"/>
      <c r="Q498" s="94"/>
      <c r="R498" s="94"/>
      <c r="S498" s="94"/>
      <c r="T498" s="94"/>
      <c r="U498" s="94"/>
      <c r="V498" s="94"/>
    </row>
    <row r="499" ht="24.0" customHeight="1">
      <c r="A499" s="149"/>
      <c r="B499" s="150"/>
      <c r="C499" s="197"/>
      <c r="D499" s="198"/>
      <c r="E499" s="198"/>
      <c r="F499" s="199"/>
      <c r="G499" s="200"/>
      <c r="H499" s="201"/>
      <c r="I499" s="202"/>
      <c r="J499" s="201"/>
      <c r="K499" s="170"/>
      <c r="L499" s="171"/>
      <c r="M499" s="94"/>
      <c r="N499" s="94"/>
      <c r="O499" s="94"/>
      <c r="P499" s="94"/>
      <c r="Q499" s="94"/>
      <c r="R499" s="94"/>
      <c r="S499" s="94"/>
      <c r="T499" s="94"/>
      <c r="U499" s="94"/>
      <c r="V499" s="94"/>
    </row>
    <row r="500" ht="24.0" customHeight="1">
      <c r="A500" s="149"/>
      <c r="B500" s="150"/>
      <c r="C500" s="197"/>
      <c r="D500" s="198"/>
      <c r="E500" s="198"/>
      <c r="F500" s="199"/>
      <c r="G500" s="200"/>
      <c r="H500" s="201"/>
      <c r="I500" s="202"/>
      <c r="J500" s="201"/>
      <c r="K500" s="170"/>
      <c r="L500" s="171"/>
      <c r="M500" s="94"/>
      <c r="N500" s="94"/>
      <c r="O500" s="94"/>
      <c r="P500" s="94"/>
      <c r="Q500" s="94"/>
      <c r="R500" s="94"/>
      <c r="S500" s="94"/>
      <c r="T500" s="94"/>
      <c r="U500" s="94"/>
      <c r="V500" s="94"/>
    </row>
    <row r="501" ht="24.0" customHeight="1">
      <c r="A501" s="149"/>
      <c r="B501" s="150"/>
      <c r="C501" s="197"/>
      <c r="D501" s="198"/>
      <c r="E501" s="198"/>
      <c r="F501" s="199"/>
      <c r="G501" s="200"/>
      <c r="H501" s="201"/>
      <c r="I501" s="202"/>
      <c r="J501" s="201"/>
      <c r="K501" s="170"/>
      <c r="L501" s="171"/>
      <c r="M501" s="94"/>
      <c r="N501" s="94"/>
      <c r="O501" s="94"/>
      <c r="P501" s="94"/>
      <c r="Q501" s="94"/>
      <c r="R501" s="94"/>
      <c r="S501" s="94"/>
      <c r="T501" s="94"/>
      <c r="U501" s="94"/>
      <c r="V501" s="94"/>
    </row>
    <row r="502" ht="24.0" customHeight="1">
      <c r="A502" s="149"/>
      <c r="B502" s="150"/>
      <c r="C502" s="197"/>
      <c r="D502" s="198"/>
      <c r="E502" s="198"/>
      <c r="F502" s="199"/>
      <c r="G502" s="200"/>
      <c r="H502" s="201"/>
      <c r="I502" s="202"/>
      <c r="J502" s="201"/>
      <c r="K502" s="170"/>
      <c r="L502" s="171"/>
      <c r="M502" s="94"/>
      <c r="N502" s="94"/>
      <c r="O502" s="94"/>
      <c r="P502" s="94"/>
      <c r="Q502" s="94"/>
      <c r="R502" s="94"/>
      <c r="S502" s="94"/>
      <c r="T502" s="94"/>
      <c r="U502" s="94"/>
      <c r="V502" s="94"/>
    </row>
    <row r="503" ht="24.0" customHeight="1">
      <c r="A503" s="149"/>
      <c r="B503" s="150"/>
      <c r="C503" s="197"/>
      <c r="D503" s="198"/>
      <c r="E503" s="198"/>
      <c r="F503" s="199"/>
      <c r="G503" s="200"/>
      <c r="H503" s="201"/>
      <c r="I503" s="202"/>
      <c r="J503" s="201"/>
      <c r="K503" s="170"/>
      <c r="L503" s="171"/>
      <c r="M503" s="94"/>
      <c r="N503" s="94"/>
      <c r="O503" s="94"/>
      <c r="P503" s="94"/>
      <c r="Q503" s="94"/>
      <c r="R503" s="94"/>
      <c r="S503" s="94"/>
      <c r="T503" s="94"/>
      <c r="U503" s="94"/>
      <c r="V503" s="94"/>
    </row>
    <row r="504" ht="24.0" customHeight="1">
      <c r="A504" s="149"/>
      <c r="B504" s="150"/>
      <c r="C504" s="197"/>
      <c r="D504" s="198"/>
      <c r="E504" s="198"/>
      <c r="F504" s="199"/>
      <c r="G504" s="200"/>
      <c r="H504" s="201"/>
      <c r="I504" s="202"/>
      <c r="J504" s="201"/>
      <c r="K504" s="170"/>
      <c r="L504" s="171"/>
      <c r="M504" s="94"/>
      <c r="N504" s="94"/>
      <c r="O504" s="94"/>
      <c r="P504" s="94"/>
      <c r="Q504" s="94"/>
      <c r="R504" s="94"/>
      <c r="S504" s="94"/>
      <c r="T504" s="94"/>
      <c r="U504" s="94"/>
      <c r="V504" s="94"/>
    </row>
    <row r="505" ht="24.0" customHeight="1">
      <c r="A505" s="149"/>
      <c r="B505" s="150"/>
      <c r="C505" s="197"/>
      <c r="D505" s="198"/>
      <c r="E505" s="198"/>
      <c r="F505" s="199"/>
      <c r="G505" s="200"/>
      <c r="H505" s="201"/>
      <c r="I505" s="202"/>
      <c r="J505" s="201"/>
      <c r="K505" s="170"/>
      <c r="L505" s="171"/>
      <c r="M505" s="94"/>
      <c r="N505" s="94"/>
      <c r="O505" s="94"/>
      <c r="P505" s="94"/>
      <c r="Q505" s="94"/>
      <c r="R505" s="94"/>
      <c r="S505" s="94"/>
      <c r="T505" s="94"/>
      <c r="U505" s="94"/>
      <c r="V505" s="94"/>
    </row>
    <row r="506" ht="24.0" customHeight="1">
      <c r="A506" s="149"/>
      <c r="B506" s="150"/>
      <c r="C506" s="197"/>
      <c r="D506" s="198"/>
      <c r="E506" s="198"/>
      <c r="F506" s="199"/>
      <c r="G506" s="200"/>
      <c r="H506" s="201"/>
      <c r="I506" s="202"/>
      <c r="J506" s="201"/>
      <c r="K506" s="170"/>
      <c r="L506" s="171"/>
      <c r="M506" s="94"/>
      <c r="N506" s="94"/>
      <c r="O506" s="94"/>
      <c r="P506" s="94"/>
      <c r="Q506" s="94"/>
      <c r="R506" s="94"/>
      <c r="S506" s="94"/>
      <c r="T506" s="94"/>
      <c r="U506" s="94"/>
      <c r="V506" s="94"/>
    </row>
    <row r="507" ht="24.0" customHeight="1">
      <c r="A507" s="149"/>
      <c r="B507" s="150"/>
      <c r="C507" s="197"/>
      <c r="D507" s="198"/>
      <c r="E507" s="198"/>
      <c r="F507" s="199"/>
      <c r="G507" s="200"/>
      <c r="H507" s="201"/>
      <c r="I507" s="202"/>
      <c r="J507" s="201"/>
      <c r="K507" s="170"/>
      <c r="L507" s="171"/>
      <c r="M507" s="94"/>
      <c r="N507" s="94"/>
      <c r="O507" s="94"/>
      <c r="P507" s="94"/>
      <c r="Q507" s="94"/>
      <c r="R507" s="94"/>
      <c r="S507" s="94"/>
      <c r="T507" s="94"/>
      <c r="U507" s="94"/>
      <c r="V507" s="94"/>
    </row>
    <row r="508" ht="24.0" customHeight="1">
      <c r="A508" s="149"/>
      <c r="B508" s="150"/>
      <c r="C508" s="197"/>
      <c r="D508" s="198"/>
      <c r="E508" s="198"/>
      <c r="F508" s="199"/>
      <c r="G508" s="200"/>
      <c r="H508" s="201"/>
      <c r="I508" s="202"/>
      <c r="J508" s="201"/>
      <c r="K508" s="170"/>
      <c r="L508" s="171"/>
      <c r="M508" s="94"/>
      <c r="N508" s="94"/>
      <c r="O508" s="94"/>
      <c r="P508" s="94"/>
      <c r="Q508" s="94"/>
      <c r="R508" s="94"/>
      <c r="S508" s="94"/>
      <c r="T508" s="94"/>
      <c r="U508" s="94"/>
      <c r="V508" s="94"/>
    </row>
    <row r="509" ht="24.0" customHeight="1">
      <c r="A509" s="149"/>
      <c r="B509" s="150"/>
      <c r="C509" s="197"/>
      <c r="D509" s="198"/>
      <c r="E509" s="198"/>
      <c r="F509" s="199"/>
      <c r="G509" s="200"/>
      <c r="H509" s="201"/>
      <c r="I509" s="202"/>
      <c r="J509" s="201"/>
      <c r="K509" s="170"/>
      <c r="L509" s="171"/>
      <c r="M509" s="94"/>
      <c r="N509" s="94"/>
      <c r="O509" s="94"/>
      <c r="P509" s="94"/>
      <c r="Q509" s="94"/>
      <c r="R509" s="94"/>
      <c r="S509" s="94"/>
      <c r="T509" s="94"/>
      <c r="U509" s="94"/>
      <c r="V509" s="94"/>
    </row>
    <row r="510" ht="24.0" customHeight="1">
      <c r="A510" s="149"/>
      <c r="B510" s="150"/>
      <c r="C510" s="197"/>
      <c r="D510" s="198"/>
      <c r="E510" s="198"/>
      <c r="F510" s="199"/>
      <c r="G510" s="200"/>
      <c r="H510" s="201"/>
      <c r="I510" s="202"/>
      <c r="J510" s="201"/>
      <c r="K510" s="170"/>
      <c r="L510" s="171"/>
      <c r="M510" s="94"/>
      <c r="N510" s="94"/>
      <c r="O510" s="94"/>
      <c r="P510" s="94"/>
      <c r="Q510" s="94"/>
      <c r="R510" s="94"/>
      <c r="S510" s="94"/>
      <c r="T510" s="94"/>
      <c r="U510" s="94"/>
      <c r="V510" s="94"/>
    </row>
    <row r="511" ht="24.0" customHeight="1">
      <c r="A511" s="149"/>
      <c r="B511" s="150"/>
      <c r="C511" s="197"/>
      <c r="D511" s="198"/>
      <c r="E511" s="198"/>
      <c r="F511" s="199"/>
      <c r="G511" s="200"/>
      <c r="H511" s="201"/>
      <c r="I511" s="202"/>
      <c r="J511" s="201"/>
      <c r="K511" s="170"/>
      <c r="L511" s="171"/>
      <c r="M511" s="94"/>
      <c r="N511" s="94"/>
      <c r="O511" s="94"/>
      <c r="P511" s="94"/>
      <c r="Q511" s="94"/>
      <c r="R511" s="94"/>
      <c r="S511" s="94"/>
      <c r="T511" s="94"/>
      <c r="U511" s="94"/>
      <c r="V511" s="94"/>
    </row>
    <row r="512" ht="24.0" customHeight="1">
      <c r="A512" s="149"/>
      <c r="B512" s="150"/>
      <c r="C512" s="197"/>
      <c r="D512" s="198"/>
      <c r="E512" s="198"/>
      <c r="F512" s="199"/>
      <c r="G512" s="200"/>
      <c r="H512" s="201"/>
      <c r="I512" s="202"/>
      <c r="J512" s="201"/>
      <c r="K512" s="170"/>
      <c r="L512" s="171"/>
      <c r="M512" s="94"/>
      <c r="N512" s="94"/>
      <c r="O512" s="94"/>
      <c r="P512" s="94"/>
      <c r="Q512" s="94"/>
      <c r="R512" s="94"/>
      <c r="S512" s="94"/>
      <c r="T512" s="94"/>
      <c r="U512" s="94"/>
      <c r="V512" s="94"/>
    </row>
    <row r="513" ht="24.0" customHeight="1">
      <c r="A513" s="149"/>
      <c r="B513" s="150"/>
      <c r="C513" s="197"/>
      <c r="D513" s="198"/>
      <c r="E513" s="198"/>
      <c r="F513" s="199"/>
      <c r="G513" s="200"/>
      <c r="H513" s="201"/>
      <c r="I513" s="202"/>
      <c r="J513" s="201"/>
      <c r="K513" s="170"/>
      <c r="L513" s="171"/>
      <c r="M513" s="94"/>
      <c r="N513" s="94"/>
      <c r="O513" s="94"/>
      <c r="P513" s="94"/>
      <c r="Q513" s="94"/>
      <c r="R513" s="94"/>
      <c r="S513" s="94"/>
      <c r="T513" s="94"/>
      <c r="U513" s="94"/>
      <c r="V513" s="94"/>
    </row>
    <row r="514" ht="24.0" customHeight="1">
      <c r="A514" s="149"/>
      <c r="B514" s="150"/>
      <c r="C514" s="197"/>
      <c r="D514" s="198"/>
      <c r="E514" s="198"/>
      <c r="F514" s="199"/>
      <c r="G514" s="200"/>
      <c r="H514" s="201"/>
      <c r="I514" s="202"/>
      <c r="J514" s="201"/>
      <c r="K514" s="170"/>
      <c r="L514" s="171"/>
      <c r="M514" s="94"/>
      <c r="N514" s="94"/>
      <c r="O514" s="94"/>
      <c r="P514" s="94"/>
      <c r="Q514" s="94"/>
      <c r="R514" s="94"/>
      <c r="S514" s="94"/>
      <c r="T514" s="94"/>
      <c r="U514" s="94"/>
      <c r="V514" s="94"/>
    </row>
    <row r="515" ht="24.0" customHeight="1">
      <c r="A515" s="149"/>
      <c r="B515" s="150"/>
      <c r="C515" s="197"/>
      <c r="D515" s="198"/>
      <c r="E515" s="198"/>
      <c r="F515" s="199"/>
      <c r="G515" s="200"/>
      <c r="H515" s="201"/>
      <c r="I515" s="202"/>
      <c r="J515" s="201"/>
      <c r="K515" s="170"/>
      <c r="L515" s="171"/>
      <c r="M515" s="94"/>
      <c r="N515" s="94"/>
      <c r="O515" s="94"/>
      <c r="P515" s="94"/>
      <c r="Q515" s="94"/>
      <c r="R515" s="94"/>
      <c r="S515" s="94"/>
      <c r="T515" s="94"/>
      <c r="U515" s="94"/>
      <c r="V515" s="94"/>
    </row>
    <row r="516" ht="24.0" customHeight="1">
      <c r="A516" s="149"/>
      <c r="B516" s="150"/>
      <c r="C516" s="197"/>
      <c r="D516" s="198"/>
      <c r="E516" s="198"/>
      <c r="F516" s="199"/>
      <c r="G516" s="200"/>
      <c r="H516" s="201"/>
      <c r="I516" s="202"/>
      <c r="J516" s="201"/>
      <c r="K516" s="170"/>
      <c r="L516" s="171"/>
      <c r="M516" s="94"/>
      <c r="N516" s="94"/>
      <c r="O516" s="94"/>
      <c r="P516" s="94"/>
      <c r="Q516" s="94"/>
      <c r="R516" s="94"/>
      <c r="S516" s="94"/>
      <c r="T516" s="94"/>
      <c r="U516" s="94"/>
      <c r="V516" s="94"/>
    </row>
    <row r="517" ht="24.0" customHeight="1">
      <c r="A517" s="149"/>
      <c r="B517" s="150"/>
      <c r="C517" s="197"/>
      <c r="D517" s="198"/>
      <c r="E517" s="198"/>
      <c r="F517" s="199"/>
      <c r="G517" s="200"/>
      <c r="H517" s="201"/>
      <c r="I517" s="202"/>
      <c r="J517" s="201"/>
      <c r="K517" s="170"/>
      <c r="L517" s="171"/>
      <c r="M517" s="94"/>
      <c r="N517" s="94"/>
      <c r="O517" s="94"/>
      <c r="P517" s="94"/>
      <c r="Q517" s="94"/>
      <c r="R517" s="94"/>
      <c r="S517" s="94"/>
      <c r="T517" s="94"/>
      <c r="U517" s="94"/>
      <c r="V517" s="94"/>
    </row>
    <row r="518" ht="24.0" customHeight="1">
      <c r="A518" s="149"/>
      <c r="B518" s="150"/>
      <c r="C518" s="197"/>
      <c r="D518" s="198"/>
      <c r="E518" s="198"/>
      <c r="F518" s="199"/>
      <c r="G518" s="200"/>
      <c r="H518" s="201"/>
      <c r="I518" s="202"/>
      <c r="J518" s="201"/>
      <c r="K518" s="170"/>
      <c r="L518" s="171"/>
      <c r="M518" s="94"/>
      <c r="N518" s="94"/>
      <c r="O518" s="94"/>
      <c r="P518" s="94"/>
      <c r="Q518" s="94"/>
      <c r="R518" s="94"/>
      <c r="S518" s="94"/>
      <c r="T518" s="94"/>
      <c r="U518" s="94"/>
      <c r="V518" s="94"/>
    </row>
    <row r="519" ht="24.0" customHeight="1">
      <c r="A519" s="149"/>
      <c r="B519" s="150"/>
      <c r="C519" s="197"/>
      <c r="D519" s="198"/>
      <c r="E519" s="198"/>
      <c r="F519" s="199"/>
      <c r="G519" s="200"/>
      <c r="H519" s="201"/>
      <c r="I519" s="202"/>
      <c r="J519" s="201"/>
      <c r="K519" s="170"/>
      <c r="L519" s="171"/>
      <c r="M519" s="94"/>
      <c r="N519" s="94"/>
      <c r="O519" s="94"/>
      <c r="P519" s="94"/>
      <c r="Q519" s="94"/>
      <c r="R519" s="94"/>
      <c r="S519" s="94"/>
      <c r="T519" s="94"/>
      <c r="U519" s="94"/>
      <c r="V519" s="94"/>
    </row>
    <row r="520" ht="24.0" customHeight="1">
      <c r="A520" s="149"/>
      <c r="B520" s="150"/>
      <c r="C520" s="197"/>
      <c r="D520" s="198"/>
      <c r="E520" s="198"/>
      <c r="F520" s="199"/>
      <c r="G520" s="200"/>
      <c r="H520" s="201"/>
      <c r="I520" s="202"/>
      <c r="J520" s="201"/>
      <c r="K520" s="170"/>
      <c r="L520" s="171"/>
      <c r="M520" s="94"/>
      <c r="N520" s="94"/>
      <c r="O520" s="94"/>
      <c r="P520" s="94"/>
      <c r="Q520" s="94"/>
      <c r="R520" s="94"/>
      <c r="S520" s="94"/>
      <c r="T520" s="94"/>
      <c r="U520" s="94"/>
      <c r="V520" s="94"/>
    </row>
    <row r="521" ht="24.0" customHeight="1">
      <c r="A521" s="149"/>
      <c r="B521" s="150"/>
      <c r="C521" s="197"/>
      <c r="D521" s="198"/>
      <c r="E521" s="198"/>
      <c r="F521" s="199"/>
      <c r="G521" s="200"/>
      <c r="H521" s="201"/>
      <c r="I521" s="202"/>
      <c r="J521" s="201"/>
      <c r="K521" s="170"/>
      <c r="L521" s="171"/>
      <c r="M521" s="94"/>
      <c r="N521" s="94"/>
      <c r="O521" s="94"/>
      <c r="P521" s="94"/>
      <c r="Q521" s="94"/>
      <c r="R521" s="94"/>
      <c r="S521" s="94"/>
      <c r="T521" s="94"/>
      <c r="U521" s="94"/>
      <c r="V521" s="94"/>
    </row>
    <row r="522" ht="24.0" customHeight="1">
      <c r="A522" s="149"/>
      <c r="B522" s="150"/>
      <c r="C522" s="197"/>
      <c r="D522" s="198"/>
      <c r="E522" s="198"/>
      <c r="F522" s="199"/>
      <c r="G522" s="200"/>
      <c r="H522" s="201"/>
      <c r="I522" s="202"/>
      <c r="J522" s="201"/>
      <c r="K522" s="170"/>
      <c r="L522" s="171"/>
      <c r="M522" s="94"/>
      <c r="N522" s="94"/>
      <c r="O522" s="94"/>
      <c r="P522" s="94"/>
      <c r="Q522" s="94"/>
      <c r="R522" s="94"/>
      <c r="S522" s="94"/>
      <c r="T522" s="94"/>
      <c r="U522" s="94"/>
      <c r="V522" s="94"/>
    </row>
    <row r="523" ht="24.0" customHeight="1">
      <c r="A523" s="149"/>
      <c r="B523" s="150"/>
      <c r="C523" s="197"/>
      <c r="D523" s="198"/>
      <c r="E523" s="198"/>
      <c r="F523" s="199"/>
      <c r="G523" s="200"/>
      <c r="H523" s="201"/>
      <c r="I523" s="202"/>
      <c r="J523" s="201"/>
      <c r="K523" s="170"/>
      <c r="L523" s="171"/>
      <c r="M523" s="94"/>
      <c r="N523" s="94"/>
      <c r="O523" s="94"/>
      <c r="P523" s="94"/>
      <c r="Q523" s="94"/>
      <c r="R523" s="94"/>
      <c r="S523" s="94"/>
      <c r="T523" s="94"/>
      <c r="U523" s="94"/>
      <c r="V523" s="94"/>
    </row>
    <row r="524" ht="24.0" customHeight="1">
      <c r="A524" s="149"/>
      <c r="B524" s="150"/>
      <c r="C524" s="197"/>
      <c r="D524" s="198"/>
      <c r="E524" s="198"/>
      <c r="F524" s="199"/>
      <c r="G524" s="200"/>
      <c r="H524" s="201"/>
      <c r="I524" s="202"/>
      <c r="J524" s="201"/>
      <c r="K524" s="170"/>
      <c r="L524" s="171"/>
      <c r="M524" s="94"/>
      <c r="N524" s="94"/>
      <c r="O524" s="94"/>
      <c r="P524" s="94"/>
      <c r="Q524" s="94"/>
      <c r="R524" s="94"/>
      <c r="S524" s="94"/>
      <c r="T524" s="94"/>
      <c r="U524" s="94"/>
      <c r="V524" s="94"/>
    </row>
    <row r="525" ht="24.0" customHeight="1">
      <c r="A525" s="149"/>
      <c r="B525" s="150"/>
      <c r="C525" s="197"/>
      <c r="D525" s="198"/>
      <c r="E525" s="198"/>
      <c r="F525" s="199"/>
      <c r="G525" s="200"/>
      <c r="H525" s="201"/>
      <c r="I525" s="202"/>
      <c r="J525" s="201"/>
      <c r="K525" s="170"/>
      <c r="L525" s="171"/>
      <c r="M525" s="94"/>
      <c r="N525" s="94"/>
      <c r="O525" s="94"/>
      <c r="P525" s="94"/>
      <c r="Q525" s="94"/>
      <c r="R525" s="94"/>
      <c r="S525" s="94"/>
      <c r="T525" s="94"/>
      <c r="U525" s="94"/>
      <c r="V525" s="94"/>
    </row>
    <row r="526" ht="24.0" customHeight="1">
      <c r="A526" s="149"/>
      <c r="B526" s="150"/>
      <c r="C526" s="197"/>
      <c r="D526" s="198"/>
      <c r="E526" s="198"/>
      <c r="F526" s="199"/>
      <c r="G526" s="200"/>
      <c r="H526" s="201"/>
      <c r="I526" s="202"/>
      <c r="J526" s="201"/>
      <c r="K526" s="170"/>
      <c r="L526" s="171"/>
      <c r="M526" s="94"/>
      <c r="N526" s="94"/>
      <c r="O526" s="94"/>
      <c r="P526" s="94"/>
      <c r="Q526" s="94"/>
      <c r="R526" s="94"/>
      <c r="S526" s="94"/>
      <c r="T526" s="94"/>
      <c r="U526" s="94"/>
      <c r="V526" s="94"/>
    </row>
    <row r="527" ht="24.0" customHeight="1">
      <c r="A527" s="149"/>
      <c r="B527" s="150"/>
      <c r="C527" s="197"/>
      <c r="D527" s="198"/>
      <c r="E527" s="198"/>
      <c r="F527" s="199"/>
      <c r="G527" s="200"/>
      <c r="H527" s="201"/>
      <c r="I527" s="202"/>
      <c r="J527" s="201"/>
      <c r="K527" s="170"/>
      <c r="L527" s="171"/>
      <c r="M527" s="94"/>
      <c r="N527" s="94"/>
      <c r="O527" s="94"/>
      <c r="P527" s="94"/>
      <c r="Q527" s="94"/>
      <c r="R527" s="94"/>
      <c r="S527" s="94"/>
      <c r="T527" s="94"/>
      <c r="U527" s="94"/>
      <c r="V527" s="94"/>
    </row>
    <row r="528" ht="24.0" customHeight="1">
      <c r="A528" s="149"/>
      <c r="B528" s="150"/>
      <c r="C528" s="197"/>
      <c r="D528" s="198"/>
      <c r="E528" s="198"/>
      <c r="F528" s="199"/>
      <c r="G528" s="200"/>
      <c r="H528" s="201"/>
      <c r="I528" s="202"/>
      <c r="J528" s="201"/>
      <c r="K528" s="170"/>
      <c r="L528" s="171"/>
      <c r="M528" s="94"/>
      <c r="N528" s="94"/>
      <c r="O528" s="94"/>
      <c r="P528" s="94"/>
      <c r="Q528" s="94"/>
      <c r="R528" s="94"/>
      <c r="S528" s="94"/>
      <c r="T528" s="94"/>
      <c r="U528" s="94"/>
      <c r="V528" s="94"/>
    </row>
    <row r="529" ht="24.0" customHeight="1">
      <c r="A529" s="149"/>
      <c r="B529" s="150"/>
      <c r="C529" s="197"/>
      <c r="D529" s="198"/>
      <c r="E529" s="198"/>
      <c r="F529" s="199"/>
      <c r="G529" s="200"/>
      <c r="H529" s="201"/>
      <c r="I529" s="202"/>
      <c r="J529" s="201"/>
      <c r="K529" s="170"/>
      <c r="L529" s="171"/>
      <c r="M529" s="94"/>
      <c r="N529" s="94"/>
      <c r="O529" s="94"/>
      <c r="P529" s="94"/>
      <c r="Q529" s="94"/>
      <c r="R529" s="94"/>
      <c r="S529" s="94"/>
      <c r="T529" s="94"/>
      <c r="U529" s="94"/>
      <c r="V529" s="94"/>
    </row>
    <row r="530" ht="24.0" customHeight="1">
      <c r="A530" s="149"/>
      <c r="B530" s="150"/>
      <c r="C530" s="197"/>
      <c r="D530" s="198"/>
      <c r="E530" s="198"/>
      <c r="F530" s="199"/>
      <c r="G530" s="200"/>
      <c r="H530" s="201"/>
      <c r="I530" s="202"/>
      <c r="J530" s="201"/>
      <c r="K530" s="170"/>
      <c r="L530" s="171"/>
      <c r="M530" s="94"/>
      <c r="N530" s="94"/>
      <c r="O530" s="94"/>
      <c r="P530" s="94"/>
      <c r="Q530" s="94"/>
      <c r="R530" s="94"/>
      <c r="S530" s="94"/>
      <c r="T530" s="94"/>
      <c r="U530" s="94"/>
      <c r="V530" s="94"/>
    </row>
    <row r="531" ht="24.0" customHeight="1">
      <c r="A531" s="149"/>
      <c r="B531" s="150"/>
      <c r="C531" s="197"/>
      <c r="D531" s="198"/>
      <c r="E531" s="198"/>
      <c r="F531" s="199"/>
      <c r="G531" s="200"/>
      <c r="H531" s="201"/>
      <c r="I531" s="202"/>
      <c r="J531" s="201"/>
      <c r="K531" s="170"/>
      <c r="L531" s="171"/>
      <c r="M531" s="94"/>
      <c r="N531" s="94"/>
      <c r="O531" s="94"/>
      <c r="P531" s="94"/>
      <c r="Q531" s="94"/>
      <c r="R531" s="94"/>
      <c r="S531" s="94"/>
      <c r="T531" s="94"/>
      <c r="U531" s="94"/>
      <c r="V531" s="94"/>
    </row>
    <row r="532" ht="24.0" customHeight="1">
      <c r="A532" s="149"/>
      <c r="B532" s="150"/>
      <c r="C532" s="197"/>
      <c r="D532" s="198"/>
      <c r="E532" s="198"/>
      <c r="F532" s="199"/>
      <c r="G532" s="200"/>
      <c r="H532" s="201"/>
      <c r="I532" s="202"/>
      <c r="J532" s="201"/>
      <c r="K532" s="170"/>
      <c r="L532" s="171"/>
      <c r="M532" s="94"/>
      <c r="N532" s="94"/>
      <c r="O532" s="94"/>
      <c r="P532" s="94"/>
      <c r="Q532" s="94"/>
      <c r="R532" s="94"/>
      <c r="S532" s="94"/>
      <c r="T532" s="94"/>
      <c r="U532" s="94"/>
      <c r="V532" s="94"/>
    </row>
    <row r="533" ht="24.0" customHeight="1">
      <c r="A533" s="149"/>
      <c r="B533" s="150"/>
      <c r="C533" s="197"/>
      <c r="D533" s="198"/>
      <c r="E533" s="198"/>
      <c r="F533" s="199"/>
      <c r="G533" s="200"/>
      <c r="H533" s="201"/>
      <c r="I533" s="202"/>
      <c r="J533" s="201"/>
      <c r="K533" s="170"/>
      <c r="L533" s="171"/>
      <c r="M533" s="94"/>
      <c r="N533" s="94"/>
      <c r="O533" s="94"/>
      <c r="P533" s="94"/>
      <c r="Q533" s="94"/>
      <c r="R533" s="94"/>
      <c r="S533" s="94"/>
      <c r="T533" s="94"/>
      <c r="U533" s="94"/>
      <c r="V533" s="94"/>
    </row>
    <row r="534" ht="24.0" customHeight="1">
      <c r="A534" s="149"/>
      <c r="B534" s="150"/>
      <c r="C534" s="197"/>
      <c r="D534" s="198"/>
      <c r="E534" s="198"/>
      <c r="F534" s="199"/>
      <c r="G534" s="200"/>
      <c r="H534" s="201"/>
      <c r="I534" s="202"/>
      <c r="J534" s="201"/>
      <c r="K534" s="170"/>
      <c r="L534" s="171"/>
      <c r="M534" s="94"/>
      <c r="N534" s="94"/>
      <c r="O534" s="94"/>
      <c r="P534" s="94"/>
      <c r="Q534" s="94"/>
      <c r="R534" s="94"/>
      <c r="S534" s="94"/>
      <c r="T534" s="94"/>
      <c r="U534" s="94"/>
      <c r="V534" s="94"/>
    </row>
    <row r="535" ht="24.0" customHeight="1">
      <c r="A535" s="149"/>
      <c r="B535" s="150"/>
      <c r="C535" s="197"/>
      <c r="D535" s="198"/>
      <c r="E535" s="198"/>
      <c r="F535" s="199"/>
      <c r="G535" s="200"/>
      <c r="H535" s="201"/>
      <c r="I535" s="202"/>
      <c r="J535" s="201"/>
      <c r="K535" s="170"/>
      <c r="L535" s="171"/>
      <c r="M535" s="94"/>
      <c r="N535" s="94"/>
      <c r="O535" s="94"/>
      <c r="P535" s="94"/>
      <c r="Q535" s="94"/>
      <c r="R535" s="94"/>
      <c r="S535" s="94"/>
      <c r="T535" s="94"/>
      <c r="U535" s="94"/>
      <c r="V535" s="94"/>
    </row>
    <row r="536" ht="24.0" customHeight="1">
      <c r="A536" s="149"/>
      <c r="B536" s="150"/>
      <c r="C536" s="197"/>
      <c r="D536" s="198"/>
      <c r="E536" s="198"/>
      <c r="F536" s="199"/>
      <c r="G536" s="200"/>
      <c r="H536" s="201"/>
      <c r="I536" s="202"/>
      <c r="J536" s="201"/>
      <c r="K536" s="170"/>
      <c r="L536" s="171"/>
      <c r="M536" s="94"/>
      <c r="N536" s="94"/>
      <c r="O536" s="94"/>
      <c r="P536" s="94"/>
      <c r="Q536" s="94"/>
      <c r="R536" s="94"/>
      <c r="S536" s="94"/>
      <c r="T536" s="94"/>
      <c r="U536" s="94"/>
      <c r="V536" s="94"/>
    </row>
    <row r="537" ht="24.0" customHeight="1">
      <c r="A537" s="149"/>
      <c r="B537" s="150"/>
      <c r="C537" s="197"/>
      <c r="D537" s="198"/>
      <c r="E537" s="198"/>
      <c r="F537" s="199"/>
      <c r="G537" s="200"/>
      <c r="H537" s="201"/>
      <c r="I537" s="202"/>
      <c r="J537" s="201"/>
      <c r="K537" s="170"/>
      <c r="L537" s="171"/>
      <c r="M537" s="94"/>
      <c r="N537" s="94"/>
      <c r="O537" s="94"/>
      <c r="P537" s="94"/>
      <c r="Q537" s="94"/>
      <c r="R537" s="94"/>
      <c r="S537" s="94"/>
      <c r="T537" s="94"/>
      <c r="U537" s="94"/>
      <c r="V537" s="94"/>
    </row>
    <row r="538" ht="24.0" customHeight="1">
      <c r="A538" s="149"/>
      <c r="B538" s="150"/>
      <c r="C538" s="197"/>
      <c r="D538" s="198"/>
      <c r="E538" s="198"/>
      <c r="F538" s="199"/>
      <c r="G538" s="200"/>
      <c r="H538" s="201"/>
      <c r="I538" s="202"/>
      <c r="J538" s="201"/>
      <c r="K538" s="170"/>
      <c r="L538" s="171"/>
      <c r="M538" s="94"/>
      <c r="N538" s="94"/>
      <c r="O538" s="94"/>
      <c r="P538" s="94"/>
      <c r="Q538" s="94"/>
      <c r="R538" s="94"/>
      <c r="S538" s="94"/>
      <c r="T538" s="94"/>
      <c r="U538" s="94"/>
      <c r="V538" s="94"/>
    </row>
    <row r="539" ht="24.0" customHeight="1">
      <c r="A539" s="149"/>
      <c r="B539" s="150"/>
      <c r="C539" s="197"/>
      <c r="D539" s="198"/>
      <c r="E539" s="198"/>
      <c r="F539" s="199"/>
      <c r="G539" s="200"/>
      <c r="H539" s="201"/>
      <c r="I539" s="202"/>
      <c r="J539" s="201"/>
      <c r="K539" s="170"/>
      <c r="L539" s="171"/>
      <c r="M539" s="94"/>
      <c r="N539" s="94"/>
      <c r="O539" s="94"/>
      <c r="P539" s="94"/>
      <c r="Q539" s="94"/>
      <c r="R539" s="94"/>
      <c r="S539" s="94"/>
      <c r="T539" s="94"/>
      <c r="U539" s="94"/>
      <c r="V539" s="94"/>
    </row>
    <row r="540" ht="24.0" customHeight="1">
      <c r="A540" s="149"/>
      <c r="B540" s="150"/>
      <c r="C540" s="197"/>
      <c r="D540" s="198"/>
      <c r="E540" s="198"/>
      <c r="F540" s="199"/>
      <c r="G540" s="200"/>
      <c r="H540" s="201"/>
      <c r="I540" s="202"/>
      <c r="J540" s="201"/>
      <c r="K540" s="170"/>
      <c r="L540" s="171"/>
      <c r="M540" s="94"/>
      <c r="N540" s="94"/>
      <c r="O540" s="94"/>
      <c r="P540" s="94"/>
      <c r="Q540" s="94"/>
      <c r="R540" s="94"/>
      <c r="S540" s="94"/>
      <c r="T540" s="94"/>
      <c r="U540" s="94"/>
      <c r="V540" s="94"/>
    </row>
    <row r="541" ht="24.0" customHeight="1">
      <c r="A541" s="149"/>
      <c r="B541" s="150"/>
      <c r="C541" s="197"/>
      <c r="D541" s="198"/>
      <c r="E541" s="198"/>
      <c r="F541" s="199"/>
      <c r="G541" s="200"/>
      <c r="H541" s="201"/>
      <c r="I541" s="202"/>
      <c r="J541" s="201"/>
      <c r="K541" s="170"/>
      <c r="L541" s="171"/>
      <c r="M541" s="94"/>
      <c r="N541" s="94"/>
      <c r="O541" s="94"/>
      <c r="P541" s="94"/>
      <c r="Q541" s="94"/>
      <c r="R541" s="94"/>
      <c r="S541" s="94"/>
      <c r="T541" s="94"/>
      <c r="U541" s="94"/>
      <c r="V541" s="94"/>
    </row>
    <row r="542" ht="24.0" customHeight="1">
      <c r="A542" s="149"/>
      <c r="B542" s="150"/>
      <c r="C542" s="197"/>
      <c r="D542" s="198"/>
      <c r="E542" s="198"/>
      <c r="F542" s="199"/>
      <c r="G542" s="200"/>
      <c r="H542" s="201"/>
      <c r="I542" s="202"/>
      <c r="J542" s="201"/>
      <c r="K542" s="170"/>
      <c r="L542" s="171"/>
      <c r="M542" s="94"/>
      <c r="N542" s="94"/>
      <c r="O542" s="94"/>
      <c r="P542" s="94"/>
      <c r="Q542" s="94"/>
      <c r="R542" s="94"/>
      <c r="S542" s="94"/>
      <c r="T542" s="94"/>
      <c r="U542" s="94"/>
      <c r="V542" s="94"/>
    </row>
    <row r="543" ht="24.0" customHeight="1">
      <c r="A543" s="149"/>
      <c r="B543" s="150"/>
      <c r="C543" s="197"/>
      <c r="D543" s="198"/>
      <c r="E543" s="198"/>
      <c r="F543" s="199"/>
      <c r="G543" s="200"/>
      <c r="H543" s="201"/>
      <c r="I543" s="202"/>
      <c r="J543" s="201"/>
      <c r="K543" s="170"/>
      <c r="L543" s="171"/>
      <c r="M543" s="94"/>
      <c r="N543" s="94"/>
      <c r="O543" s="94"/>
      <c r="P543" s="94"/>
      <c r="Q543" s="94"/>
      <c r="R543" s="94"/>
      <c r="S543" s="94"/>
      <c r="T543" s="94"/>
      <c r="U543" s="94"/>
      <c r="V543" s="94"/>
    </row>
    <row r="544" ht="24.0" customHeight="1">
      <c r="A544" s="149"/>
      <c r="B544" s="150"/>
      <c r="C544" s="197"/>
      <c r="D544" s="198"/>
      <c r="E544" s="198"/>
      <c r="F544" s="199"/>
      <c r="G544" s="200"/>
      <c r="H544" s="201"/>
      <c r="I544" s="202"/>
      <c r="J544" s="201"/>
      <c r="K544" s="170"/>
      <c r="L544" s="171"/>
      <c r="M544" s="94"/>
      <c r="N544" s="94"/>
      <c r="O544" s="94"/>
      <c r="P544" s="94"/>
      <c r="Q544" s="94"/>
      <c r="R544" s="94"/>
      <c r="S544" s="94"/>
      <c r="T544" s="94"/>
      <c r="U544" s="94"/>
      <c r="V544" s="94"/>
    </row>
    <row r="545" ht="24.0" customHeight="1">
      <c r="A545" s="149"/>
      <c r="B545" s="150"/>
      <c r="C545" s="197"/>
      <c r="D545" s="198"/>
      <c r="E545" s="198"/>
      <c r="F545" s="199"/>
      <c r="G545" s="200"/>
      <c r="H545" s="201"/>
      <c r="I545" s="202"/>
      <c r="J545" s="201"/>
      <c r="K545" s="170"/>
      <c r="L545" s="171"/>
      <c r="M545" s="94"/>
      <c r="N545" s="94"/>
      <c r="O545" s="94"/>
      <c r="P545" s="94"/>
      <c r="Q545" s="94"/>
      <c r="R545" s="94"/>
      <c r="S545" s="94"/>
      <c r="T545" s="94"/>
      <c r="U545" s="94"/>
      <c r="V545" s="94"/>
    </row>
    <row r="546" ht="24.0" customHeight="1">
      <c r="A546" s="149"/>
      <c r="B546" s="150"/>
      <c r="C546" s="197"/>
      <c r="D546" s="198"/>
      <c r="E546" s="198"/>
      <c r="F546" s="199"/>
      <c r="G546" s="200"/>
      <c r="H546" s="201"/>
      <c r="I546" s="202"/>
      <c r="J546" s="201"/>
      <c r="K546" s="170"/>
      <c r="L546" s="171"/>
      <c r="M546" s="94"/>
      <c r="N546" s="94"/>
      <c r="O546" s="94"/>
      <c r="P546" s="94"/>
      <c r="Q546" s="94"/>
      <c r="R546" s="94"/>
      <c r="S546" s="94"/>
      <c r="T546" s="94"/>
      <c r="U546" s="94"/>
      <c r="V546" s="94"/>
    </row>
    <row r="547" ht="24.0" customHeight="1">
      <c r="A547" s="149"/>
      <c r="B547" s="150"/>
      <c r="C547" s="197"/>
      <c r="D547" s="198"/>
      <c r="E547" s="198"/>
      <c r="F547" s="199"/>
      <c r="G547" s="200"/>
      <c r="H547" s="201"/>
      <c r="I547" s="202"/>
      <c r="J547" s="201"/>
      <c r="K547" s="170"/>
      <c r="L547" s="171"/>
      <c r="M547" s="94"/>
      <c r="N547" s="94"/>
      <c r="O547" s="94"/>
      <c r="P547" s="94"/>
      <c r="Q547" s="94"/>
      <c r="R547" s="94"/>
      <c r="S547" s="94"/>
      <c r="T547" s="94"/>
      <c r="U547" s="94"/>
      <c r="V547" s="94"/>
    </row>
    <row r="548" ht="24.0" customHeight="1">
      <c r="A548" s="149"/>
      <c r="B548" s="150"/>
      <c r="C548" s="197"/>
      <c r="D548" s="198"/>
      <c r="E548" s="198"/>
      <c r="F548" s="199"/>
      <c r="G548" s="200"/>
      <c r="H548" s="201"/>
      <c r="I548" s="202"/>
      <c r="J548" s="201"/>
      <c r="K548" s="170"/>
      <c r="L548" s="171"/>
      <c r="M548" s="94"/>
      <c r="N548" s="94"/>
      <c r="O548" s="94"/>
      <c r="P548" s="94"/>
      <c r="Q548" s="94"/>
      <c r="R548" s="94"/>
      <c r="S548" s="94"/>
      <c r="T548" s="94"/>
      <c r="U548" s="94"/>
      <c r="V548" s="94"/>
    </row>
    <row r="549" ht="24.0" customHeight="1">
      <c r="A549" s="149"/>
      <c r="B549" s="150"/>
      <c r="C549" s="197"/>
      <c r="D549" s="198"/>
      <c r="E549" s="198"/>
      <c r="F549" s="199"/>
      <c r="G549" s="200"/>
      <c r="H549" s="201"/>
      <c r="I549" s="202"/>
      <c r="J549" s="201"/>
      <c r="K549" s="170"/>
      <c r="L549" s="171"/>
      <c r="M549" s="94"/>
      <c r="N549" s="94"/>
      <c r="O549" s="94"/>
      <c r="P549" s="94"/>
      <c r="Q549" s="94"/>
      <c r="R549" s="94"/>
      <c r="S549" s="94"/>
      <c r="T549" s="94"/>
      <c r="U549" s="94"/>
      <c r="V549" s="94"/>
    </row>
    <row r="550" ht="24.0" customHeight="1">
      <c r="A550" s="149"/>
      <c r="B550" s="150"/>
      <c r="C550" s="197"/>
      <c r="D550" s="198"/>
      <c r="E550" s="198"/>
      <c r="F550" s="199"/>
      <c r="G550" s="200"/>
      <c r="H550" s="201"/>
      <c r="I550" s="202"/>
      <c r="J550" s="201"/>
      <c r="K550" s="170"/>
      <c r="L550" s="171"/>
      <c r="M550" s="94"/>
      <c r="N550" s="94"/>
      <c r="O550" s="94"/>
      <c r="P550" s="94"/>
      <c r="Q550" s="94"/>
      <c r="R550" s="94"/>
      <c r="S550" s="94"/>
      <c r="T550" s="94"/>
      <c r="U550" s="94"/>
      <c r="V550" s="94"/>
    </row>
    <row r="551" ht="24.0" customHeight="1">
      <c r="A551" s="149"/>
      <c r="B551" s="150"/>
      <c r="C551" s="197"/>
      <c r="D551" s="198"/>
      <c r="E551" s="198"/>
      <c r="F551" s="199"/>
      <c r="G551" s="200"/>
      <c r="H551" s="201"/>
      <c r="I551" s="202"/>
      <c r="J551" s="201"/>
      <c r="K551" s="170"/>
      <c r="L551" s="171"/>
      <c r="M551" s="94"/>
      <c r="N551" s="94"/>
      <c r="O551" s="94"/>
      <c r="P551" s="94"/>
      <c r="Q551" s="94"/>
      <c r="R551" s="94"/>
      <c r="S551" s="94"/>
      <c r="T551" s="94"/>
      <c r="U551" s="94"/>
      <c r="V551" s="94"/>
    </row>
    <row r="552" ht="24.0" customHeight="1">
      <c r="A552" s="149"/>
      <c r="B552" s="150"/>
      <c r="C552" s="197"/>
      <c r="D552" s="198"/>
      <c r="E552" s="198"/>
      <c r="F552" s="199"/>
      <c r="G552" s="200"/>
      <c r="H552" s="201"/>
      <c r="I552" s="202"/>
      <c r="J552" s="201"/>
      <c r="K552" s="170"/>
      <c r="L552" s="171"/>
      <c r="M552" s="94"/>
      <c r="N552" s="94"/>
      <c r="O552" s="94"/>
      <c r="P552" s="94"/>
      <c r="Q552" s="94"/>
      <c r="R552" s="94"/>
      <c r="S552" s="94"/>
      <c r="T552" s="94"/>
      <c r="U552" s="94"/>
      <c r="V552" s="94"/>
    </row>
    <row r="553" ht="24.0" customHeight="1">
      <c r="A553" s="149"/>
      <c r="B553" s="150"/>
      <c r="C553" s="197"/>
      <c r="D553" s="198"/>
      <c r="E553" s="198"/>
      <c r="F553" s="199"/>
      <c r="G553" s="200"/>
      <c r="H553" s="201"/>
      <c r="I553" s="202"/>
      <c r="J553" s="201"/>
      <c r="K553" s="170"/>
      <c r="L553" s="171"/>
      <c r="M553" s="94"/>
      <c r="N553" s="94"/>
      <c r="O553" s="94"/>
      <c r="P553" s="94"/>
      <c r="Q553" s="94"/>
      <c r="R553" s="94"/>
      <c r="S553" s="94"/>
      <c r="T553" s="94"/>
      <c r="U553" s="94"/>
      <c r="V553" s="94"/>
    </row>
    <row r="554" ht="24.0" customHeight="1">
      <c r="A554" s="149"/>
      <c r="B554" s="150"/>
      <c r="C554" s="197"/>
      <c r="D554" s="198"/>
      <c r="E554" s="198"/>
      <c r="F554" s="199"/>
      <c r="G554" s="200"/>
      <c r="H554" s="201"/>
      <c r="I554" s="202"/>
      <c r="J554" s="201"/>
      <c r="K554" s="170"/>
      <c r="L554" s="171"/>
      <c r="M554" s="94"/>
      <c r="N554" s="94"/>
      <c r="O554" s="94"/>
      <c r="P554" s="94"/>
      <c r="Q554" s="94"/>
      <c r="R554" s="94"/>
      <c r="S554" s="94"/>
      <c r="T554" s="94"/>
      <c r="U554" s="94"/>
      <c r="V554" s="94"/>
    </row>
    <row r="555" ht="24.0" customHeight="1">
      <c r="A555" s="149"/>
      <c r="B555" s="150"/>
      <c r="C555" s="197"/>
      <c r="D555" s="198"/>
      <c r="E555" s="198"/>
      <c r="F555" s="199"/>
      <c r="G555" s="200"/>
      <c r="H555" s="201"/>
      <c r="I555" s="202"/>
      <c r="J555" s="201"/>
      <c r="K555" s="170"/>
      <c r="L555" s="171"/>
      <c r="M555" s="94"/>
      <c r="N555" s="94"/>
      <c r="O555" s="94"/>
      <c r="P555" s="94"/>
      <c r="Q555" s="94"/>
      <c r="R555" s="94"/>
      <c r="S555" s="94"/>
      <c r="T555" s="94"/>
      <c r="U555" s="94"/>
      <c r="V555" s="94"/>
    </row>
    <row r="556" ht="24.0" customHeight="1">
      <c r="A556" s="149"/>
      <c r="B556" s="150"/>
      <c r="C556" s="197"/>
      <c r="D556" s="198"/>
      <c r="E556" s="198"/>
      <c r="F556" s="199"/>
      <c r="G556" s="200"/>
      <c r="H556" s="201"/>
      <c r="I556" s="202"/>
      <c r="J556" s="201"/>
      <c r="K556" s="170"/>
      <c r="L556" s="171"/>
      <c r="M556" s="94"/>
      <c r="N556" s="94"/>
      <c r="O556" s="94"/>
      <c r="P556" s="94"/>
      <c r="Q556" s="94"/>
      <c r="R556" s="94"/>
      <c r="S556" s="94"/>
      <c r="T556" s="94"/>
      <c r="U556" s="94"/>
      <c r="V556" s="94"/>
    </row>
    <row r="557" ht="24.0" customHeight="1">
      <c r="A557" s="149"/>
      <c r="B557" s="150"/>
      <c r="C557" s="197"/>
      <c r="D557" s="198"/>
      <c r="E557" s="198"/>
      <c r="F557" s="199"/>
      <c r="G557" s="200"/>
      <c r="H557" s="201"/>
      <c r="I557" s="202"/>
      <c r="J557" s="201"/>
      <c r="K557" s="170"/>
      <c r="L557" s="171"/>
      <c r="M557" s="94"/>
      <c r="N557" s="94"/>
      <c r="O557" s="94"/>
      <c r="P557" s="94"/>
      <c r="Q557" s="94"/>
      <c r="R557" s="94"/>
      <c r="S557" s="94"/>
      <c r="T557" s="94"/>
      <c r="U557" s="94"/>
      <c r="V557" s="94"/>
    </row>
    <row r="558" ht="24.0" customHeight="1">
      <c r="A558" s="149"/>
      <c r="B558" s="150"/>
      <c r="C558" s="197"/>
      <c r="D558" s="198"/>
      <c r="E558" s="198"/>
      <c r="F558" s="199"/>
      <c r="G558" s="200"/>
      <c r="H558" s="201"/>
      <c r="I558" s="202"/>
      <c r="J558" s="201"/>
      <c r="K558" s="170"/>
      <c r="L558" s="171"/>
      <c r="M558" s="94"/>
      <c r="N558" s="94"/>
      <c r="O558" s="94"/>
      <c r="P558" s="94"/>
      <c r="Q558" s="94"/>
      <c r="R558" s="94"/>
      <c r="S558" s="94"/>
      <c r="T558" s="94"/>
      <c r="U558" s="94"/>
      <c r="V558" s="94"/>
    </row>
    <row r="559" ht="24.0" customHeight="1">
      <c r="A559" s="149"/>
      <c r="B559" s="150"/>
      <c r="C559" s="197"/>
      <c r="D559" s="198"/>
      <c r="E559" s="198"/>
      <c r="F559" s="199"/>
      <c r="G559" s="200"/>
      <c r="H559" s="201"/>
      <c r="I559" s="202"/>
      <c r="J559" s="201"/>
      <c r="K559" s="170"/>
      <c r="L559" s="171"/>
      <c r="M559" s="94"/>
      <c r="N559" s="94"/>
      <c r="O559" s="94"/>
      <c r="P559" s="94"/>
      <c r="Q559" s="94"/>
      <c r="R559" s="94"/>
      <c r="S559" s="94"/>
      <c r="T559" s="94"/>
      <c r="U559" s="94"/>
      <c r="V559" s="94"/>
    </row>
    <row r="560" ht="24.0" customHeight="1">
      <c r="A560" s="149"/>
      <c r="B560" s="150"/>
      <c r="C560" s="197"/>
      <c r="D560" s="198"/>
      <c r="E560" s="198"/>
      <c r="F560" s="199"/>
      <c r="G560" s="200"/>
      <c r="H560" s="201"/>
      <c r="I560" s="202"/>
      <c r="J560" s="201"/>
      <c r="K560" s="170"/>
      <c r="L560" s="171"/>
      <c r="M560" s="94"/>
      <c r="N560" s="94"/>
      <c r="O560" s="94"/>
      <c r="P560" s="94"/>
      <c r="Q560" s="94"/>
      <c r="R560" s="94"/>
      <c r="S560" s="94"/>
      <c r="T560" s="94"/>
      <c r="U560" s="94"/>
      <c r="V560" s="94"/>
    </row>
    <row r="561" ht="24.0" customHeight="1">
      <c r="A561" s="149"/>
      <c r="B561" s="150"/>
      <c r="C561" s="197"/>
      <c r="D561" s="198"/>
      <c r="E561" s="198"/>
      <c r="F561" s="199"/>
      <c r="G561" s="200"/>
      <c r="H561" s="201"/>
      <c r="I561" s="202"/>
      <c r="J561" s="201"/>
      <c r="K561" s="170"/>
      <c r="L561" s="171"/>
      <c r="M561" s="94"/>
      <c r="N561" s="94"/>
      <c r="O561" s="94"/>
      <c r="P561" s="94"/>
      <c r="Q561" s="94"/>
      <c r="R561" s="94"/>
      <c r="S561" s="94"/>
      <c r="T561" s="94"/>
      <c r="U561" s="94"/>
      <c r="V561" s="94"/>
    </row>
    <row r="562" ht="24.0" customHeight="1">
      <c r="A562" s="149"/>
      <c r="B562" s="150"/>
      <c r="C562" s="197"/>
      <c r="D562" s="198"/>
      <c r="E562" s="198"/>
      <c r="F562" s="199"/>
      <c r="G562" s="200"/>
      <c r="H562" s="201"/>
      <c r="I562" s="202"/>
      <c r="J562" s="201"/>
      <c r="K562" s="170"/>
      <c r="L562" s="171"/>
      <c r="M562" s="94"/>
      <c r="N562" s="94"/>
      <c r="O562" s="94"/>
      <c r="P562" s="94"/>
      <c r="Q562" s="94"/>
      <c r="R562" s="94"/>
      <c r="S562" s="94"/>
      <c r="T562" s="94"/>
      <c r="U562" s="94"/>
      <c r="V562" s="94"/>
    </row>
    <row r="563" ht="24.0" customHeight="1">
      <c r="A563" s="149"/>
      <c r="B563" s="150"/>
      <c r="C563" s="197"/>
      <c r="D563" s="198"/>
      <c r="E563" s="198"/>
      <c r="F563" s="199"/>
      <c r="G563" s="200"/>
      <c r="H563" s="201"/>
      <c r="I563" s="202"/>
      <c r="J563" s="201"/>
      <c r="K563" s="170"/>
      <c r="L563" s="171"/>
      <c r="M563" s="94"/>
      <c r="N563" s="94"/>
      <c r="O563" s="94"/>
      <c r="P563" s="94"/>
      <c r="Q563" s="94"/>
      <c r="R563" s="94"/>
      <c r="S563" s="94"/>
      <c r="T563" s="94"/>
      <c r="U563" s="94"/>
      <c r="V563" s="94"/>
    </row>
    <row r="564" ht="24.0" customHeight="1">
      <c r="A564" s="149"/>
      <c r="B564" s="150"/>
      <c r="C564" s="197"/>
      <c r="D564" s="198"/>
      <c r="E564" s="198"/>
      <c r="F564" s="199"/>
      <c r="G564" s="200"/>
      <c r="H564" s="201"/>
      <c r="I564" s="202"/>
      <c r="J564" s="201"/>
      <c r="K564" s="170"/>
      <c r="L564" s="171"/>
      <c r="M564" s="94"/>
      <c r="N564" s="94"/>
      <c r="O564" s="94"/>
      <c r="P564" s="94"/>
      <c r="Q564" s="94"/>
      <c r="R564" s="94"/>
      <c r="S564" s="94"/>
      <c r="T564" s="94"/>
      <c r="U564" s="94"/>
      <c r="V564" s="94"/>
    </row>
    <row r="565" ht="24.0" customHeight="1">
      <c r="A565" s="149"/>
      <c r="B565" s="150"/>
      <c r="C565" s="197"/>
      <c r="D565" s="198"/>
      <c r="E565" s="198"/>
      <c r="F565" s="199"/>
      <c r="G565" s="200"/>
      <c r="H565" s="201"/>
      <c r="I565" s="202"/>
      <c r="J565" s="201"/>
      <c r="K565" s="170"/>
      <c r="L565" s="171"/>
      <c r="M565" s="94"/>
      <c r="N565" s="94"/>
      <c r="O565" s="94"/>
      <c r="P565" s="94"/>
      <c r="Q565" s="94"/>
      <c r="R565" s="94"/>
      <c r="S565" s="94"/>
      <c r="T565" s="94"/>
      <c r="U565" s="94"/>
      <c r="V565" s="94"/>
    </row>
    <row r="566" ht="24.0" customHeight="1">
      <c r="A566" s="149"/>
      <c r="B566" s="150"/>
      <c r="C566" s="197"/>
      <c r="D566" s="198"/>
      <c r="E566" s="198"/>
      <c r="F566" s="199"/>
      <c r="G566" s="200"/>
      <c r="H566" s="201"/>
      <c r="I566" s="202"/>
      <c r="J566" s="201"/>
      <c r="K566" s="170"/>
      <c r="L566" s="171"/>
      <c r="M566" s="94"/>
      <c r="N566" s="94"/>
      <c r="O566" s="94"/>
      <c r="P566" s="94"/>
      <c r="Q566" s="94"/>
      <c r="R566" s="94"/>
      <c r="S566" s="94"/>
      <c r="T566" s="94"/>
      <c r="U566" s="94"/>
      <c r="V566" s="94"/>
    </row>
    <row r="567" ht="24.0" customHeight="1">
      <c r="A567" s="149"/>
      <c r="B567" s="150"/>
      <c r="C567" s="197"/>
      <c r="D567" s="198"/>
      <c r="E567" s="198"/>
      <c r="F567" s="199"/>
      <c r="G567" s="200"/>
      <c r="H567" s="201"/>
      <c r="I567" s="202"/>
      <c r="J567" s="201"/>
      <c r="K567" s="170"/>
      <c r="L567" s="171"/>
      <c r="M567" s="94"/>
      <c r="N567" s="94"/>
      <c r="O567" s="94"/>
      <c r="P567" s="94"/>
      <c r="Q567" s="94"/>
      <c r="R567" s="94"/>
      <c r="S567" s="94"/>
      <c r="T567" s="94"/>
      <c r="U567" s="94"/>
      <c r="V567" s="94"/>
    </row>
    <row r="568" ht="24.0" customHeight="1">
      <c r="A568" s="149"/>
      <c r="B568" s="150"/>
      <c r="C568" s="197"/>
      <c r="D568" s="198"/>
      <c r="E568" s="198"/>
      <c r="F568" s="199"/>
      <c r="G568" s="200"/>
      <c r="H568" s="201"/>
      <c r="I568" s="202"/>
      <c r="J568" s="201"/>
      <c r="K568" s="170"/>
      <c r="L568" s="171"/>
      <c r="M568" s="94"/>
      <c r="N568" s="94"/>
      <c r="O568" s="94"/>
      <c r="P568" s="94"/>
      <c r="Q568" s="94"/>
      <c r="R568" s="94"/>
      <c r="S568" s="94"/>
      <c r="T568" s="94"/>
      <c r="U568" s="94"/>
      <c r="V568" s="94"/>
    </row>
    <row r="569" ht="24.0" customHeight="1">
      <c r="A569" s="149"/>
      <c r="B569" s="150"/>
      <c r="C569" s="197"/>
      <c r="D569" s="198"/>
      <c r="E569" s="198"/>
      <c r="F569" s="199"/>
      <c r="G569" s="200"/>
      <c r="H569" s="201"/>
      <c r="I569" s="202"/>
      <c r="J569" s="201"/>
      <c r="K569" s="170"/>
      <c r="L569" s="171"/>
      <c r="M569" s="94"/>
      <c r="N569" s="94"/>
      <c r="O569" s="94"/>
      <c r="P569" s="94"/>
      <c r="Q569" s="94"/>
      <c r="R569" s="94"/>
      <c r="S569" s="94"/>
      <c r="T569" s="94"/>
      <c r="U569" s="94"/>
      <c r="V569" s="94"/>
    </row>
    <row r="570" ht="24.0" customHeight="1">
      <c r="A570" s="149"/>
      <c r="B570" s="150"/>
      <c r="C570" s="197"/>
      <c r="D570" s="198"/>
      <c r="E570" s="198"/>
      <c r="F570" s="199"/>
      <c r="G570" s="200"/>
      <c r="H570" s="201"/>
      <c r="I570" s="202"/>
      <c r="J570" s="201"/>
      <c r="K570" s="170"/>
      <c r="L570" s="171"/>
      <c r="M570" s="94"/>
      <c r="N570" s="94"/>
      <c r="O570" s="94"/>
      <c r="P570" s="94"/>
      <c r="Q570" s="94"/>
      <c r="R570" s="94"/>
      <c r="S570" s="94"/>
      <c r="T570" s="94"/>
      <c r="U570" s="94"/>
      <c r="V570" s="94"/>
    </row>
    <row r="571" ht="24.0" customHeight="1">
      <c r="A571" s="149"/>
      <c r="B571" s="150"/>
      <c r="C571" s="197"/>
      <c r="D571" s="198"/>
      <c r="E571" s="198"/>
      <c r="F571" s="199"/>
      <c r="G571" s="200"/>
      <c r="H571" s="201"/>
      <c r="I571" s="202"/>
      <c r="J571" s="201"/>
      <c r="K571" s="170"/>
      <c r="L571" s="171"/>
      <c r="M571" s="94"/>
      <c r="N571" s="94"/>
      <c r="O571" s="94"/>
      <c r="P571" s="94"/>
      <c r="Q571" s="94"/>
      <c r="R571" s="94"/>
      <c r="S571" s="94"/>
      <c r="T571" s="94"/>
      <c r="U571" s="94"/>
      <c r="V571" s="94"/>
    </row>
    <row r="572" ht="24.0" customHeight="1">
      <c r="A572" s="149"/>
      <c r="B572" s="150"/>
      <c r="C572" s="197"/>
      <c r="D572" s="198"/>
      <c r="E572" s="198"/>
      <c r="F572" s="199"/>
      <c r="G572" s="200"/>
      <c r="H572" s="201"/>
      <c r="I572" s="202"/>
      <c r="J572" s="201"/>
      <c r="K572" s="170"/>
      <c r="L572" s="171"/>
      <c r="M572" s="94"/>
      <c r="N572" s="94"/>
      <c r="O572" s="94"/>
      <c r="P572" s="94"/>
      <c r="Q572" s="94"/>
      <c r="R572" s="94"/>
      <c r="S572" s="94"/>
      <c r="T572" s="94"/>
      <c r="U572" s="94"/>
      <c r="V572" s="94"/>
    </row>
    <row r="573" ht="24.0" customHeight="1">
      <c r="A573" s="149"/>
      <c r="B573" s="150"/>
      <c r="C573" s="197"/>
      <c r="D573" s="198"/>
      <c r="E573" s="198"/>
      <c r="F573" s="199"/>
      <c r="G573" s="200"/>
      <c r="H573" s="201"/>
      <c r="I573" s="202"/>
      <c r="J573" s="201"/>
      <c r="K573" s="170"/>
      <c r="L573" s="171"/>
      <c r="M573" s="94"/>
      <c r="N573" s="94"/>
      <c r="O573" s="94"/>
      <c r="P573" s="94"/>
      <c r="Q573" s="94"/>
      <c r="R573" s="94"/>
      <c r="S573" s="94"/>
      <c r="T573" s="94"/>
      <c r="U573" s="94"/>
      <c r="V573" s="94"/>
    </row>
    <row r="574" ht="24.0" customHeight="1">
      <c r="A574" s="149"/>
      <c r="B574" s="150"/>
      <c r="C574" s="197"/>
      <c r="D574" s="198"/>
      <c r="E574" s="198"/>
      <c r="F574" s="199"/>
      <c r="G574" s="200"/>
      <c r="H574" s="201"/>
      <c r="I574" s="202"/>
      <c r="J574" s="201"/>
      <c r="K574" s="170"/>
      <c r="L574" s="171"/>
      <c r="M574" s="94"/>
      <c r="N574" s="94"/>
      <c r="O574" s="94"/>
      <c r="P574" s="94"/>
      <c r="Q574" s="94"/>
      <c r="R574" s="94"/>
      <c r="S574" s="94"/>
      <c r="T574" s="94"/>
      <c r="U574" s="94"/>
      <c r="V574" s="94"/>
    </row>
    <row r="575" ht="24.0" customHeight="1">
      <c r="A575" s="149"/>
      <c r="B575" s="150"/>
      <c r="C575" s="197"/>
      <c r="D575" s="198"/>
      <c r="E575" s="198"/>
      <c r="F575" s="199"/>
      <c r="G575" s="200"/>
      <c r="H575" s="201"/>
      <c r="I575" s="202"/>
      <c r="J575" s="201"/>
      <c r="K575" s="170"/>
      <c r="L575" s="171"/>
      <c r="M575" s="94"/>
      <c r="N575" s="94"/>
      <c r="O575" s="94"/>
      <c r="P575" s="94"/>
      <c r="Q575" s="94"/>
      <c r="R575" s="94"/>
      <c r="S575" s="94"/>
      <c r="T575" s="94"/>
      <c r="U575" s="94"/>
      <c r="V575" s="94"/>
    </row>
    <row r="576" ht="24.0" customHeight="1">
      <c r="A576" s="149"/>
      <c r="B576" s="150"/>
      <c r="C576" s="197"/>
      <c r="D576" s="198"/>
      <c r="E576" s="198"/>
      <c r="F576" s="199"/>
      <c r="G576" s="200"/>
      <c r="H576" s="201"/>
      <c r="I576" s="202"/>
      <c r="J576" s="201"/>
      <c r="K576" s="170"/>
      <c r="L576" s="171"/>
      <c r="M576" s="94"/>
      <c r="N576" s="94"/>
      <c r="O576" s="94"/>
      <c r="P576" s="94"/>
      <c r="Q576" s="94"/>
      <c r="R576" s="94"/>
      <c r="S576" s="94"/>
      <c r="T576" s="94"/>
      <c r="U576" s="94"/>
      <c r="V576" s="94"/>
    </row>
    <row r="577" ht="24.0" customHeight="1">
      <c r="A577" s="149"/>
      <c r="B577" s="150"/>
      <c r="C577" s="197"/>
      <c r="D577" s="198"/>
      <c r="E577" s="198"/>
      <c r="F577" s="199"/>
      <c r="G577" s="200"/>
      <c r="H577" s="201"/>
      <c r="I577" s="202"/>
      <c r="J577" s="201"/>
      <c r="K577" s="170"/>
      <c r="L577" s="171"/>
      <c r="M577" s="94"/>
      <c r="N577" s="94"/>
      <c r="O577" s="94"/>
      <c r="P577" s="94"/>
      <c r="Q577" s="94"/>
      <c r="R577" s="94"/>
      <c r="S577" s="94"/>
      <c r="T577" s="94"/>
      <c r="U577" s="94"/>
      <c r="V577" s="94"/>
    </row>
    <row r="578" ht="24.0" customHeight="1">
      <c r="A578" s="149"/>
      <c r="B578" s="150"/>
      <c r="C578" s="197"/>
      <c r="D578" s="198"/>
      <c r="E578" s="198"/>
      <c r="F578" s="199"/>
      <c r="G578" s="200"/>
      <c r="H578" s="201"/>
      <c r="I578" s="202"/>
      <c r="J578" s="201"/>
      <c r="K578" s="170"/>
      <c r="L578" s="171"/>
      <c r="M578" s="94"/>
      <c r="N578" s="94"/>
      <c r="O578" s="94"/>
      <c r="P578" s="94"/>
      <c r="Q578" s="94"/>
      <c r="R578" s="94"/>
      <c r="S578" s="94"/>
      <c r="T578" s="94"/>
      <c r="U578" s="94"/>
      <c r="V578" s="94"/>
    </row>
    <row r="579" ht="24.0" customHeight="1">
      <c r="A579" s="149"/>
      <c r="B579" s="150"/>
      <c r="C579" s="197"/>
      <c r="D579" s="198"/>
      <c r="E579" s="198"/>
      <c r="F579" s="199"/>
      <c r="G579" s="200"/>
      <c r="H579" s="201"/>
      <c r="I579" s="202"/>
      <c r="J579" s="201"/>
      <c r="K579" s="170"/>
      <c r="L579" s="171"/>
      <c r="M579" s="94"/>
      <c r="N579" s="94"/>
      <c r="O579" s="94"/>
      <c r="P579" s="94"/>
      <c r="Q579" s="94"/>
      <c r="R579" s="94"/>
      <c r="S579" s="94"/>
      <c r="T579" s="94"/>
      <c r="U579" s="94"/>
      <c r="V579" s="94"/>
    </row>
    <row r="580" ht="24.0" customHeight="1">
      <c r="A580" s="149"/>
      <c r="B580" s="150"/>
      <c r="C580" s="197"/>
      <c r="D580" s="198"/>
      <c r="E580" s="198"/>
      <c r="F580" s="199"/>
      <c r="G580" s="200"/>
      <c r="H580" s="201"/>
      <c r="I580" s="202"/>
      <c r="J580" s="201"/>
      <c r="K580" s="170"/>
      <c r="L580" s="171"/>
      <c r="M580" s="94"/>
      <c r="N580" s="94"/>
      <c r="O580" s="94"/>
      <c r="P580" s="94"/>
      <c r="Q580" s="94"/>
      <c r="R580" s="94"/>
      <c r="S580" s="94"/>
      <c r="T580" s="94"/>
      <c r="U580" s="94"/>
      <c r="V580" s="94"/>
    </row>
    <row r="581" ht="24.0" customHeight="1">
      <c r="A581" s="149"/>
      <c r="B581" s="150"/>
      <c r="C581" s="197"/>
      <c r="D581" s="198"/>
      <c r="E581" s="198"/>
      <c r="F581" s="199"/>
      <c r="G581" s="200"/>
      <c r="H581" s="201"/>
      <c r="I581" s="202"/>
      <c r="J581" s="201"/>
      <c r="K581" s="170"/>
      <c r="L581" s="171"/>
      <c r="M581" s="94"/>
      <c r="N581" s="94"/>
      <c r="O581" s="94"/>
      <c r="P581" s="94"/>
      <c r="Q581" s="94"/>
      <c r="R581" s="94"/>
      <c r="S581" s="94"/>
      <c r="T581" s="94"/>
      <c r="U581" s="94"/>
      <c r="V581" s="94"/>
    </row>
    <row r="582" ht="24.0" customHeight="1">
      <c r="A582" s="149"/>
      <c r="B582" s="150"/>
      <c r="C582" s="197"/>
      <c r="D582" s="198"/>
      <c r="E582" s="198"/>
      <c r="F582" s="199"/>
      <c r="G582" s="200"/>
      <c r="H582" s="201"/>
      <c r="I582" s="202"/>
      <c r="J582" s="201"/>
      <c r="K582" s="170"/>
      <c r="L582" s="171"/>
      <c r="M582" s="94"/>
      <c r="N582" s="94"/>
      <c r="O582" s="94"/>
      <c r="P582" s="94"/>
      <c r="Q582" s="94"/>
      <c r="R582" s="94"/>
      <c r="S582" s="94"/>
      <c r="T582" s="94"/>
      <c r="U582" s="94"/>
      <c r="V582" s="94"/>
    </row>
    <row r="583" ht="24.0" customHeight="1">
      <c r="A583" s="149"/>
      <c r="B583" s="150"/>
      <c r="C583" s="197"/>
      <c r="D583" s="198"/>
      <c r="E583" s="198"/>
      <c r="F583" s="199"/>
      <c r="G583" s="200"/>
      <c r="H583" s="201"/>
      <c r="I583" s="202"/>
      <c r="J583" s="201"/>
      <c r="K583" s="170"/>
      <c r="L583" s="171"/>
      <c r="M583" s="94"/>
      <c r="N583" s="94"/>
      <c r="O583" s="94"/>
      <c r="P583" s="94"/>
      <c r="Q583" s="94"/>
      <c r="R583" s="94"/>
      <c r="S583" s="94"/>
      <c r="T583" s="94"/>
      <c r="U583" s="94"/>
      <c r="V583" s="94"/>
    </row>
    <row r="584" ht="24.0" customHeight="1">
      <c r="A584" s="149"/>
      <c r="B584" s="150"/>
      <c r="C584" s="197"/>
      <c r="D584" s="198"/>
      <c r="E584" s="198"/>
      <c r="F584" s="199"/>
      <c r="G584" s="200"/>
      <c r="H584" s="201"/>
      <c r="I584" s="202"/>
      <c r="J584" s="201"/>
      <c r="K584" s="170"/>
      <c r="L584" s="171"/>
      <c r="M584" s="94"/>
      <c r="N584" s="94"/>
      <c r="O584" s="94"/>
      <c r="P584" s="94"/>
      <c r="Q584" s="94"/>
      <c r="R584" s="94"/>
      <c r="S584" s="94"/>
      <c r="T584" s="94"/>
      <c r="U584" s="94"/>
      <c r="V584" s="94"/>
    </row>
    <row r="585" ht="24.0" customHeight="1">
      <c r="A585" s="149"/>
      <c r="B585" s="150"/>
      <c r="C585" s="197"/>
      <c r="D585" s="198"/>
      <c r="E585" s="198"/>
      <c r="F585" s="199"/>
      <c r="G585" s="200"/>
      <c r="H585" s="201"/>
      <c r="I585" s="202"/>
      <c r="J585" s="201"/>
      <c r="K585" s="170"/>
      <c r="L585" s="171"/>
      <c r="M585" s="94"/>
      <c r="N585" s="94"/>
      <c r="O585" s="94"/>
      <c r="P585" s="94"/>
      <c r="Q585" s="94"/>
      <c r="R585" s="94"/>
      <c r="S585" s="94"/>
      <c r="T585" s="94"/>
      <c r="U585" s="94"/>
      <c r="V585" s="94"/>
    </row>
    <row r="586" ht="24.0" customHeight="1">
      <c r="A586" s="149"/>
      <c r="B586" s="150"/>
      <c r="C586" s="197"/>
      <c r="D586" s="198"/>
      <c r="E586" s="198"/>
      <c r="F586" s="199"/>
      <c r="G586" s="200"/>
      <c r="H586" s="201"/>
      <c r="I586" s="202"/>
      <c r="J586" s="201"/>
      <c r="K586" s="170"/>
      <c r="L586" s="171"/>
      <c r="M586" s="94"/>
      <c r="N586" s="94"/>
      <c r="O586" s="94"/>
      <c r="P586" s="94"/>
      <c r="Q586" s="94"/>
      <c r="R586" s="94"/>
      <c r="S586" s="94"/>
      <c r="T586" s="94"/>
      <c r="U586" s="94"/>
      <c r="V586" s="94"/>
    </row>
    <row r="587" ht="24.0" customHeight="1">
      <c r="A587" s="149"/>
      <c r="B587" s="150"/>
      <c r="C587" s="197"/>
      <c r="D587" s="198"/>
      <c r="E587" s="198"/>
      <c r="F587" s="199"/>
      <c r="G587" s="200"/>
      <c r="H587" s="201"/>
      <c r="I587" s="202"/>
      <c r="J587" s="201"/>
      <c r="K587" s="170"/>
      <c r="L587" s="171"/>
      <c r="M587" s="94"/>
      <c r="N587" s="94"/>
      <c r="O587" s="94"/>
      <c r="P587" s="94"/>
      <c r="Q587" s="94"/>
      <c r="R587" s="94"/>
      <c r="S587" s="94"/>
      <c r="T587" s="94"/>
      <c r="U587" s="94"/>
      <c r="V587" s="94"/>
    </row>
    <row r="588" ht="24.0" customHeight="1">
      <c r="A588" s="149"/>
      <c r="B588" s="150"/>
      <c r="C588" s="197"/>
      <c r="D588" s="198"/>
      <c r="E588" s="198"/>
      <c r="F588" s="199"/>
      <c r="G588" s="200"/>
      <c r="H588" s="201"/>
      <c r="I588" s="202"/>
      <c r="J588" s="201"/>
      <c r="K588" s="170"/>
      <c r="L588" s="171"/>
      <c r="M588" s="94"/>
      <c r="N588" s="94"/>
      <c r="O588" s="94"/>
      <c r="P588" s="94"/>
      <c r="Q588" s="94"/>
      <c r="R588" s="94"/>
      <c r="S588" s="94"/>
      <c r="T588" s="94"/>
      <c r="U588" s="94"/>
      <c r="V588" s="94"/>
    </row>
    <row r="589" ht="24.0" customHeight="1">
      <c r="A589" s="149"/>
      <c r="B589" s="150"/>
      <c r="C589" s="197"/>
      <c r="D589" s="198"/>
      <c r="E589" s="198"/>
      <c r="F589" s="199"/>
      <c r="G589" s="200"/>
      <c r="H589" s="201"/>
      <c r="I589" s="202"/>
      <c r="J589" s="201"/>
      <c r="K589" s="170"/>
      <c r="L589" s="171"/>
      <c r="M589" s="94"/>
      <c r="N589" s="94"/>
      <c r="O589" s="94"/>
      <c r="P589" s="94"/>
      <c r="Q589" s="94"/>
      <c r="R589" s="94"/>
      <c r="S589" s="94"/>
      <c r="T589" s="94"/>
      <c r="U589" s="94"/>
      <c r="V589" s="94"/>
    </row>
    <row r="590" ht="24.0" customHeight="1">
      <c r="A590" s="149"/>
      <c r="B590" s="150"/>
      <c r="C590" s="197"/>
      <c r="D590" s="198"/>
      <c r="E590" s="198"/>
      <c r="F590" s="199"/>
      <c r="G590" s="200"/>
      <c r="H590" s="201"/>
      <c r="I590" s="202"/>
      <c r="J590" s="201"/>
      <c r="K590" s="170"/>
      <c r="L590" s="171"/>
      <c r="M590" s="94"/>
      <c r="N590" s="94"/>
      <c r="O590" s="94"/>
      <c r="P590" s="94"/>
      <c r="Q590" s="94"/>
      <c r="R590" s="94"/>
      <c r="S590" s="94"/>
      <c r="T590" s="94"/>
      <c r="U590" s="94"/>
      <c r="V590" s="94"/>
    </row>
    <row r="591" ht="24.0" customHeight="1">
      <c r="A591" s="149"/>
      <c r="B591" s="150"/>
      <c r="C591" s="197"/>
      <c r="D591" s="198"/>
      <c r="E591" s="198"/>
      <c r="F591" s="199"/>
      <c r="G591" s="200"/>
      <c r="H591" s="201"/>
      <c r="I591" s="202"/>
      <c r="J591" s="201"/>
      <c r="K591" s="170"/>
      <c r="L591" s="171"/>
      <c r="M591" s="94"/>
      <c r="N591" s="94"/>
      <c r="O591" s="94"/>
      <c r="P591" s="94"/>
      <c r="Q591" s="94"/>
      <c r="R591" s="94"/>
      <c r="S591" s="94"/>
      <c r="T591" s="94"/>
      <c r="U591" s="94"/>
      <c r="V591" s="94"/>
    </row>
    <row r="592" ht="24.0" customHeight="1">
      <c r="A592" s="149"/>
      <c r="B592" s="150"/>
      <c r="C592" s="197"/>
      <c r="D592" s="198"/>
      <c r="E592" s="198"/>
      <c r="F592" s="199"/>
      <c r="G592" s="200"/>
      <c r="H592" s="201"/>
      <c r="I592" s="202"/>
      <c r="J592" s="201"/>
      <c r="K592" s="170"/>
      <c r="L592" s="171"/>
      <c r="M592" s="94"/>
      <c r="N592" s="94"/>
      <c r="O592" s="94"/>
      <c r="P592" s="94"/>
      <c r="Q592" s="94"/>
      <c r="R592" s="94"/>
      <c r="S592" s="94"/>
      <c r="T592" s="94"/>
      <c r="U592" s="94"/>
      <c r="V592" s="94"/>
    </row>
    <row r="593" ht="24.0" customHeight="1">
      <c r="A593" s="149"/>
      <c r="B593" s="150"/>
      <c r="C593" s="197"/>
      <c r="D593" s="198"/>
      <c r="E593" s="198"/>
      <c r="F593" s="199"/>
      <c r="G593" s="200"/>
      <c r="H593" s="201"/>
      <c r="I593" s="202"/>
      <c r="J593" s="201"/>
      <c r="K593" s="170"/>
      <c r="L593" s="171"/>
      <c r="M593" s="94"/>
      <c r="N593" s="94"/>
      <c r="O593" s="94"/>
      <c r="P593" s="94"/>
      <c r="Q593" s="94"/>
      <c r="R593" s="94"/>
      <c r="S593" s="94"/>
      <c r="T593" s="94"/>
      <c r="U593" s="94"/>
      <c r="V593" s="94"/>
    </row>
    <row r="594" ht="24.0" customHeight="1">
      <c r="A594" s="149"/>
      <c r="B594" s="150"/>
      <c r="C594" s="197"/>
      <c r="D594" s="198"/>
      <c r="E594" s="198"/>
      <c r="F594" s="199"/>
      <c r="G594" s="200"/>
      <c r="H594" s="201"/>
      <c r="I594" s="202"/>
      <c r="J594" s="201"/>
      <c r="K594" s="170"/>
      <c r="L594" s="171"/>
      <c r="M594" s="94"/>
      <c r="N594" s="94"/>
      <c r="O594" s="94"/>
      <c r="P594" s="94"/>
      <c r="Q594" s="94"/>
      <c r="R594" s="94"/>
      <c r="S594" s="94"/>
      <c r="T594" s="94"/>
      <c r="U594" s="94"/>
      <c r="V594" s="94"/>
    </row>
    <row r="595" ht="24.0" customHeight="1">
      <c r="A595" s="149"/>
      <c r="B595" s="150"/>
      <c r="C595" s="197"/>
      <c r="D595" s="198"/>
      <c r="E595" s="198"/>
      <c r="F595" s="199"/>
      <c r="G595" s="200"/>
      <c r="H595" s="201"/>
      <c r="I595" s="202"/>
      <c r="J595" s="201"/>
      <c r="K595" s="170"/>
      <c r="L595" s="171"/>
      <c r="M595" s="94"/>
      <c r="N595" s="94"/>
      <c r="O595" s="94"/>
      <c r="P595" s="94"/>
      <c r="Q595" s="94"/>
      <c r="R595" s="94"/>
      <c r="S595" s="94"/>
      <c r="T595" s="94"/>
      <c r="U595" s="94"/>
      <c r="V595" s="94"/>
    </row>
    <row r="596" ht="24.0" customHeight="1">
      <c r="A596" s="149"/>
      <c r="B596" s="150"/>
      <c r="C596" s="197"/>
      <c r="D596" s="198"/>
      <c r="E596" s="198"/>
      <c r="F596" s="199"/>
      <c r="G596" s="200"/>
      <c r="H596" s="201"/>
      <c r="I596" s="202"/>
      <c r="J596" s="201"/>
      <c r="K596" s="170"/>
      <c r="L596" s="171"/>
      <c r="M596" s="94"/>
      <c r="N596" s="94"/>
      <c r="O596" s="94"/>
      <c r="P596" s="94"/>
      <c r="Q596" s="94"/>
      <c r="R596" s="94"/>
      <c r="S596" s="94"/>
      <c r="T596" s="94"/>
      <c r="U596" s="94"/>
      <c r="V596" s="94"/>
    </row>
    <row r="597" ht="24.0" customHeight="1">
      <c r="A597" s="149"/>
      <c r="B597" s="150"/>
      <c r="C597" s="197"/>
      <c r="D597" s="198"/>
      <c r="E597" s="198"/>
      <c r="F597" s="199"/>
      <c r="G597" s="200"/>
      <c r="H597" s="201"/>
      <c r="I597" s="202"/>
      <c r="J597" s="201"/>
      <c r="K597" s="170"/>
      <c r="L597" s="171"/>
      <c r="M597" s="94"/>
      <c r="N597" s="94"/>
      <c r="O597" s="94"/>
      <c r="P597" s="94"/>
      <c r="Q597" s="94"/>
      <c r="R597" s="94"/>
      <c r="S597" s="94"/>
      <c r="T597" s="94"/>
      <c r="U597" s="94"/>
      <c r="V597" s="94"/>
    </row>
    <row r="598" ht="24.0" customHeight="1">
      <c r="A598" s="149"/>
      <c r="B598" s="150"/>
      <c r="C598" s="197"/>
      <c r="D598" s="198"/>
      <c r="E598" s="198"/>
      <c r="F598" s="199"/>
      <c r="G598" s="200"/>
      <c r="H598" s="201"/>
      <c r="I598" s="202"/>
      <c r="J598" s="201"/>
      <c r="K598" s="170"/>
      <c r="L598" s="171"/>
      <c r="M598" s="94"/>
      <c r="N598" s="94"/>
      <c r="O598" s="94"/>
      <c r="P598" s="94"/>
      <c r="Q598" s="94"/>
      <c r="R598" s="94"/>
      <c r="S598" s="94"/>
      <c r="T598" s="94"/>
      <c r="U598" s="94"/>
      <c r="V598" s="94"/>
    </row>
    <row r="599" ht="24.0" customHeight="1">
      <c r="A599" s="149"/>
      <c r="B599" s="150"/>
      <c r="C599" s="197"/>
      <c r="D599" s="198"/>
      <c r="E599" s="198"/>
      <c r="F599" s="199"/>
      <c r="G599" s="200"/>
      <c r="H599" s="201"/>
      <c r="I599" s="202"/>
      <c r="J599" s="201"/>
      <c r="K599" s="170"/>
      <c r="L599" s="171"/>
      <c r="M599" s="94"/>
      <c r="N599" s="94"/>
      <c r="O599" s="94"/>
      <c r="P599" s="94"/>
      <c r="Q599" s="94"/>
      <c r="R599" s="94"/>
      <c r="S599" s="94"/>
      <c r="T599" s="94"/>
      <c r="U599" s="94"/>
      <c r="V599" s="94"/>
    </row>
    <row r="600" ht="24.0" customHeight="1">
      <c r="A600" s="149"/>
      <c r="B600" s="150"/>
      <c r="C600" s="197"/>
      <c r="D600" s="198"/>
      <c r="E600" s="198"/>
      <c r="F600" s="199"/>
      <c r="G600" s="200"/>
      <c r="H600" s="201"/>
      <c r="I600" s="202"/>
      <c r="J600" s="201"/>
      <c r="K600" s="170"/>
      <c r="L600" s="171"/>
      <c r="M600" s="94"/>
      <c r="N600" s="94"/>
      <c r="O600" s="94"/>
      <c r="P600" s="94"/>
      <c r="Q600" s="94"/>
      <c r="R600" s="94"/>
      <c r="S600" s="94"/>
      <c r="T600" s="94"/>
      <c r="U600" s="94"/>
      <c r="V600" s="94"/>
    </row>
    <row r="601" ht="24.0" customHeight="1">
      <c r="A601" s="149"/>
      <c r="B601" s="150"/>
      <c r="C601" s="197"/>
      <c r="D601" s="198"/>
      <c r="E601" s="198"/>
      <c r="F601" s="199"/>
      <c r="G601" s="200"/>
      <c r="H601" s="201"/>
      <c r="I601" s="202"/>
      <c r="J601" s="201"/>
      <c r="K601" s="170"/>
      <c r="L601" s="171"/>
      <c r="M601" s="94"/>
      <c r="N601" s="94"/>
      <c r="O601" s="94"/>
      <c r="P601" s="94"/>
      <c r="Q601" s="94"/>
      <c r="R601" s="94"/>
      <c r="S601" s="94"/>
      <c r="T601" s="94"/>
      <c r="U601" s="94"/>
      <c r="V601" s="94"/>
    </row>
    <row r="602" ht="24.0" customHeight="1">
      <c r="A602" s="149"/>
      <c r="B602" s="150"/>
      <c r="C602" s="197"/>
      <c r="D602" s="198"/>
      <c r="E602" s="198"/>
      <c r="F602" s="199"/>
      <c r="G602" s="200"/>
      <c r="H602" s="201"/>
      <c r="I602" s="202"/>
      <c r="J602" s="201"/>
      <c r="K602" s="170"/>
      <c r="L602" s="171"/>
      <c r="M602" s="94"/>
      <c r="N602" s="94"/>
      <c r="O602" s="94"/>
      <c r="P602" s="94"/>
      <c r="Q602" s="94"/>
      <c r="R602" s="94"/>
      <c r="S602" s="94"/>
      <c r="T602" s="94"/>
      <c r="U602" s="94"/>
      <c r="V602" s="94"/>
    </row>
    <row r="603" ht="24.0" customHeight="1">
      <c r="A603" s="149"/>
      <c r="B603" s="150"/>
      <c r="C603" s="197"/>
      <c r="D603" s="198"/>
      <c r="E603" s="198"/>
      <c r="F603" s="199"/>
      <c r="G603" s="200"/>
      <c r="H603" s="201"/>
      <c r="I603" s="202"/>
      <c r="J603" s="201"/>
      <c r="K603" s="170"/>
      <c r="L603" s="171"/>
      <c r="M603" s="94"/>
      <c r="N603" s="94"/>
      <c r="O603" s="94"/>
      <c r="P603" s="94"/>
      <c r="Q603" s="94"/>
      <c r="R603" s="94"/>
      <c r="S603" s="94"/>
      <c r="T603" s="94"/>
      <c r="U603" s="94"/>
      <c r="V603" s="94"/>
    </row>
    <row r="604" ht="24.0" customHeight="1">
      <c r="A604" s="149"/>
      <c r="B604" s="150"/>
      <c r="C604" s="197"/>
      <c r="D604" s="198"/>
      <c r="E604" s="198"/>
      <c r="F604" s="199"/>
      <c r="G604" s="200"/>
      <c r="H604" s="201"/>
      <c r="I604" s="202"/>
      <c r="J604" s="201"/>
      <c r="K604" s="170"/>
      <c r="L604" s="171"/>
      <c r="M604" s="94"/>
      <c r="N604" s="94"/>
      <c r="O604" s="94"/>
      <c r="P604" s="94"/>
      <c r="Q604" s="94"/>
      <c r="R604" s="94"/>
      <c r="S604" s="94"/>
      <c r="T604" s="94"/>
      <c r="U604" s="94"/>
      <c r="V604" s="94"/>
    </row>
    <row r="605" ht="24.0" customHeight="1">
      <c r="A605" s="149"/>
      <c r="B605" s="150"/>
      <c r="C605" s="197"/>
      <c r="D605" s="198"/>
      <c r="E605" s="198"/>
      <c r="F605" s="199"/>
      <c r="G605" s="200"/>
      <c r="H605" s="201"/>
      <c r="I605" s="202"/>
      <c r="J605" s="201"/>
      <c r="K605" s="170"/>
      <c r="L605" s="171"/>
      <c r="M605" s="94"/>
      <c r="N605" s="94"/>
      <c r="O605" s="94"/>
      <c r="P605" s="94"/>
      <c r="Q605" s="94"/>
      <c r="R605" s="94"/>
      <c r="S605" s="94"/>
      <c r="T605" s="94"/>
      <c r="U605" s="94"/>
      <c r="V605" s="94"/>
    </row>
    <row r="606" ht="24.0" customHeight="1">
      <c r="A606" s="149"/>
      <c r="B606" s="150"/>
      <c r="C606" s="197"/>
      <c r="D606" s="198"/>
      <c r="E606" s="198"/>
      <c r="F606" s="199"/>
      <c r="G606" s="200"/>
      <c r="H606" s="201"/>
      <c r="I606" s="202"/>
      <c r="J606" s="201"/>
      <c r="K606" s="170"/>
      <c r="L606" s="171"/>
      <c r="M606" s="94"/>
      <c r="N606" s="94"/>
      <c r="O606" s="94"/>
      <c r="P606" s="94"/>
      <c r="Q606" s="94"/>
      <c r="R606" s="94"/>
      <c r="S606" s="94"/>
      <c r="T606" s="94"/>
      <c r="U606" s="94"/>
      <c r="V606" s="94"/>
    </row>
    <row r="607" ht="24.0" customHeight="1">
      <c r="A607" s="149"/>
      <c r="B607" s="150"/>
      <c r="C607" s="197"/>
      <c r="D607" s="198"/>
      <c r="E607" s="198"/>
      <c r="F607" s="199"/>
      <c r="G607" s="200"/>
      <c r="H607" s="201"/>
      <c r="I607" s="202"/>
      <c r="J607" s="201"/>
      <c r="K607" s="170"/>
      <c r="L607" s="171"/>
      <c r="M607" s="94"/>
      <c r="N607" s="94"/>
      <c r="O607" s="94"/>
      <c r="P607" s="94"/>
      <c r="Q607" s="94"/>
      <c r="R607" s="94"/>
      <c r="S607" s="94"/>
      <c r="T607" s="94"/>
      <c r="U607" s="94"/>
      <c r="V607" s="94"/>
    </row>
    <row r="608" ht="24.0" customHeight="1">
      <c r="A608" s="149"/>
      <c r="B608" s="150"/>
      <c r="C608" s="197"/>
      <c r="D608" s="198"/>
      <c r="E608" s="198"/>
      <c r="F608" s="199"/>
      <c r="G608" s="200"/>
      <c r="H608" s="201"/>
      <c r="I608" s="202"/>
      <c r="J608" s="201"/>
      <c r="K608" s="170"/>
      <c r="L608" s="171"/>
      <c r="M608" s="94"/>
      <c r="N608" s="94"/>
      <c r="O608" s="94"/>
      <c r="P608" s="94"/>
      <c r="Q608" s="94"/>
      <c r="R608" s="94"/>
      <c r="S608" s="94"/>
      <c r="T608" s="94"/>
      <c r="U608" s="94"/>
      <c r="V608" s="94"/>
    </row>
    <row r="609" ht="24.0" customHeight="1">
      <c r="A609" s="149"/>
      <c r="B609" s="150"/>
      <c r="C609" s="197"/>
      <c r="D609" s="198"/>
      <c r="E609" s="198"/>
      <c r="F609" s="199"/>
      <c r="G609" s="200"/>
      <c r="H609" s="201"/>
      <c r="I609" s="202"/>
      <c r="J609" s="201"/>
      <c r="K609" s="170"/>
      <c r="L609" s="171"/>
      <c r="M609" s="94"/>
      <c r="N609" s="94"/>
      <c r="O609" s="94"/>
      <c r="P609" s="94"/>
      <c r="Q609" s="94"/>
      <c r="R609" s="94"/>
      <c r="S609" s="94"/>
      <c r="T609" s="94"/>
      <c r="U609" s="94"/>
      <c r="V609" s="94"/>
    </row>
    <row r="610" ht="24.0" customHeight="1">
      <c r="A610" s="149"/>
      <c r="B610" s="150"/>
      <c r="C610" s="197"/>
      <c r="D610" s="198"/>
      <c r="E610" s="198"/>
      <c r="F610" s="199"/>
      <c r="G610" s="200"/>
      <c r="H610" s="201"/>
      <c r="I610" s="202"/>
      <c r="J610" s="201"/>
      <c r="K610" s="170"/>
      <c r="L610" s="171"/>
      <c r="M610" s="94"/>
      <c r="N610" s="94"/>
      <c r="O610" s="94"/>
      <c r="P610" s="94"/>
      <c r="Q610" s="94"/>
      <c r="R610" s="94"/>
      <c r="S610" s="94"/>
      <c r="T610" s="94"/>
      <c r="U610" s="94"/>
      <c r="V610" s="94"/>
    </row>
    <row r="611" ht="24.0" customHeight="1">
      <c r="A611" s="149"/>
      <c r="B611" s="150"/>
      <c r="C611" s="197"/>
      <c r="D611" s="198"/>
      <c r="E611" s="198"/>
      <c r="F611" s="199"/>
      <c r="G611" s="200"/>
      <c r="H611" s="201"/>
      <c r="I611" s="202"/>
      <c r="J611" s="201"/>
      <c r="K611" s="170"/>
      <c r="L611" s="171"/>
      <c r="M611" s="94"/>
      <c r="N611" s="94"/>
      <c r="O611" s="94"/>
      <c r="P611" s="94"/>
      <c r="Q611" s="94"/>
      <c r="R611" s="94"/>
      <c r="S611" s="94"/>
      <c r="T611" s="94"/>
      <c r="U611" s="94"/>
      <c r="V611" s="94"/>
    </row>
    <row r="612" ht="24.0" customHeight="1">
      <c r="A612" s="149"/>
      <c r="B612" s="150"/>
      <c r="C612" s="197"/>
      <c r="D612" s="198"/>
      <c r="E612" s="198"/>
      <c r="F612" s="199"/>
      <c r="G612" s="200"/>
      <c r="H612" s="201"/>
      <c r="I612" s="202"/>
      <c r="J612" s="201"/>
      <c r="K612" s="170"/>
      <c r="L612" s="171"/>
      <c r="M612" s="94"/>
      <c r="N612" s="94"/>
      <c r="O612" s="94"/>
      <c r="P612" s="94"/>
      <c r="Q612" s="94"/>
      <c r="R612" s="94"/>
      <c r="S612" s="94"/>
      <c r="T612" s="94"/>
      <c r="U612" s="94"/>
      <c r="V612" s="94"/>
    </row>
    <row r="613" ht="24.0" customHeight="1">
      <c r="A613" s="149"/>
      <c r="B613" s="150"/>
      <c r="C613" s="197"/>
      <c r="D613" s="198"/>
      <c r="E613" s="198"/>
      <c r="F613" s="199"/>
      <c r="G613" s="200"/>
      <c r="H613" s="201"/>
      <c r="I613" s="202"/>
      <c r="J613" s="201"/>
      <c r="K613" s="170"/>
      <c r="L613" s="171"/>
      <c r="M613" s="94"/>
      <c r="N613" s="94"/>
      <c r="O613" s="94"/>
      <c r="P613" s="94"/>
      <c r="Q613" s="94"/>
      <c r="R613" s="94"/>
      <c r="S613" s="94"/>
      <c r="T613" s="94"/>
      <c r="U613" s="94"/>
      <c r="V613" s="94"/>
    </row>
    <row r="614" ht="24.0" customHeight="1">
      <c r="A614" s="149"/>
      <c r="B614" s="150"/>
      <c r="C614" s="197"/>
      <c r="D614" s="198"/>
      <c r="E614" s="198"/>
      <c r="F614" s="199"/>
      <c r="G614" s="200"/>
      <c r="H614" s="201"/>
      <c r="I614" s="202"/>
      <c r="J614" s="201"/>
      <c r="K614" s="170"/>
      <c r="L614" s="171"/>
      <c r="M614" s="94"/>
      <c r="N614" s="94"/>
      <c r="O614" s="94"/>
      <c r="P614" s="94"/>
      <c r="Q614" s="94"/>
      <c r="R614" s="94"/>
      <c r="S614" s="94"/>
      <c r="T614" s="94"/>
      <c r="U614" s="94"/>
      <c r="V614" s="94"/>
    </row>
    <row r="615" ht="24.0" customHeight="1">
      <c r="A615" s="149"/>
      <c r="B615" s="150"/>
      <c r="C615" s="197"/>
      <c r="D615" s="198"/>
      <c r="E615" s="198"/>
      <c r="F615" s="199"/>
      <c r="G615" s="200"/>
      <c r="H615" s="201"/>
      <c r="I615" s="202"/>
      <c r="J615" s="201"/>
      <c r="K615" s="170"/>
      <c r="L615" s="171"/>
      <c r="M615" s="94"/>
      <c r="N615" s="94"/>
      <c r="O615" s="94"/>
      <c r="P615" s="94"/>
      <c r="Q615" s="94"/>
      <c r="R615" s="94"/>
      <c r="S615" s="94"/>
      <c r="T615" s="94"/>
      <c r="U615" s="94"/>
      <c r="V615" s="94"/>
    </row>
    <row r="616" ht="24.0" customHeight="1">
      <c r="A616" s="149"/>
      <c r="B616" s="150"/>
      <c r="C616" s="197"/>
      <c r="D616" s="198"/>
      <c r="E616" s="198"/>
      <c r="F616" s="199"/>
      <c r="G616" s="200"/>
      <c r="H616" s="201"/>
      <c r="I616" s="202"/>
      <c r="J616" s="201"/>
      <c r="K616" s="170"/>
      <c r="L616" s="171"/>
      <c r="M616" s="94"/>
      <c r="N616" s="94"/>
      <c r="O616" s="94"/>
      <c r="P616" s="94"/>
      <c r="Q616" s="94"/>
      <c r="R616" s="94"/>
      <c r="S616" s="94"/>
      <c r="T616" s="94"/>
      <c r="U616" s="94"/>
      <c r="V616" s="94"/>
    </row>
    <row r="617" ht="24.0" customHeight="1">
      <c r="A617" s="149"/>
      <c r="B617" s="150"/>
      <c r="C617" s="197"/>
      <c r="D617" s="198"/>
      <c r="E617" s="198"/>
      <c r="F617" s="199"/>
      <c r="G617" s="200"/>
      <c r="H617" s="201"/>
      <c r="I617" s="202"/>
      <c r="J617" s="201"/>
      <c r="K617" s="170"/>
      <c r="L617" s="171"/>
      <c r="M617" s="94"/>
      <c r="N617" s="94"/>
      <c r="O617" s="94"/>
      <c r="P617" s="94"/>
      <c r="Q617" s="94"/>
      <c r="R617" s="94"/>
      <c r="S617" s="94"/>
      <c r="T617" s="94"/>
      <c r="U617" s="94"/>
      <c r="V617" s="94"/>
    </row>
    <row r="618" ht="24.0" customHeight="1">
      <c r="A618" s="149"/>
      <c r="B618" s="150"/>
      <c r="C618" s="197"/>
      <c r="D618" s="198"/>
      <c r="E618" s="198"/>
      <c r="F618" s="199"/>
      <c r="G618" s="200"/>
      <c r="H618" s="201"/>
      <c r="I618" s="202"/>
      <c r="J618" s="201"/>
      <c r="K618" s="170"/>
      <c r="L618" s="171"/>
      <c r="M618" s="94"/>
      <c r="N618" s="94"/>
      <c r="O618" s="94"/>
      <c r="P618" s="94"/>
      <c r="Q618" s="94"/>
      <c r="R618" s="94"/>
      <c r="S618" s="94"/>
      <c r="T618" s="94"/>
      <c r="U618" s="94"/>
      <c r="V618" s="94"/>
    </row>
    <row r="619" ht="24.0" customHeight="1">
      <c r="A619" s="149"/>
      <c r="B619" s="150"/>
      <c r="C619" s="197"/>
      <c r="D619" s="198"/>
      <c r="E619" s="198"/>
      <c r="F619" s="199"/>
      <c r="G619" s="200"/>
      <c r="H619" s="201"/>
      <c r="I619" s="202"/>
      <c r="J619" s="201"/>
      <c r="K619" s="170"/>
      <c r="L619" s="171"/>
      <c r="M619" s="94"/>
      <c r="N619" s="94"/>
      <c r="O619" s="94"/>
      <c r="P619" s="94"/>
      <c r="Q619" s="94"/>
      <c r="R619" s="94"/>
      <c r="S619" s="94"/>
      <c r="T619" s="94"/>
      <c r="U619" s="94"/>
      <c r="V619" s="94"/>
    </row>
    <row r="620" ht="24.0" customHeight="1">
      <c r="A620" s="149"/>
      <c r="B620" s="150"/>
      <c r="C620" s="197"/>
      <c r="D620" s="198"/>
      <c r="E620" s="198"/>
      <c r="F620" s="199"/>
      <c r="G620" s="200"/>
      <c r="H620" s="201"/>
      <c r="I620" s="202"/>
      <c r="J620" s="201"/>
      <c r="K620" s="170"/>
      <c r="L620" s="171"/>
      <c r="M620" s="94"/>
      <c r="N620" s="94"/>
      <c r="O620" s="94"/>
      <c r="P620" s="94"/>
      <c r="Q620" s="94"/>
      <c r="R620" s="94"/>
      <c r="S620" s="94"/>
      <c r="T620" s="94"/>
      <c r="U620" s="94"/>
      <c r="V620" s="94"/>
    </row>
    <row r="621" ht="24.0" customHeight="1">
      <c r="A621" s="149"/>
      <c r="B621" s="150"/>
      <c r="C621" s="197"/>
      <c r="D621" s="198"/>
      <c r="E621" s="198"/>
      <c r="F621" s="199"/>
      <c r="G621" s="200"/>
      <c r="H621" s="201"/>
      <c r="I621" s="202"/>
      <c r="J621" s="201"/>
      <c r="K621" s="170"/>
      <c r="L621" s="171"/>
      <c r="M621" s="94"/>
      <c r="N621" s="94"/>
      <c r="O621" s="94"/>
      <c r="P621" s="94"/>
      <c r="Q621" s="94"/>
      <c r="R621" s="94"/>
      <c r="S621" s="94"/>
      <c r="T621" s="94"/>
      <c r="U621" s="94"/>
      <c r="V621" s="94"/>
    </row>
    <row r="622" ht="24.0" customHeight="1">
      <c r="A622" s="149"/>
      <c r="B622" s="150"/>
      <c r="C622" s="197"/>
      <c r="D622" s="198"/>
      <c r="E622" s="198"/>
      <c r="F622" s="199"/>
      <c r="G622" s="200"/>
      <c r="H622" s="201"/>
      <c r="I622" s="202"/>
      <c r="J622" s="201"/>
      <c r="K622" s="170"/>
      <c r="L622" s="171"/>
      <c r="M622" s="94"/>
      <c r="N622" s="94"/>
      <c r="O622" s="94"/>
      <c r="P622" s="94"/>
      <c r="Q622" s="94"/>
      <c r="R622" s="94"/>
      <c r="S622" s="94"/>
      <c r="T622" s="94"/>
      <c r="U622" s="94"/>
      <c r="V622" s="94"/>
    </row>
    <row r="623" ht="24.0" customHeight="1">
      <c r="A623" s="149"/>
      <c r="B623" s="150"/>
      <c r="C623" s="197"/>
      <c r="D623" s="198"/>
      <c r="E623" s="198"/>
      <c r="F623" s="199"/>
      <c r="G623" s="200"/>
      <c r="H623" s="201"/>
      <c r="I623" s="202"/>
      <c r="J623" s="201"/>
      <c r="K623" s="170"/>
      <c r="L623" s="171"/>
      <c r="M623" s="94"/>
      <c r="N623" s="94"/>
      <c r="O623" s="94"/>
      <c r="P623" s="94"/>
      <c r="Q623" s="94"/>
      <c r="R623" s="94"/>
      <c r="S623" s="94"/>
      <c r="T623" s="94"/>
      <c r="U623" s="94"/>
      <c r="V623" s="94"/>
    </row>
    <row r="624" ht="24.0" customHeight="1">
      <c r="A624" s="149"/>
      <c r="B624" s="150"/>
      <c r="C624" s="197"/>
      <c r="D624" s="198"/>
      <c r="E624" s="198"/>
      <c r="F624" s="199"/>
      <c r="G624" s="200"/>
      <c r="H624" s="201"/>
      <c r="I624" s="202"/>
      <c r="J624" s="201"/>
      <c r="K624" s="170"/>
      <c r="L624" s="171"/>
      <c r="M624" s="94"/>
      <c r="N624" s="94"/>
      <c r="O624" s="94"/>
      <c r="P624" s="94"/>
      <c r="Q624" s="94"/>
      <c r="R624" s="94"/>
      <c r="S624" s="94"/>
      <c r="T624" s="94"/>
      <c r="U624" s="94"/>
      <c r="V624" s="94"/>
    </row>
    <row r="625" ht="24.0" customHeight="1">
      <c r="A625" s="149"/>
      <c r="B625" s="150"/>
      <c r="C625" s="197"/>
      <c r="D625" s="198"/>
      <c r="E625" s="198"/>
      <c r="F625" s="199"/>
      <c r="G625" s="200"/>
      <c r="H625" s="201"/>
      <c r="I625" s="202"/>
      <c r="J625" s="201"/>
      <c r="K625" s="170"/>
      <c r="L625" s="171"/>
      <c r="M625" s="94"/>
      <c r="N625" s="94"/>
      <c r="O625" s="94"/>
      <c r="P625" s="94"/>
      <c r="Q625" s="94"/>
      <c r="R625" s="94"/>
      <c r="S625" s="94"/>
      <c r="T625" s="94"/>
      <c r="U625" s="94"/>
      <c r="V625" s="94"/>
    </row>
    <row r="626" ht="24.0" customHeight="1">
      <c r="A626" s="149"/>
      <c r="B626" s="150"/>
      <c r="C626" s="197"/>
      <c r="D626" s="198"/>
      <c r="E626" s="198"/>
      <c r="F626" s="199"/>
      <c r="G626" s="200"/>
      <c r="H626" s="201"/>
      <c r="I626" s="202"/>
      <c r="J626" s="201"/>
      <c r="K626" s="170"/>
      <c r="L626" s="171"/>
      <c r="M626" s="94"/>
      <c r="N626" s="94"/>
      <c r="O626" s="94"/>
      <c r="P626" s="94"/>
      <c r="Q626" s="94"/>
      <c r="R626" s="94"/>
      <c r="S626" s="94"/>
      <c r="T626" s="94"/>
      <c r="U626" s="94"/>
      <c r="V626" s="94"/>
    </row>
    <row r="627" ht="24.0" customHeight="1">
      <c r="A627" s="149"/>
      <c r="B627" s="150"/>
      <c r="C627" s="197"/>
      <c r="D627" s="198"/>
      <c r="E627" s="198"/>
      <c r="F627" s="199"/>
      <c r="G627" s="200"/>
      <c r="H627" s="201"/>
      <c r="I627" s="202"/>
      <c r="J627" s="201"/>
      <c r="K627" s="170"/>
      <c r="L627" s="171"/>
      <c r="M627" s="94"/>
      <c r="N627" s="94"/>
      <c r="O627" s="94"/>
      <c r="P627" s="94"/>
      <c r="Q627" s="94"/>
      <c r="R627" s="94"/>
      <c r="S627" s="94"/>
      <c r="T627" s="94"/>
      <c r="U627" s="94"/>
      <c r="V627" s="94"/>
    </row>
    <row r="628" ht="24.0" customHeight="1">
      <c r="A628" s="149"/>
      <c r="B628" s="150"/>
      <c r="C628" s="197"/>
      <c r="D628" s="198"/>
      <c r="E628" s="198"/>
      <c r="F628" s="199"/>
      <c r="G628" s="200"/>
      <c r="H628" s="201"/>
      <c r="I628" s="202"/>
      <c r="J628" s="201"/>
      <c r="K628" s="170"/>
      <c r="L628" s="171"/>
      <c r="M628" s="94"/>
      <c r="N628" s="94"/>
      <c r="O628" s="94"/>
      <c r="P628" s="94"/>
      <c r="Q628" s="94"/>
      <c r="R628" s="94"/>
      <c r="S628" s="94"/>
      <c r="T628" s="94"/>
      <c r="U628" s="94"/>
      <c r="V628" s="94"/>
    </row>
    <row r="629" ht="24.0" customHeight="1">
      <c r="A629" s="149"/>
      <c r="B629" s="150"/>
      <c r="C629" s="197"/>
      <c r="D629" s="198"/>
      <c r="E629" s="198"/>
      <c r="F629" s="199"/>
      <c r="G629" s="200"/>
      <c r="H629" s="201"/>
      <c r="I629" s="202"/>
      <c r="J629" s="201"/>
      <c r="K629" s="170"/>
      <c r="L629" s="171"/>
      <c r="M629" s="94"/>
      <c r="N629" s="94"/>
      <c r="O629" s="94"/>
      <c r="P629" s="94"/>
      <c r="Q629" s="94"/>
      <c r="R629" s="94"/>
      <c r="S629" s="94"/>
      <c r="T629" s="94"/>
      <c r="U629" s="94"/>
      <c r="V629" s="94"/>
    </row>
    <row r="630" ht="24.0" customHeight="1">
      <c r="A630" s="149"/>
      <c r="B630" s="150"/>
      <c r="C630" s="197"/>
      <c r="D630" s="198"/>
      <c r="E630" s="198"/>
      <c r="F630" s="199"/>
      <c r="G630" s="200"/>
      <c r="H630" s="201"/>
      <c r="I630" s="202"/>
      <c r="J630" s="201"/>
      <c r="K630" s="170"/>
      <c r="L630" s="171"/>
      <c r="M630" s="94"/>
      <c r="N630" s="94"/>
      <c r="O630" s="94"/>
      <c r="P630" s="94"/>
      <c r="Q630" s="94"/>
      <c r="R630" s="94"/>
      <c r="S630" s="94"/>
      <c r="T630" s="94"/>
      <c r="U630" s="94"/>
      <c r="V630" s="94"/>
    </row>
    <row r="631" ht="24.0" customHeight="1">
      <c r="A631" s="149"/>
      <c r="B631" s="150"/>
      <c r="C631" s="197"/>
      <c r="D631" s="198"/>
      <c r="E631" s="198"/>
      <c r="F631" s="199"/>
      <c r="G631" s="200"/>
      <c r="H631" s="201"/>
      <c r="I631" s="202"/>
      <c r="J631" s="201"/>
      <c r="K631" s="170"/>
      <c r="L631" s="171"/>
      <c r="M631" s="94"/>
      <c r="N631" s="94"/>
      <c r="O631" s="94"/>
      <c r="P631" s="94"/>
      <c r="Q631" s="94"/>
      <c r="R631" s="94"/>
      <c r="S631" s="94"/>
      <c r="T631" s="94"/>
      <c r="U631" s="94"/>
      <c r="V631" s="94"/>
    </row>
    <row r="632" ht="24.0" customHeight="1">
      <c r="A632" s="149"/>
      <c r="B632" s="150"/>
      <c r="C632" s="197"/>
      <c r="D632" s="198"/>
      <c r="E632" s="198"/>
      <c r="F632" s="199"/>
      <c r="G632" s="200"/>
      <c r="H632" s="201"/>
      <c r="I632" s="202"/>
      <c r="J632" s="201"/>
      <c r="K632" s="170"/>
      <c r="L632" s="171"/>
      <c r="M632" s="94"/>
      <c r="N632" s="94"/>
      <c r="O632" s="94"/>
      <c r="P632" s="94"/>
      <c r="Q632" s="94"/>
      <c r="R632" s="94"/>
      <c r="S632" s="94"/>
      <c r="T632" s="94"/>
      <c r="U632" s="94"/>
      <c r="V632" s="94"/>
    </row>
    <row r="633" ht="24.0" customHeight="1">
      <c r="A633" s="149"/>
      <c r="B633" s="150"/>
      <c r="C633" s="197"/>
      <c r="D633" s="198"/>
      <c r="E633" s="198"/>
      <c r="F633" s="199"/>
      <c r="G633" s="200"/>
      <c r="H633" s="201"/>
      <c r="I633" s="202"/>
      <c r="J633" s="201"/>
      <c r="K633" s="170"/>
      <c r="L633" s="171"/>
      <c r="M633" s="94"/>
      <c r="N633" s="94"/>
      <c r="O633" s="94"/>
      <c r="P633" s="94"/>
      <c r="Q633" s="94"/>
      <c r="R633" s="94"/>
      <c r="S633" s="94"/>
      <c r="T633" s="94"/>
      <c r="U633" s="94"/>
      <c r="V633" s="94"/>
    </row>
    <row r="634" ht="24.0" customHeight="1">
      <c r="A634" s="149"/>
      <c r="B634" s="150"/>
      <c r="C634" s="197"/>
      <c r="D634" s="198"/>
      <c r="E634" s="198"/>
      <c r="F634" s="199"/>
      <c r="G634" s="200"/>
      <c r="H634" s="201"/>
      <c r="I634" s="202"/>
      <c r="J634" s="201"/>
      <c r="K634" s="170"/>
      <c r="L634" s="171"/>
      <c r="M634" s="94"/>
      <c r="N634" s="94"/>
      <c r="O634" s="94"/>
      <c r="P634" s="94"/>
      <c r="Q634" s="94"/>
      <c r="R634" s="94"/>
      <c r="S634" s="94"/>
      <c r="T634" s="94"/>
      <c r="U634" s="94"/>
      <c r="V634" s="94"/>
    </row>
    <row r="635" ht="24.0" customHeight="1">
      <c r="A635" s="149"/>
      <c r="B635" s="150"/>
      <c r="C635" s="197"/>
      <c r="D635" s="198"/>
      <c r="E635" s="198"/>
      <c r="F635" s="199"/>
      <c r="G635" s="200"/>
      <c r="H635" s="201"/>
      <c r="I635" s="202"/>
      <c r="J635" s="201"/>
      <c r="K635" s="170"/>
      <c r="L635" s="171"/>
      <c r="M635" s="94"/>
      <c r="N635" s="94"/>
      <c r="O635" s="94"/>
      <c r="P635" s="94"/>
      <c r="Q635" s="94"/>
      <c r="R635" s="94"/>
      <c r="S635" s="94"/>
      <c r="T635" s="94"/>
      <c r="U635" s="94"/>
      <c r="V635" s="94"/>
    </row>
    <row r="636" ht="24.0" customHeight="1">
      <c r="A636" s="149"/>
      <c r="B636" s="150"/>
      <c r="C636" s="197"/>
      <c r="D636" s="198"/>
      <c r="E636" s="198"/>
      <c r="F636" s="199"/>
      <c r="G636" s="200"/>
      <c r="H636" s="201"/>
      <c r="I636" s="202"/>
      <c r="J636" s="201"/>
      <c r="K636" s="170"/>
      <c r="L636" s="171"/>
      <c r="M636" s="94"/>
      <c r="N636" s="94"/>
      <c r="O636" s="94"/>
      <c r="P636" s="94"/>
      <c r="Q636" s="94"/>
      <c r="R636" s="94"/>
      <c r="S636" s="94"/>
      <c r="T636" s="94"/>
      <c r="U636" s="94"/>
      <c r="V636" s="94"/>
    </row>
    <row r="637" ht="24.0" customHeight="1">
      <c r="A637" s="149"/>
      <c r="B637" s="150"/>
      <c r="C637" s="197"/>
      <c r="D637" s="198"/>
      <c r="E637" s="198"/>
      <c r="F637" s="199"/>
      <c r="G637" s="200"/>
      <c r="H637" s="201"/>
      <c r="I637" s="202"/>
      <c r="J637" s="201"/>
      <c r="K637" s="170"/>
      <c r="L637" s="171"/>
      <c r="M637" s="94"/>
      <c r="N637" s="94"/>
      <c r="O637" s="94"/>
      <c r="P637" s="94"/>
      <c r="Q637" s="94"/>
      <c r="R637" s="94"/>
      <c r="S637" s="94"/>
      <c r="T637" s="94"/>
      <c r="U637" s="94"/>
      <c r="V637" s="94"/>
    </row>
    <row r="638" ht="24.0" customHeight="1">
      <c r="A638" s="149"/>
      <c r="B638" s="150"/>
      <c r="C638" s="197"/>
      <c r="D638" s="198"/>
      <c r="E638" s="198"/>
      <c r="F638" s="199"/>
      <c r="G638" s="200"/>
      <c r="H638" s="201"/>
      <c r="I638" s="202"/>
      <c r="J638" s="201"/>
      <c r="K638" s="170"/>
      <c r="L638" s="171"/>
      <c r="M638" s="94"/>
      <c r="N638" s="94"/>
      <c r="O638" s="94"/>
      <c r="P638" s="94"/>
      <c r="Q638" s="94"/>
      <c r="R638" s="94"/>
      <c r="S638" s="94"/>
      <c r="T638" s="94"/>
      <c r="U638" s="94"/>
      <c r="V638" s="94"/>
    </row>
    <row r="639" ht="24.0" customHeight="1">
      <c r="A639" s="149"/>
      <c r="B639" s="150"/>
      <c r="C639" s="197"/>
      <c r="D639" s="198"/>
      <c r="E639" s="198"/>
      <c r="F639" s="199"/>
      <c r="G639" s="200"/>
      <c r="H639" s="201"/>
      <c r="I639" s="202"/>
      <c r="J639" s="201"/>
      <c r="K639" s="170"/>
      <c r="L639" s="171"/>
      <c r="M639" s="94"/>
      <c r="N639" s="94"/>
      <c r="O639" s="94"/>
      <c r="P639" s="94"/>
      <c r="Q639" s="94"/>
      <c r="R639" s="94"/>
      <c r="S639" s="94"/>
      <c r="T639" s="94"/>
      <c r="U639" s="94"/>
      <c r="V639" s="94"/>
    </row>
    <row r="640" ht="24.0" customHeight="1">
      <c r="A640" s="149"/>
      <c r="B640" s="150"/>
      <c r="C640" s="197"/>
      <c r="D640" s="198"/>
      <c r="E640" s="198"/>
      <c r="F640" s="199"/>
      <c r="G640" s="200"/>
      <c r="H640" s="201"/>
      <c r="I640" s="202"/>
      <c r="J640" s="201"/>
      <c r="K640" s="170"/>
      <c r="L640" s="171"/>
      <c r="M640" s="94"/>
      <c r="N640" s="94"/>
      <c r="O640" s="94"/>
      <c r="P640" s="94"/>
      <c r="Q640" s="94"/>
      <c r="R640" s="94"/>
      <c r="S640" s="94"/>
      <c r="T640" s="94"/>
      <c r="U640" s="94"/>
      <c r="V640" s="94"/>
    </row>
    <row r="641" ht="24.0" customHeight="1">
      <c r="A641" s="149"/>
      <c r="B641" s="150"/>
      <c r="C641" s="197"/>
      <c r="D641" s="198"/>
      <c r="E641" s="198"/>
      <c r="F641" s="199"/>
      <c r="G641" s="200"/>
      <c r="H641" s="201"/>
      <c r="I641" s="202"/>
      <c r="J641" s="201"/>
      <c r="K641" s="170"/>
      <c r="L641" s="171"/>
      <c r="M641" s="94"/>
      <c r="N641" s="94"/>
      <c r="O641" s="94"/>
      <c r="P641" s="94"/>
      <c r="Q641" s="94"/>
      <c r="R641" s="94"/>
      <c r="S641" s="94"/>
      <c r="T641" s="94"/>
      <c r="U641" s="94"/>
      <c r="V641" s="94"/>
    </row>
    <row r="642" ht="24.0" customHeight="1">
      <c r="A642" s="149"/>
      <c r="B642" s="150"/>
      <c r="C642" s="197"/>
      <c r="D642" s="198"/>
      <c r="E642" s="198"/>
      <c r="F642" s="199"/>
      <c r="G642" s="200"/>
      <c r="H642" s="201"/>
      <c r="I642" s="202"/>
      <c r="J642" s="201"/>
      <c r="K642" s="170"/>
      <c r="L642" s="171"/>
      <c r="M642" s="94"/>
      <c r="N642" s="94"/>
      <c r="O642" s="94"/>
      <c r="P642" s="94"/>
      <c r="Q642" s="94"/>
      <c r="R642" s="94"/>
      <c r="S642" s="94"/>
      <c r="T642" s="94"/>
      <c r="U642" s="94"/>
      <c r="V642" s="94"/>
    </row>
    <row r="643" ht="24.0" customHeight="1">
      <c r="A643" s="149"/>
      <c r="B643" s="150"/>
      <c r="C643" s="197"/>
      <c r="D643" s="198"/>
      <c r="E643" s="198"/>
      <c r="F643" s="199"/>
      <c r="G643" s="200"/>
      <c r="H643" s="201"/>
      <c r="I643" s="202"/>
      <c r="J643" s="201"/>
      <c r="K643" s="170"/>
      <c r="L643" s="171"/>
      <c r="M643" s="94"/>
      <c r="N643" s="94"/>
      <c r="O643" s="94"/>
      <c r="P643" s="94"/>
      <c r="Q643" s="94"/>
      <c r="R643" s="94"/>
      <c r="S643" s="94"/>
      <c r="T643" s="94"/>
      <c r="U643" s="94"/>
      <c r="V643" s="94"/>
    </row>
    <row r="644" ht="24.0" customHeight="1">
      <c r="A644" s="149"/>
      <c r="B644" s="150"/>
      <c r="C644" s="197"/>
      <c r="D644" s="198"/>
      <c r="E644" s="198"/>
      <c r="F644" s="199"/>
      <c r="G644" s="200"/>
      <c r="H644" s="201"/>
      <c r="I644" s="202"/>
      <c r="J644" s="201"/>
      <c r="K644" s="170"/>
      <c r="L644" s="171"/>
      <c r="M644" s="94"/>
      <c r="N644" s="94"/>
      <c r="O644" s="94"/>
      <c r="P644" s="94"/>
      <c r="Q644" s="94"/>
      <c r="R644" s="94"/>
      <c r="S644" s="94"/>
      <c r="T644" s="94"/>
      <c r="U644" s="94"/>
      <c r="V644" s="94"/>
    </row>
    <row r="645" ht="24.0" customHeight="1">
      <c r="A645" s="149"/>
      <c r="B645" s="150"/>
      <c r="C645" s="197"/>
      <c r="D645" s="198"/>
      <c r="E645" s="198"/>
      <c r="F645" s="199"/>
      <c r="G645" s="200"/>
      <c r="H645" s="201"/>
      <c r="I645" s="202"/>
      <c r="J645" s="201"/>
      <c r="K645" s="170"/>
      <c r="L645" s="171"/>
      <c r="M645" s="94"/>
      <c r="N645" s="94"/>
      <c r="O645" s="94"/>
      <c r="P645" s="94"/>
      <c r="Q645" s="94"/>
      <c r="R645" s="94"/>
      <c r="S645" s="94"/>
      <c r="T645" s="94"/>
      <c r="U645" s="94"/>
      <c r="V645" s="94"/>
    </row>
    <row r="646" ht="24.0" customHeight="1">
      <c r="A646" s="149"/>
      <c r="B646" s="150"/>
      <c r="C646" s="197"/>
      <c r="D646" s="198"/>
      <c r="E646" s="198"/>
      <c r="F646" s="199"/>
      <c r="G646" s="200"/>
      <c r="H646" s="201"/>
      <c r="I646" s="202"/>
      <c r="J646" s="201"/>
      <c r="K646" s="170"/>
      <c r="L646" s="171"/>
      <c r="M646" s="94"/>
      <c r="N646" s="94"/>
      <c r="O646" s="94"/>
      <c r="P646" s="94"/>
      <c r="Q646" s="94"/>
      <c r="R646" s="94"/>
      <c r="S646" s="94"/>
      <c r="T646" s="94"/>
      <c r="U646" s="94"/>
      <c r="V646" s="94"/>
    </row>
    <row r="647" ht="24.0" customHeight="1">
      <c r="A647" s="149"/>
      <c r="B647" s="150"/>
      <c r="C647" s="197"/>
      <c r="D647" s="198"/>
      <c r="E647" s="198"/>
      <c r="F647" s="199"/>
      <c r="G647" s="200"/>
      <c r="H647" s="201"/>
      <c r="I647" s="202"/>
      <c r="J647" s="201"/>
      <c r="K647" s="170"/>
      <c r="L647" s="171"/>
      <c r="M647" s="94"/>
      <c r="N647" s="94"/>
      <c r="O647" s="94"/>
      <c r="P647" s="94"/>
      <c r="Q647" s="94"/>
      <c r="R647" s="94"/>
      <c r="S647" s="94"/>
      <c r="T647" s="94"/>
      <c r="U647" s="94"/>
      <c r="V647" s="94"/>
    </row>
    <row r="648" ht="24.0" customHeight="1">
      <c r="A648" s="149"/>
      <c r="B648" s="150"/>
      <c r="C648" s="197"/>
      <c r="D648" s="198"/>
      <c r="E648" s="198"/>
      <c r="F648" s="199"/>
      <c r="G648" s="200"/>
      <c r="H648" s="201"/>
      <c r="I648" s="202"/>
      <c r="J648" s="201"/>
      <c r="K648" s="170"/>
      <c r="L648" s="171"/>
      <c r="M648" s="94"/>
      <c r="N648" s="94"/>
      <c r="O648" s="94"/>
      <c r="P648" s="94"/>
      <c r="Q648" s="94"/>
      <c r="R648" s="94"/>
      <c r="S648" s="94"/>
      <c r="T648" s="94"/>
      <c r="U648" s="94"/>
      <c r="V648" s="94"/>
    </row>
    <row r="649" ht="24.0" customHeight="1">
      <c r="A649" s="149"/>
      <c r="B649" s="150"/>
      <c r="C649" s="197"/>
      <c r="D649" s="198"/>
      <c r="E649" s="198"/>
      <c r="F649" s="199"/>
      <c r="G649" s="200"/>
      <c r="H649" s="201"/>
      <c r="I649" s="202"/>
      <c r="J649" s="201"/>
      <c r="K649" s="170"/>
      <c r="L649" s="171"/>
      <c r="M649" s="94"/>
      <c r="N649" s="94"/>
      <c r="O649" s="94"/>
      <c r="P649" s="94"/>
      <c r="Q649" s="94"/>
      <c r="R649" s="94"/>
      <c r="S649" s="94"/>
      <c r="T649" s="94"/>
      <c r="U649" s="94"/>
      <c r="V649" s="94"/>
    </row>
    <row r="650" ht="24.0" customHeight="1">
      <c r="A650" s="149"/>
      <c r="B650" s="150"/>
      <c r="C650" s="197"/>
      <c r="D650" s="198"/>
      <c r="E650" s="198"/>
      <c r="F650" s="199"/>
      <c r="G650" s="200"/>
      <c r="H650" s="201"/>
      <c r="I650" s="202"/>
      <c r="J650" s="201"/>
      <c r="K650" s="170"/>
      <c r="L650" s="171"/>
      <c r="M650" s="94"/>
      <c r="N650" s="94"/>
      <c r="O650" s="94"/>
      <c r="P650" s="94"/>
      <c r="Q650" s="94"/>
      <c r="R650" s="94"/>
      <c r="S650" s="94"/>
      <c r="T650" s="94"/>
      <c r="U650" s="94"/>
      <c r="V650" s="94"/>
    </row>
    <row r="651" ht="24.0" customHeight="1">
      <c r="A651" s="149"/>
      <c r="B651" s="150"/>
      <c r="C651" s="197"/>
      <c r="D651" s="198"/>
      <c r="E651" s="198"/>
      <c r="F651" s="199"/>
      <c r="G651" s="200"/>
      <c r="H651" s="201"/>
      <c r="I651" s="202"/>
      <c r="J651" s="201"/>
      <c r="K651" s="170"/>
      <c r="L651" s="171"/>
      <c r="M651" s="94"/>
      <c r="N651" s="94"/>
      <c r="O651" s="94"/>
      <c r="P651" s="94"/>
      <c r="Q651" s="94"/>
      <c r="R651" s="94"/>
      <c r="S651" s="94"/>
      <c r="T651" s="94"/>
      <c r="U651" s="94"/>
      <c r="V651" s="94"/>
    </row>
    <row r="652" ht="24.0" customHeight="1">
      <c r="A652" s="149"/>
      <c r="B652" s="150"/>
      <c r="C652" s="197"/>
      <c r="D652" s="198"/>
      <c r="E652" s="198"/>
      <c r="F652" s="199"/>
      <c r="G652" s="200"/>
      <c r="H652" s="201"/>
      <c r="I652" s="202"/>
      <c r="J652" s="201"/>
      <c r="K652" s="170"/>
      <c r="L652" s="171"/>
      <c r="M652" s="94"/>
      <c r="N652" s="94"/>
      <c r="O652" s="94"/>
      <c r="P652" s="94"/>
      <c r="Q652" s="94"/>
      <c r="R652" s="94"/>
      <c r="S652" s="94"/>
      <c r="T652" s="94"/>
      <c r="U652" s="94"/>
      <c r="V652" s="94"/>
    </row>
    <row r="653" ht="24.0" customHeight="1">
      <c r="A653" s="149"/>
      <c r="B653" s="150"/>
      <c r="C653" s="197"/>
      <c r="D653" s="198"/>
      <c r="E653" s="198"/>
      <c r="F653" s="199"/>
      <c r="G653" s="200"/>
      <c r="H653" s="201"/>
      <c r="I653" s="202"/>
      <c r="J653" s="201"/>
      <c r="K653" s="170"/>
      <c r="L653" s="171"/>
      <c r="M653" s="94"/>
      <c r="N653" s="94"/>
      <c r="O653" s="94"/>
      <c r="P653" s="94"/>
      <c r="Q653" s="94"/>
      <c r="R653" s="94"/>
      <c r="S653" s="94"/>
      <c r="T653" s="94"/>
      <c r="U653" s="94"/>
      <c r="V653" s="94"/>
    </row>
    <row r="654" ht="24.0" customHeight="1">
      <c r="A654" s="149"/>
      <c r="B654" s="150"/>
      <c r="C654" s="197"/>
      <c r="D654" s="198"/>
      <c r="E654" s="198"/>
      <c r="F654" s="199"/>
      <c r="G654" s="200"/>
      <c r="H654" s="201"/>
      <c r="I654" s="202"/>
      <c r="J654" s="201"/>
      <c r="K654" s="170"/>
      <c r="L654" s="171"/>
      <c r="M654" s="94"/>
      <c r="N654" s="94"/>
      <c r="O654" s="94"/>
      <c r="P654" s="94"/>
      <c r="Q654" s="94"/>
      <c r="R654" s="94"/>
      <c r="S654" s="94"/>
      <c r="T654" s="94"/>
      <c r="U654" s="94"/>
      <c r="V654" s="94"/>
    </row>
    <row r="655" ht="24.0" customHeight="1">
      <c r="A655" s="149"/>
      <c r="B655" s="150"/>
      <c r="C655" s="197"/>
      <c r="D655" s="198"/>
      <c r="E655" s="198"/>
      <c r="F655" s="199"/>
      <c r="G655" s="200"/>
      <c r="H655" s="201"/>
      <c r="I655" s="202"/>
      <c r="J655" s="201"/>
      <c r="K655" s="170"/>
      <c r="L655" s="171"/>
      <c r="M655" s="94"/>
      <c r="N655" s="94"/>
      <c r="O655" s="94"/>
      <c r="P655" s="94"/>
      <c r="Q655" s="94"/>
      <c r="R655" s="94"/>
      <c r="S655" s="94"/>
      <c r="T655" s="94"/>
      <c r="U655" s="94"/>
      <c r="V655" s="94"/>
    </row>
    <row r="656" ht="24.0" customHeight="1">
      <c r="A656" s="149"/>
      <c r="B656" s="150"/>
      <c r="C656" s="197"/>
      <c r="D656" s="198"/>
      <c r="E656" s="198"/>
      <c r="F656" s="199"/>
      <c r="G656" s="200"/>
      <c r="H656" s="201"/>
      <c r="I656" s="202"/>
      <c r="J656" s="201"/>
      <c r="K656" s="170"/>
      <c r="L656" s="171"/>
      <c r="M656" s="94"/>
      <c r="N656" s="94"/>
      <c r="O656" s="94"/>
      <c r="P656" s="94"/>
      <c r="Q656" s="94"/>
      <c r="R656" s="94"/>
      <c r="S656" s="94"/>
      <c r="T656" s="94"/>
      <c r="U656" s="94"/>
      <c r="V656" s="94"/>
    </row>
    <row r="657" ht="24.0" customHeight="1">
      <c r="A657" s="149"/>
      <c r="B657" s="150"/>
      <c r="C657" s="197"/>
      <c r="D657" s="198"/>
      <c r="E657" s="198"/>
      <c r="F657" s="199"/>
      <c r="G657" s="200"/>
      <c r="H657" s="201"/>
      <c r="I657" s="202"/>
      <c r="J657" s="201"/>
      <c r="K657" s="170"/>
      <c r="L657" s="171"/>
      <c r="M657" s="94"/>
      <c r="N657" s="94"/>
      <c r="O657" s="94"/>
      <c r="P657" s="94"/>
      <c r="Q657" s="94"/>
      <c r="R657" s="94"/>
      <c r="S657" s="94"/>
      <c r="T657" s="94"/>
      <c r="U657" s="94"/>
      <c r="V657" s="94"/>
    </row>
    <row r="658" ht="24.0" customHeight="1">
      <c r="A658" s="149"/>
      <c r="B658" s="150"/>
      <c r="C658" s="197"/>
      <c r="D658" s="198"/>
      <c r="E658" s="198"/>
      <c r="F658" s="199"/>
      <c r="G658" s="200"/>
      <c r="H658" s="201"/>
      <c r="I658" s="202"/>
      <c r="J658" s="201"/>
      <c r="K658" s="170"/>
      <c r="L658" s="171"/>
      <c r="M658" s="94"/>
      <c r="N658" s="94"/>
      <c r="O658" s="94"/>
      <c r="P658" s="94"/>
      <c r="Q658" s="94"/>
      <c r="R658" s="94"/>
      <c r="S658" s="94"/>
      <c r="T658" s="94"/>
      <c r="U658" s="94"/>
      <c r="V658" s="94"/>
    </row>
    <row r="659" ht="24.0" customHeight="1">
      <c r="A659" s="149"/>
      <c r="B659" s="150"/>
      <c r="C659" s="197"/>
      <c r="D659" s="198"/>
      <c r="E659" s="198"/>
      <c r="F659" s="199"/>
      <c r="G659" s="200"/>
      <c r="H659" s="201"/>
      <c r="I659" s="202"/>
      <c r="J659" s="201"/>
      <c r="K659" s="170"/>
      <c r="L659" s="171"/>
      <c r="M659" s="94"/>
      <c r="N659" s="94"/>
      <c r="O659" s="94"/>
      <c r="P659" s="94"/>
      <c r="Q659" s="94"/>
      <c r="R659" s="94"/>
      <c r="S659" s="94"/>
      <c r="T659" s="94"/>
      <c r="U659" s="94"/>
      <c r="V659" s="94"/>
    </row>
    <row r="660" ht="24.0" customHeight="1">
      <c r="A660" s="149"/>
      <c r="B660" s="150"/>
      <c r="C660" s="197"/>
      <c r="D660" s="198"/>
      <c r="E660" s="198"/>
      <c r="F660" s="199"/>
      <c r="G660" s="200"/>
      <c r="H660" s="201"/>
      <c r="I660" s="202"/>
      <c r="J660" s="201"/>
      <c r="K660" s="170"/>
      <c r="L660" s="171"/>
      <c r="M660" s="94"/>
      <c r="N660" s="94"/>
      <c r="O660" s="94"/>
      <c r="P660" s="94"/>
      <c r="Q660" s="94"/>
      <c r="R660" s="94"/>
      <c r="S660" s="94"/>
      <c r="T660" s="94"/>
      <c r="U660" s="94"/>
      <c r="V660" s="94"/>
    </row>
    <row r="661" ht="24.0" customHeight="1">
      <c r="A661" s="149"/>
      <c r="B661" s="150"/>
      <c r="C661" s="197"/>
      <c r="D661" s="198"/>
      <c r="E661" s="198"/>
      <c r="F661" s="199"/>
      <c r="G661" s="200"/>
      <c r="H661" s="201"/>
      <c r="I661" s="202"/>
      <c r="J661" s="201"/>
      <c r="K661" s="170"/>
      <c r="L661" s="171"/>
      <c r="M661" s="94"/>
      <c r="N661" s="94"/>
      <c r="O661" s="94"/>
      <c r="P661" s="94"/>
      <c r="Q661" s="94"/>
      <c r="R661" s="94"/>
      <c r="S661" s="94"/>
      <c r="T661" s="94"/>
      <c r="U661" s="94"/>
      <c r="V661" s="94"/>
    </row>
    <row r="662" ht="24.0" customHeight="1">
      <c r="A662" s="149"/>
      <c r="B662" s="150"/>
      <c r="C662" s="197"/>
      <c r="D662" s="198"/>
      <c r="E662" s="198"/>
      <c r="F662" s="199"/>
      <c r="G662" s="200"/>
      <c r="H662" s="201"/>
      <c r="I662" s="202"/>
      <c r="J662" s="201"/>
      <c r="K662" s="170"/>
      <c r="L662" s="171"/>
      <c r="M662" s="94"/>
      <c r="N662" s="94"/>
      <c r="O662" s="94"/>
      <c r="P662" s="94"/>
      <c r="Q662" s="94"/>
      <c r="R662" s="94"/>
      <c r="S662" s="94"/>
      <c r="T662" s="94"/>
      <c r="U662" s="94"/>
      <c r="V662" s="94"/>
    </row>
    <row r="663" ht="24.0" customHeight="1">
      <c r="A663" s="149"/>
      <c r="B663" s="150"/>
      <c r="C663" s="197"/>
      <c r="D663" s="198"/>
      <c r="E663" s="198"/>
      <c r="F663" s="199"/>
      <c r="G663" s="200"/>
      <c r="H663" s="201"/>
      <c r="I663" s="202"/>
      <c r="J663" s="201"/>
      <c r="K663" s="170"/>
      <c r="L663" s="171"/>
      <c r="M663" s="94"/>
      <c r="N663" s="94"/>
      <c r="O663" s="94"/>
      <c r="P663" s="94"/>
      <c r="Q663" s="94"/>
      <c r="R663" s="94"/>
      <c r="S663" s="94"/>
      <c r="T663" s="94"/>
      <c r="U663" s="94"/>
      <c r="V663" s="94"/>
    </row>
    <row r="664" ht="24.0" customHeight="1">
      <c r="A664" s="149"/>
      <c r="B664" s="150"/>
      <c r="C664" s="197"/>
      <c r="D664" s="198"/>
      <c r="E664" s="198"/>
      <c r="F664" s="199"/>
      <c r="G664" s="200"/>
      <c r="H664" s="201"/>
      <c r="I664" s="202"/>
      <c r="J664" s="201"/>
      <c r="K664" s="170"/>
      <c r="L664" s="171"/>
      <c r="M664" s="94"/>
      <c r="N664" s="94"/>
      <c r="O664" s="94"/>
      <c r="P664" s="94"/>
      <c r="Q664" s="94"/>
      <c r="R664" s="94"/>
      <c r="S664" s="94"/>
      <c r="T664" s="94"/>
      <c r="U664" s="94"/>
      <c r="V664" s="94"/>
    </row>
    <row r="665" ht="24.0" customHeight="1">
      <c r="A665" s="149"/>
      <c r="B665" s="150"/>
      <c r="C665" s="197"/>
      <c r="D665" s="198"/>
      <c r="E665" s="198"/>
      <c r="F665" s="199"/>
      <c r="G665" s="200"/>
      <c r="H665" s="201"/>
      <c r="I665" s="202"/>
      <c r="J665" s="201"/>
      <c r="K665" s="170"/>
      <c r="L665" s="171"/>
      <c r="M665" s="94"/>
      <c r="N665" s="94"/>
      <c r="O665" s="94"/>
      <c r="P665" s="94"/>
      <c r="Q665" s="94"/>
      <c r="R665" s="94"/>
      <c r="S665" s="94"/>
      <c r="T665" s="94"/>
      <c r="U665" s="94"/>
      <c r="V665" s="94"/>
    </row>
    <row r="666" ht="24.0" customHeight="1">
      <c r="A666" s="149"/>
      <c r="B666" s="150"/>
      <c r="C666" s="197"/>
      <c r="D666" s="198"/>
      <c r="E666" s="198"/>
      <c r="F666" s="199"/>
      <c r="G666" s="200"/>
      <c r="H666" s="201"/>
      <c r="I666" s="202"/>
      <c r="J666" s="201"/>
      <c r="K666" s="170"/>
      <c r="L666" s="171"/>
      <c r="M666" s="94"/>
      <c r="N666" s="94"/>
      <c r="O666" s="94"/>
      <c r="P666" s="94"/>
      <c r="Q666" s="94"/>
      <c r="R666" s="94"/>
      <c r="S666" s="94"/>
      <c r="T666" s="94"/>
      <c r="U666" s="94"/>
      <c r="V666" s="94"/>
    </row>
    <row r="667" ht="24.0" customHeight="1">
      <c r="A667" s="149"/>
      <c r="B667" s="150"/>
      <c r="C667" s="197"/>
      <c r="D667" s="198"/>
      <c r="E667" s="198"/>
      <c r="F667" s="199"/>
      <c r="G667" s="200"/>
      <c r="H667" s="201"/>
      <c r="I667" s="202"/>
      <c r="J667" s="201"/>
      <c r="K667" s="170"/>
      <c r="L667" s="171"/>
      <c r="M667" s="94"/>
      <c r="N667" s="94"/>
      <c r="O667" s="94"/>
      <c r="P667" s="94"/>
      <c r="Q667" s="94"/>
      <c r="R667" s="94"/>
      <c r="S667" s="94"/>
      <c r="T667" s="94"/>
      <c r="U667" s="94"/>
      <c r="V667" s="94"/>
    </row>
    <row r="668" ht="24.0" customHeight="1">
      <c r="A668" s="149"/>
      <c r="B668" s="150"/>
      <c r="C668" s="197"/>
      <c r="D668" s="198"/>
      <c r="E668" s="198"/>
      <c r="F668" s="199"/>
      <c r="G668" s="200"/>
      <c r="H668" s="201"/>
      <c r="I668" s="202"/>
      <c r="J668" s="201"/>
      <c r="K668" s="170"/>
      <c r="L668" s="171"/>
      <c r="M668" s="94"/>
      <c r="N668" s="94"/>
      <c r="O668" s="94"/>
      <c r="P668" s="94"/>
      <c r="Q668" s="94"/>
      <c r="R668" s="94"/>
      <c r="S668" s="94"/>
      <c r="T668" s="94"/>
      <c r="U668" s="94"/>
      <c r="V668" s="94"/>
    </row>
    <row r="669" ht="24.0" customHeight="1">
      <c r="A669" s="149"/>
      <c r="B669" s="150"/>
      <c r="C669" s="197"/>
      <c r="D669" s="198"/>
      <c r="E669" s="198"/>
      <c r="F669" s="199"/>
      <c r="G669" s="200"/>
      <c r="H669" s="201"/>
      <c r="I669" s="202"/>
      <c r="J669" s="201"/>
      <c r="K669" s="170"/>
      <c r="L669" s="171"/>
      <c r="M669" s="94"/>
      <c r="N669" s="94"/>
      <c r="O669" s="94"/>
      <c r="P669" s="94"/>
      <c r="Q669" s="94"/>
      <c r="R669" s="94"/>
      <c r="S669" s="94"/>
      <c r="T669" s="94"/>
      <c r="U669" s="94"/>
      <c r="V669" s="94"/>
    </row>
    <row r="670" ht="24.0" customHeight="1">
      <c r="A670" s="149"/>
      <c r="B670" s="150"/>
      <c r="C670" s="197"/>
      <c r="D670" s="198"/>
      <c r="E670" s="198"/>
      <c r="F670" s="199"/>
      <c r="G670" s="200"/>
      <c r="H670" s="201"/>
      <c r="I670" s="202"/>
      <c r="J670" s="201"/>
      <c r="K670" s="170"/>
      <c r="L670" s="171"/>
      <c r="M670" s="94"/>
      <c r="N670" s="94"/>
      <c r="O670" s="94"/>
      <c r="P670" s="94"/>
      <c r="Q670" s="94"/>
      <c r="R670" s="94"/>
      <c r="S670" s="94"/>
      <c r="T670" s="94"/>
      <c r="U670" s="94"/>
      <c r="V670" s="94"/>
    </row>
    <row r="671" ht="24.0" customHeight="1">
      <c r="A671" s="149"/>
      <c r="B671" s="150"/>
      <c r="C671" s="197"/>
      <c r="D671" s="198"/>
      <c r="E671" s="198"/>
      <c r="F671" s="199"/>
      <c r="G671" s="200"/>
      <c r="H671" s="201"/>
      <c r="I671" s="202"/>
      <c r="J671" s="201"/>
      <c r="K671" s="170"/>
      <c r="L671" s="171"/>
      <c r="M671" s="94"/>
      <c r="N671" s="94"/>
      <c r="O671" s="94"/>
      <c r="P671" s="94"/>
      <c r="Q671" s="94"/>
      <c r="R671" s="94"/>
      <c r="S671" s="94"/>
      <c r="T671" s="94"/>
      <c r="U671" s="94"/>
      <c r="V671" s="94"/>
    </row>
    <row r="672" ht="24.0" customHeight="1">
      <c r="A672" s="149"/>
      <c r="B672" s="150"/>
      <c r="C672" s="197"/>
      <c r="D672" s="198"/>
      <c r="E672" s="198"/>
      <c r="F672" s="199"/>
      <c r="G672" s="200"/>
      <c r="H672" s="201"/>
      <c r="I672" s="202"/>
      <c r="J672" s="201"/>
      <c r="K672" s="170"/>
      <c r="L672" s="171"/>
      <c r="M672" s="94"/>
      <c r="N672" s="94"/>
      <c r="O672" s="94"/>
      <c r="P672" s="94"/>
      <c r="Q672" s="94"/>
      <c r="R672" s="94"/>
      <c r="S672" s="94"/>
      <c r="T672" s="94"/>
      <c r="U672" s="94"/>
      <c r="V672" s="94"/>
    </row>
    <row r="673" ht="24.0" customHeight="1">
      <c r="A673" s="149"/>
      <c r="B673" s="150"/>
      <c r="C673" s="197"/>
      <c r="D673" s="198"/>
      <c r="E673" s="198"/>
      <c r="F673" s="199"/>
      <c r="G673" s="200"/>
      <c r="H673" s="201"/>
      <c r="I673" s="202"/>
      <c r="J673" s="201"/>
      <c r="K673" s="170"/>
      <c r="L673" s="171"/>
      <c r="M673" s="94"/>
      <c r="N673" s="94"/>
      <c r="O673" s="94"/>
      <c r="P673" s="94"/>
      <c r="Q673" s="94"/>
      <c r="R673" s="94"/>
      <c r="S673" s="94"/>
      <c r="T673" s="94"/>
      <c r="U673" s="94"/>
      <c r="V673" s="94"/>
    </row>
    <row r="674" ht="24.0" customHeight="1">
      <c r="A674" s="149"/>
      <c r="B674" s="150"/>
      <c r="C674" s="197"/>
      <c r="D674" s="198"/>
      <c r="E674" s="198"/>
      <c r="F674" s="199"/>
      <c r="G674" s="200"/>
      <c r="H674" s="201"/>
      <c r="I674" s="202"/>
      <c r="J674" s="201"/>
      <c r="K674" s="170"/>
      <c r="L674" s="171"/>
      <c r="M674" s="94"/>
      <c r="N674" s="94"/>
      <c r="O674" s="94"/>
      <c r="P674" s="94"/>
      <c r="Q674" s="94"/>
      <c r="R674" s="94"/>
      <c r="S674" s="94"/>
      <c r="T674" s="94"/>
      <c r="U674" s="94"/>
      <c r="V674" s="94"/>
    </row>
    <row r="675" ht="24.0" customHeight="1">
      <c r="A675" s="149"/>
      <c r="B675" s="150"/>
      <c r="C675" s="197"/>
      <c r="D675" s="198"/>
      <c r="E675" s="198"/>
      <c r="F675" s="199"/>
      <c r="G675" s="200"/>
      <c r="H675" s="201"/>
      <c r="I675" s="202"/>
      <c r="J675" s="201"/>
      <c r="K675" s="170"/>
      <c r="L675" s="171"/>
      <c r="M675" s="94"/>
      <c r="N675" s="94"/>
      <c r="O675" s="94"/>
      <c r="P675" s="94"/>
      <c r="Q675" s="94"/>
      <c r="R675" s="94"/>
      <c r="S675" s="94"/>
      <c r="T675" s="94"/>
      <c r="U675" s="94"/>
      <c r="V675" s="94"/>
    </row>
    <row r="676" ht="24.0" customHeight="1">
      <c r="A676" s="149"/>
      <c r="B676" s="150"/>
      <c r="C676" s="197"/>
      <c r="D676" s="198"/>
      <c r="E676" s="198"/>
      <c r="F676" s="199"/>
      <c r="G676" s="200"/>
      <c r="H676" s="201"/>
      <c r="I676" s="202"/>
      <c r="J676" s="201"/>
      <c r="K676" s="170"/>
      <c r="L676" s="171"/>
      <c r="M676" s="94"/>
      <c r="N676" s="94"/>
      <c r="O676" s="94"/>
      <c r="P676" s="94"/>
      <c r="Q676" s="94"/>
      <c r="R676" s="94"/>
      <c r="S676" s="94"/>
      <c r="T676" s="94"/>
      <c r="U676" s="94"/>
      <c r="V676" s="94"/>
    </row>
    <row r="677" ht="24.0" customHeight="1">
      <c r="A677" s="149"/>
      <c r="B677" s="150"/>
      <c r="C677" s="197"/>
      <c r="D677" s="198"/>
      <c r="E677" s="198"/>
      <c r="F677" s="199"/>
      <c r="G677" s="200"/>
      <c r="H677" s="201"/>
      <c r="I677" s="202"/>
      <c r="J677" s="201"/>
      <c r="K677" s="170"/>
      <c r="L677" s="171"/>
      <c r="M677" s="94"/>
      <c r="N677" s="94"/>
      <c r="O677" s="94"/>
      <c r="P677" s="94"/>
      <c r="Q677" s="94"/>
      <c r="R677" s="94"/>
      <c r="S677" s="94"/>
      <c r="T677" s="94"/>
      <c r="U677" s="94"/>
      <c r="V677" s="94"/>
    </row>
    <row r="678" ht="24.0" customHeight="1">
      <c r="A678" s="149"/>
      <c r="B678" s="150"/>
      <c r="C678" s="197"/>
      <c r="D678" s="198"/>
      <c r="E678" s="198"/>
      <c r="F678" s="199"/>
      <c r="G678" s="200"/>
      <c r="H678" s="201"/>
      <c r="I678" s="202"/>
      <c r="J678" s="201"/>
      <c r="K678" s="170"/>
      <c r="L678" s="171"/>
      <c r="M678" s="94"/>
      <c r="N678" s="94"/>
      <c r="O678" s="94"/>
      <c r="P678" s="94"/>
      <c r="Q678" s="94"/>
      <c r="R678" s="94"/>
      <c r="S678" s="94"/>
      <c r="T678" s="94"/>
      <c r="U678" s="94"/>
      <c r="V678" s="94"/>
    </row>
    <row r="679" ht="24.0" customHeight="1">
      <c r="A679" s="149"/>
      <c r="B679" s="150"/>
      <c r="C679" s="197"/>
      <c r="D679" s="198"/>
      <c r="E679" s="198"/>
      <c r="F679" s="199"/>
      <c r="G679" s="200"/>
      <c r="H679" s="201"/>
      <c r="I679" s="202"/>
      <c r="J679" s="201"/>
      <c r="K679" s="170"/>
      <c r="L679" s="171"/>
      <c r="M679" s="94"/>
      <c r="N679" s="94"/>
      <c r="O679" s="94"/>
      <c r="P679" s="94"/>
      <c r="Q679" s="94"/>
      <c r="R679" s="94"/>
      <c r="S679" s="94"/>
      <c r="T679" s="94"/>
      <c r="U679" s="94"/>
      <c r="V679" s="94"/>
    </row>
    <row r="680" ht="24.0" customHeight="1">
      <c r="A680" s="149"/>
      <c r="B680" s="150"/>
      <c r="C680" s="197"/>
      <c r="D680" s="198"/>
      <c r="E680" s="198"/>
      <c r="F680" s="199"/>
      <c r="G680" s="200"/>
      <c r="H680" s="201"/>
      <c r="I680" s="202"/>
      <c r="J680" s="201"/>
      <c r="K680" s="170"/>
      <c r="L680" s="171"/>
      <c r="M680" s="94"/>
      <c r="N680" s="94"/>
      <c r="O680" s="94"/>
      <c r="P680" s="94"/>
      <c r="Q680" s="94"/>
      <c r="R680" s="94"/>
      <c r="S680" s="94"/>
      <c r="T680" s="94"/>
      <c r="U680" s="94"/>
      <c r="V680" s="94"/>
    </row>
    <row r="681" ht="24.0" customHeight="1">
      <c r="A681" s="149"/>
      <c r="B681" s="150"/>
      <c r="C681" s="197"/>
      <c r="D681" s="198"/>
      <c r="E681" s="198"/>
      <c r="F681" s="199"/>
      <c r="G681" s="200"/>
      <c r="H681" s="201"/>
      <c r="I681" s="202"/>
      <c r="J681" s="201"/>
      <c r="K681" s="170"/>
      <c r="L681" s="171"/>
      <c r="M681" s="94"/>
      <c r="N681" s="94"/>
      <c r="O681" s="94"/>
      <c r="P681" s="94"/>
      <c r="Q681" s="94"/>
      <c r="R681" s="94"/>
      <c r="S681" s="94"/>
      <c r="T681" s="94"/>
      <c r="U681" s="94"/>
      <c r="V681" s="94"/>
    </row>
    <row r="682" ht="24.0" customHeight="1">
      <c r="A682" s="149"/>
      <c r="B682" s="150"/>
      <c r="C682" s="197"/>
      <c r="D682" s="198"/>
      <c r="E682" s="198"/>
      <c r="F682" s="199"/>
      <c r="G682" s="200"/>
      <c r="H682" s="201"/>
      <c r="I682" s="202"/>
      <c r="J682" s="201"/>
      <c r="K682" s="170"/>
      <c r="L682" s="171"/>
      <c r="M682" s="94"/>
      <c r="N682" s="94"/>
      <c r="O682" s="94"/>
      <c r="P682" s="94"/>
      <c r="Q682" s="94"/>
      <c r="R682" s="94"/>
      <c r="S682" s="94"/>
      <c r="T682" s="94"/>
      <c r="U682" s="94"/>
      <c r="V682" s="94"/>
    </row>
    <row r="683" ht="24.0" customHeight="1">
      <c r="A683" s="149"/>
      <c r="B683" s="150"/>
      <c r="C683" s="197"/>
      <c r="D683" s="198"/>
      <c r="E683" s="198"/>
      <c r="F683" s="199"/>
      <c r="G683" s="200"/>
      <c r="H683" s="201"/>
      <c r="I683" s="202"/>
      <c r="J683" s="201"/>
      <c r="K683" s="170"/>
      <c r="L683" s="171"/>
      <c r="M683" s="94"/>
      <c r="N683" s="94"/>
      <c r="O683" s="94"/>
      <c r="P683" s="94"/>
      <c r="Q683" s="94"/>
      <c r="R683" s="94"/>
      <c r="S683" s="94"/>
      <c r="T683" s="94"/>
      <c r="U683" s="94"/>
      <c r="V683" s="94"/>
    </row>
    <row r="684" ht="24.0" customHeight="1">
      <c r="A684" s="149"/>
      <c r="B684" s="150"/>
      <c r="C684" s="197"/>
      <c r="D684" s="198"/>
      <c r="E684" s="198"/>
      <c r="F684" s="199"/>
      <c r="G684" s="200"/>
      <c r="H684" s="201"/>
      <c r="I684" s="202"/>
      <c r="J684" s="201"/>
      <c r="K684" s="170"/>
      <c r="L684" s="171"/>
      <c r="M684" s="94"/>
      <c r="N684" s="94"/>
      <c r="O684" s="94"/>
      <c r="P684" s="94"/>
      <c r="Q684" s="94"/>
      <c r="R684" s="94"/>
      <c r="S684" s="94"/>
      <c r="T684" s="94"/>
      <c r="U684" s="94"/>
      <c r="V684" s="94"/>
    </row>
    <row r="685" ht="24.0" customHeight="1">
      <c r="A685" s="149"/>
      <c r="B685" s="150"/>
      <c r="C685" s="197"/>
      <c r="D685" s="198"/>
      <c r="E685" s="198"/>
      <c r="F685" s="199"/>
      <c r="G685" s="200"/>
      <c r="H685" s="201"/>
      <c r="I685" s="202"/>
      <c r="J685" s="201"/>
      <c r="K685" s="170"/>
      <c r="L685" s="171"/>
      <c r="M685" s="94"/>
      <c r="N685" s="94"/>
      <c r="O685" s="94"/>
      <c r="P685" s="94"/>
      <c r="Q685" s="94"/>
      <c r="R685" s="94"/>
      <c r="S685" s="94"/>
      <c r="T685" s="94"/>
      <c r="U685" s="94"/>
      <c r="V685" s="94"/>
    </row>
    <row r="686" ht="24.0" customHeight="1">
      <c r="A686" s="149"/>
      <c r="B686" s="150"/>
      <c r="C686" s="197"/>
      <c r="D686" s="198"/>
      <c r="E686" s="198"/>
      <c r="F686" s="199"/>
      <c r="G686" s="200"/>
      <c r="H686" s="201"/>
      <c r="I686" s="202"/>
      <c r="J686" s="201"/>
      <c r="K686" s="170"/>
      <c r="L686" s="171"/>
      <c r="M686" s="94"/>
      <c r="N686" s="94"/>
      <c r="O686" s="94"/>
      <c r="P686" s="94"/>
      <c r="Q686" s="94"/>
      <c r="R686" s="94"/>
      <c r="S686" s="94"/>
      <c r="T686" s="94"/>
      <c r="U686" s="94"/>
      <c r="V686" s="94"/>
    </row>
    <row r="687" ht="24.0" customHeight="1">
      <c r="A687" s="149"/>
      <c r="B687" s="150"/>
      <c r="C687" s="197"/>
      <c r="D687" s="198"/>
      <c r="E687" s="198"/>
      <c r="F687" s="199"/>
      <c r="G687" s="200"/>
      <c r="H687" s="201"/>
      <c r="I687" s="202"/>
      <c r="J687" s="201"/>
      <c r="K687" s="170"/>
      <c r="L687" s="171"/>
      <c r="M687" s="94"/>
      <c r="N687" s="94"/>
      <c r="O687" s="94"/>
      <c r="P687" s="94"/>
      <c r="Q687" s="94"/>
      <c r="R687" s="94"/>
      <c r="S687" s="94"/>
      <c r="T687" s="94"/>
      <c r="U687" s="94"/>
      <c r="V687" s="94"/>
    </row>
    <row r="688" ht="24.0" customHeight="1">
      <c r="A688" s="149"/>
      <c r="B688" s="150"/>
      <c r="C688" s="197"/>
      <c r="D688" s="198"/>
      <c r="E688" s="198"/>
      <c r="F688" s="199"/>
      <c r="G688" s="200"/>
      <c r="H688" s="201"/>
      <c r="I688" s="202"/>
      <c r="J688" s="201"/>
      <c r="K688" s="170"/>
      <c r="L688" s="171"/>
      <c r="M688" s="94"/>
      <c r="N688" s="94"/>
      <c r="O688" s="94"/>
      <c r="P688" s="94"/>
      <c r="Q688" s="94"/>
      <c r="R688" s="94"/>
      <c r="S688" s="94"/>
      <c r="T688" s="94"/>
      <c r="U688" s="94"/>
      <c r="V688" s="94"/>
    </row>
    <row r="689" ht="24.0" customHeight="1">
      <c r="A689" s="149"/>
      <c r="B689" s="150"/>
      <c r="C689" s="197"/>
      <c r="D689" s="198"/>
      <c r="E689" s="198"/>
      <c r="F689" s="199"/>
      <c r="G689" s="200"/>
      <c r="H689" s="201"/>
      <c r="I689" s="202"/>
      <c r="J689" s="201"/>
      <c r="K689" s="170"/>
      <c r="L689" s="171"/>
      <c r="M689" s="94"/>
      <c r="N689" s="94"/>
      <c r="O689" s="94"/>
      <c r="P689" s="94"/>
      <c r="Q689" s="94"/>
      <c r="R689" s="94"/>
      <c r="S689" s="94"/>
      <c r="T689" s="94"/>
      <c r="U689" s="94"/>
      <c r="V689" s="94"/>
    </row>
    <row r="690" ht="24.0" customHeight="1">
      <c r="A690" s="149"/>
      <c r="B690" s="150"/>
      <c r="C690" s="197"/>
      <c r="D690" s="198"/>
      <c r="E690" s="198"/>
      <c r="F690" s="199"/>
      <c r="G690" s="200"/>
      <c r="H690" s="201"/>
      <c r="I690" s="202"/>
      <c r="J690" s="201"/>
      <c r="K690" s="170"/>
      <c r="L690" s="171"/>
      <c r="M690" s="94"/>
      <c r="N690" s="94"/>
      <c r="O690" s="94"/>
      <c r="P690" s="94"/>
      <c r="Q690" s="94"/>
      <c r="R690" s="94"/>
      <c r="S690" s="94"/>
      <c r="T690" s="94"/>
      <c r="U690" s="94"/>
      <c r="V690" s="94"/>
    </row>
    <row r="691" ht="24.0" customHeight="1">
      <c r="A691" s="149"/>
      <c r="B691" s="150"/>
      <c r="C691" s="197"/>
      <c r="D691" s="198"/>
      <c r="E691" s="198"/>
      <c r="F691" s="199"/>
      <c r="G691" s="200"/>
      <c r="H691" s="201"/>
      <c r="I691" s="202"/>
      <c r="J691" s="201"/>
      <c r="K691" s="170"/>
      <c r="L691" s="171"/>
      <c r="M691" s="94"/>
      <c r="N691" s="94"/>
      <c r="O691" s="94"/>
      <c r="P691" s="94"/>
      <c r="Q691" s="94"/>
      <c r="R691" s="94"/>
      <c r="S691" s="94"/>
      <c r="T691" s="94"/>
      <c r="U691" s="94"/>
      <c r="V691" s="94"/>
    </row>
    <row r="692" ht="24.0" customHeight="1">
      <c r="A692" s="149"/>
      <c r="B692" s="150"/>
      <c r="C692" s="197"/>
      <c r="D692" s="198"/>
      <c r="E692" s="198"/>
      <c r="F692" s="199"/>
      <c r="G692" s="200"/>
      <c r="H692" s="201"/>
      <c r="I692" s="202"/>
      <c r="J692" s="201"/>
      <c r="K692" s="170"/>
      <c r="L692" s="171"/>
      <c r="M692" s="94"/>
      <c r="N692" s="94"/>
      <c r="O692" s="94"/>
      <c r="P692" s="94"/>
      <c r="Q692" s="94"/>
      <c r="R692" s="94"/>
      <c r="S692" s="94"/>
      <c r="T692" s="94"/>
      <c r="U692" s="94"/>
      <c r="V692" s="94"/>
    </row>
    <row r="693" ht="24.0" customHeight="1">
      <c r="A693" s="149"/>
      <c r="B693" s="150"/>
      <c r="C693" s="197"/>
      <c r="D693" s="198"/>
      <c r="E693" s="198"/>
      <c r="F693" s="199"/>
      <c r="G693" s="200"/>
      <c r="H693" s="201"/>
      <c r="I693" s="202"/>
      <c r="J693" s="201"/>
      <c r="K693" s="170"/>
      <c r="L693" s="171"/>
      <c r="M693" s="94"/>
      <c r="N693" s="94"/>
      <c r="O693" s="94"/>
      <c r="P693" s="94"/>
      <c r="Q693" s="94"/>
      <c r="R693" s="94"/>
      <c r="S693" s="94"/>
      <c r="T693" s="94"/>
      <c r="U693" s="94"/>
      <c r="V693" s="94"/>
    </row>
    <row r="694" ht="24.0" customHeight="1">
      <c r="A694" s="149"/>
      <c r="B694" s="150"/>
      <c r="C694" s="197"/>
      <c r="D694" s="198"/>
      <c r="E694" s="198"/>
      <c r="F694" s="199"/>
      <c r="G694" s="200"/>
      <c r="H694" s="201"/>
      <c r="I694" s="202"/>
      <c r="J694" s="201"/>
      <c r="K694" s="170"/>
      <c r="L694" s="171"/>
      <c r="M694" s="94"/>
      <c r="N694" s="94"/>
      <c r="O694" s="94"/>
      <c r="P694" s="94"/>
      <c r="Q694" s="94"/>
      <c r="R694" s="94"/>
      <c r="S694" s="94"/>
      <c r="T694" s="94"/>
      <c r="U694" s="94"/>
      <c r="V694" s="94"/>
    </row>
    <row r="695" ht="24.0" customHeight="1">
      <c r="A695" s="149"/>
      <c r="B695" s="150"/>
      <c r="C695" s="197"/>
      <c r="D695" s="198"/>
      <c r="E695" s="198"/>
      <c r="F695" s="199"/>
      <c r="G695" s="200"/>
      <c r="H695" s="201"/>
      <c r="I695" s="202"/>
      <c r="J695" s="201"/>
      <c r="K695" s="170"/>
      <c r="L695" s="171"/>
      <c r="M695" s="94"/>
      <c r="N695" s="94"/>
      <c r="O695" s="94"/>
      <c r="P695" s="94"/>
      <c r="Q695" s="94"/>
      <c r="R695" s="94"/>
      <c r="S695" s="94"/>
      <c r="T695" s="94"/>
      <c r="U695" s="94"/>
      <c r="V695" s="94"/>
    </row>
    <row r="696" ht="24.0" customHeight="1">
      <c r="A696" s="149"/>
      <c r="B696" s="150"/>
      <c r="C696" s="197"/>
      <c r="D696" s="198"/>
      <c r="E696" s="198"/>
      <c r="F696" s="199"/>
      <c r="G696" s="200"/>
      <c r="H696" s="201"/>
      <c r="I696" s="202"/>
      <c r="J696" s="201"/>
      <c r="K696" s="170"/>
      <c r="L696" s="171"/>
      <c r="M696" s="94"/>
      <c r="N696" s="94"/>
      <c r="O696" s="94"/>
      <c r="P696" s="94"/>
      <c r="Q696" s="94"/>
      <c r="R696" s="94"/>
      <c r="S696" s="94"/>
      <c r="T696" s="94"/>
      <c r="U696" s="94"/>
      <c r="V696" s="94"/>
    </row>
    <row r="697" ht="24.0" customHeight="1">
      <c r="A697" s="149"/>
      <c r="B697" s="150"/>
      <c r="C697" s="197"/>
      <c r="D697" s="198"/>
      <c r="E697" s="198"/>
      <c r="F697" s="199"/>
      <c r="G697" s="200"/>
      <c r="H697" s="201"/>
      <c r="I697" s="202"/>
      <c r="J697" s="201"/>
      <c r="K697" s="170"/>
      <c r="L697" s="171"/>
      <c r="M697" s="94"/>
      <c r="N697" s="94"/>
      <c r="O697" s="94"/>
      <c r="P697" s="94"/>
      <c r="Q697" s="94"/>
      <c r="R697" s="94"/>
      <c r="S697" s="94"/>
      <c r="T697" s="94"/>
      <c r="U697" s="94"/>
      <c r="V697" s="94"/>
    </row>
    <row r="698" ht="24.0" customHeight="1">
      <c r="A698" s="149"/>
      <c r="B698" s="150"/>
      <c r="C698" s="197"/>
      <c r="D698" s="198"/>
      <c r="E698" s="198"/>
      <c r="F698" s="199"/>
      <c r="G698" s="200"/>
      <c r="H698" s="201"/>
      <c r="I698" s="202"/>
      <c r="J698" s="201"/>
      <c r="K698" s="170"/>
      <c r="L698" s="171"/>
      <c r="M698" s="94"/>
      <c r="N698" s="94"/>
      <c r="O698" s="94"/>
      <c r="P698" s="94"/>
      <c r="Q698" s="94"/>
      <c r="R698" s="94"/>
      <c r="S698" s="94"/>
      <c r="T698" s="94"/>
      <c r="U698" s="94"/>
      <c r="V698" s="94"/>
    </row>
    <row r="699" ht="24.0" customHeight="1">
      <c r="A699" s="149"/>
      <c r="B699" s="150"/>
      <c r="C699" s="197"/>
      <c r="D699" s="198"/>
      <c r="E699" s="198"/>
      <c r="F699" s="199"/>
      <c r="G699" s="200"/>
      <c r="H699" s="201"/>
      <c r="I699" s="202"/>
      <c r="J699" s="201"/>
      <c r="K699" s="170"/>
      <c r="L699" s="171"/>
      <c r="M699" s="94"/>
      <c r="N699" s="94"/>
      <c r="O699" s="94"/>
      <c r="P699" s="94"/>
      <c r="Q699" s="94"/>
      <c r="R699" s="94"/>
      <c r="S699" s="94"/>
      <c r="T699" s="94"/>
      <c r="U699" s="94"/>
      <c r="V699" s="94"/>
    </row>
    <row r="700" ht="24.0" customHeight="1">
      <c r="A700" s="149"/>
      <c r="B700" s="150"/>
      <c r="C700" s="197"/>
      <c r="D700" s="198"/>
      <c r="E700" s="198"/>
      <c r="F700" s="199"/>
      <c r="G700" s="200"/>
      <c r="H700" s="201"/>
      <c r="I700" s="202"/>
      <c r="J700" s="201"/>
      <c r="K700" s="170"/>
      <c r="L700" s="171"/>
      <c r="M700" s="94"/>
      <c r="N700" s="94"/>
      <c r="O700" s="94"/>
      <c r="P700" s="94"/>
      <c r="Q700" s="94"/>
      <c r="R700" s="94"/>
      <c r="S700" s="94"/>
      <c r="T700" s="94"/>
      <c r="U700" s="94"/>
      <c r="V700" s="94"/>
    </row>
    <row r="701" ht="24.0" customHeight="1">
      <c r="A701" s="149"/>
      <c r="B701" s="150"/>
      <c r="C701" s="197"/>
      <c r="D701" s="198"/>
      <c r="E701" s="198"/>
      <c r="F701" s="199"/>
      <c r="G701" s="200"/>
      <c r="H701" s="201"/>
      <c r="I701" s="202"/>
      <c r="J701" s="201"/>
      <c r="K701" s="170"/>
      <c r="L701" s="171"/>
      <c r="M701" s="94"/>
      <c r="N701" s="94"/>
      <c r="O701" s="94"/>
      <c r="P701" s="94"/>
      <c r="Q701" s="94"/>
      <c r="R701" s="94"/>
      <c r="S701" s="94"/>
      <c r="T701" s="94"/>
      <c r="U701" s="94"/>
      <c r="V701" s="94"/>
    </row>
    <row r="702" ht="24.0" customHeight="1">
      <c r="A702" s="149"/>
      <c r="B702" s="150"/>
      <c r="C702" s="197"/>
      <c r="D702" s="198"/>
      <c r="E702" s="198"/>
      <c r="F702" s="199"/>
      <c r="G702" s="200"/>
      <c r="H702" s="201"/>
      <c r="I702" s="202"/>
      <c r="J702" s="201"/>
      <c r="K702" s="170"/>
      <c r="L702" s="171"/>
      <c r="M702" s="94"/>
      <c r="N702" s="94"/>
      <c r="O702" s="94"/>
      <c r="P702" s="94"/>
      <c r="Q702" s="94"/>
      <c r="R702" s="94"/>
      <c r="S702" s="94"/>
      <c r="T702" s="94"/>
      <c r="U702" s="94"/>
      <c r="V702" s="94"/>
    </row>
    <row r="703" ht="24.0" customHeight="1">
      <c r="A703" s="149"/>
      <c r="B703" s="150"/>
      <c r="C703" s="197"/>
      <c r="D703" s="198"/>
      <c r="E703" s="198"/>
      <c r="F703" s="199"/>
      <c r="G703" s="200"/>
      <c r="H703" s="201"/>
      <c r="I703" s="202"/>
      <c r="J703" s="201"/>
      <c r="K703" s="170"/>
      <c r="L703" s="171"/>
      <c r="M703" s="94"/>
      <c r="N703" s="94"/>
      <c r="O703" s="94"/>
      <c r="P703" s="94"/>
      <c r="Q703" s="94"/>
      <c r="R703" s="94"/>
      <c r="S703" s="94"/>
      <c r="T703" s="94"/>
      <c r="U703" s="94"/>
      <c r="V703" s="94"/>
    </row>
    <row r="704" ht="24.0" customHeight="1">
      <c r="A704" s="149"/>
      <c r="B704" s="150"/>
      <c r="C704" s="197"/>
      <c r="D704" s="198"/>
      <c r="E704" s="198"/>
      <c r="F704" s="199"/>
      <c r="G704" s="200"/>
      <c r="H704" s="201"/>
      <c r="I704" s="202"/>
      <c r="J704" s="201"/>
      <c r="K704" s="170"/>
      <c r="L704" s="171"/>
      <c r="M704" s="94"/>
      <c r="N704" s="94"/>
      <c r="O704" s="94"/>
      <c r="P704" s="94"/>
      <c r="Q704" s="94"/>
      <c r="R704" s="94"/>
      <c r="S704" s="94"/>
      <c r="T704" s="94"/>
      <c r="U704" s="94"/>
      <c r="V704" s="94"/>
    </row>
    <row r="705" ht="24.0" customHeight="1">
      <c r="A705" s="149"/>
      <c r="B705" s="150"/>
      <c r="C705" s="197"/>
      <c r="D705" s="198"/>
      <c r="E705" s="198"/>
      <c r="F705" s="199"/>
      <c r="G705" s="200"/>
      <c r="H705" s="201"/>
      <c r="I705" s="202"/>
      <c r="J705" s="201"/>
      <c r="K705" s="170"/>
      <c r="L705" s="171"/>
      <c r="M705" s="94"/>
      <c r="N705" s="94"/>
      <c r="O705" s="94"/>
      <c r="P705" s="94"/>
      <c r="Q705" s="94"/>
      <c r="R705" s="94"/>
      <c r="S705" s="94"/>
      <c r="T705" s="94"/>
      <c r="U705" s="94"/>
      <c r="V705" s="94"/>
    </row>
    <row r="706" ht="24.0" customHeight="1">
      <c r="A706" s="149"/>
      <c r="B706" s="150"/>
      <c r="C706" s="197"/>
      <c r="D706" s="198"/>
      <c r="E706" s="198"/>
      <c r="F706" s="199"/>
      <c r="G706" s="200"/>
      <c r="H706" s="201"/>
      <c r="I706" s="202"/>
      <c r="J706" s="201"/>
      <c r="K706" s="170"/>
      <c r="L706" s="171"/>
      <c r="M706" s="94"/>
      <c r="N706" s="94"/>
      <c r="O706" s="94"/>
      <c r="P706" s="94"/>
      <c r="Q706" s="94"/>
      <c r="R706" s="94"/>
      <c r="S706" s="94"/>
      <c r="T706" s="94"/>
      <c r="U706" s="94"/>
      <c r="V706" s="94"/>
    </row>
    <row r="707" ht="24.0" customHeight="1">
      <c r="A707" s="149"/>
      <c r="B707" s="150"/>
      <c r="C707" s="197"/>
      <c r="D707" s="198"/>
      <c r="E707" s="198"/>
      <c r="F707" s="199"/>
      <c r="G707" s="200"/>
      <c r="H707" s="201"/>
      <c r="I707" s="202"/>
      <c r="J707" s="201"/>
      <c r="K707" s="170"/>
      <c r="L707" s="171"/>
      <c r="M707" s="94"/>
      <c r="N707" s="94"/>
      <c r="O707" s="94"/>
      <c r="P707" s="94"/>
      <c r="Q707" s="94"/>
      <c r="R707" s="94"/>
      <c r="S707" s="94"/>
      <c r="T707" s="94"/>
      <c r="U707" s="94"/>
      <c r="V707" s="94"/>
    </row>
    <row r="708" ht="24.0" customHeight="1">
      <c r="A708" s="149"/>
      <c r="B708" s="150"/>
      <c r="C708" s="197"/>
      <c r="D708" s="198"/>
      <c r="E708" s="198"/>
      <c r="F708" s="199"/>
      <c r="G708" s="200"/>
      <c r="H708" s="201"/>
      <c r="I708" s="202"/>
      <c r="J708" s="201"/>
      <c r="K708" s="170"/>
      <c r="L708" s="171"/>
      <c r="M708" s="94"/>
      <c r="N708" s="94"/>
      <c r="O708" s="94"/>
      <c r="P708" s="94"/>
      <c r="Q708" s="94"/>
      <c r="R708" s="94"/>
      <c r="S708" s="94"/>
      <c r="T708" s="94"/>
      <c r="U708" s="94"/>
      <c r="V708" s="94"/>
    </row>
    <row r="709" ht="24.0" customHeight="1">
      <c r="A709" s="149"/>
      <c r="B709" s="150"/>
      <c r="C709" s="197"/>
      <c r="D709" s="198"/>
      <c r="E709" s="198"/>
      <c r="F709" s="199"/>
      <c r="G709" s="200"/>
      <c r="H709" s="201"/>
      <c r="I709" s="202"/>
      <c r="J709" s="201"/>
      <c r="K709" s="170"/>
      <c r="L709" s="171"/>
      <c r="M709" s="94"/>
      <c r="N709" s="94"/>
      <c r="O709" s="94"/>
      <c r="P709" s="94"/>
      <c r="Q709" s="94"/>
      <c r="R709" s="94"/>
      <c r="S709" s="94"/>
      <c r="T709" s="94"/>
      <c r="U709" s="94"/>
      <c r="V709" s="94"/>
    </row>
    <row r="710" ht="24.0" customHeight="1">
      <c r="A710" s="149"/>
      <c r="B710" s="150"/>
      <c r="C710" s="197"/>
      <c r="D710" s="198"/>
      <c r="E710" s="198"/>
      <c r="F710" s="199"/>
      <c r="G710" s="200"/>
      <c r="H710" s="201"/>
      <c r="I710" s="202"/>
      <c r="J710" s="201"/>
      <c r="K710" s="170"/>
      <c r="L710" s="171"/>
      <c r="M710" s="94"/>
      <c r="N710" s="94"/>
      <c r="O710" s="94"/>
      <c r="P710" s="94"/>
      <c r="Q710" s="94"/>
      <c r="R710" s="94"/>
      <c r="S710" s="94"/>
      <c r="T710" s="94"/>
      <c r="U710" s="94"/>
      <c r="V710" s="94"/>
    </row>
    <row r="711" ht="24.0" customHeight="1">
      <c r="A711" s="149"/>
      <c r="B711" s="150"/>
      <c r="C711" s="197"/>
      <c r="D711" s="198"/>
      <c r="E711" s="198"/>
      <c r="F711" s="199"/>
      <c r="G711" s="200"/>
      <c r="H711" s="201"/>
      <c r="I711" s="202"/>
      <c r="J711" s="201"/>
      <c r="K711" s="170"/>
      <c r="L711" s="171"/>
      <c r="M711" s="94"/>
      <c r="N711" s="94"/>
      <c r="O711" s="94"/>
      <c r="P711" s="94"/>
      <c r="Q711" s="94"/>
      <c r="R711" s="94"/>
      <c r="S711" s="94"/>
      <c r="T711" s="94"/>
      <c r="U711" s="94"/>
      <c r="V711" s="94"/>
    </row>
    <row r="712" ht="24.0" customHeight="1">
      <c r="A712" s="149"/>
      <c r="B712" s="150"/>
      <c r="C712" s="197"/>
      <c r="D712" s="198"/>
      <c r="E712" s="198"/>
      <c r="F712" s="199"/>
      <c r="G712" s="200"/>
      <c r="H712" s="201"/>
      <c r="I712" s="202"/>
      <c r="J712" s="201"/>
      <c r="K712" s="170"/>
      <c r="L712" s="171"/>
      <c r="M712" s="94"/>
      <c r="N712" s="94"/>
      <c r="O712" s="94"/>
      <c r="P712" s="94"/>
      <c r="Q712" s="94"/>
      <c r="R712" s="94"/>
      <c r="S712" s="94"/>
      <c r="T712" s="94"/>
      <c r="U712" s="94"/>
      <c r="V712" s="94"/>
    </row>
    <row r="713" ht="24.0" customHeight="1">
      <c r="A713" s="149"/>
      <c r="B713" s="150"/>
      <c r="C713" s="197"/>
      <c r="D713" s="198"/>
      <c r="E713" s="198"/>
      <c r="F713" s="199"/>
      <c r="G713" s="200"/>
      <c r="H713" s="201"/>
      <c r="I713" s="202"/>
      <c r="J713" s="201"/>
      <c r="K713" s="170"/>
      <c r="L713" s="171"/>
      <c r="M713" s="94"/>
      <c r="N713" s="94"/>
      <c r="O713" s="94"/>
      <c r="P713" s="94"/>
      <c r="Q713" s="94"/>
      <c r="R713" s="94"/>
      <c r="S713" s="94"/>
      <c r="T713" s="94"/>
      <c r="U713" s="94"/>
      <c r="V713" s="94"/>
    </row>
    <row r="714" ht="24.0" customHeight="1">
      <c r="A714" s="149"/>
      <c r="B714" s="150"/>
      <c r="C714" s="197"/>
      <c r="D714" s="198"/>
      <c r="E714" s="198"/>
      <c r="F714" s="199"/>
      <c r="G714" s="200"/>
      <c r="H714" s="201"/>
      <c r="I714" s="202"/>
      <c r="J714" s="201"/>
      <c r="K714" s="170"/>
      <c r="L714" s="171"/>
      <c r="M714" s="94"/>
      <c r="N714" s="94"/>
      <c r="O714" s="94"/>
      <c r="P714" s="94"/>
      <c r="Q714" s="94"/>
      <c r="R714" s="94"/>
      <c r="S714" s="94"/>
      <c r="T714" s="94"/>
      <c r="U714" s="94"/>
      <c r="V714" s="94"/>
    </row>
    <row r="715" ht="24.0" customHeight="1">
      <c r="A715" s="149"/>
      <c r="B715" s="150"/>
      <c r="C715" s="197"/>
      <c r="D715" s="198"/>
      <c r="E715" s="198"/>
      <c r="F715" s="199"/>
      <c r="G715" s="200"/>
      <c r="H715" s="201"/>
      <c r="I715" s="202"/>
      <c r="J715" s="201"/>
      <c r="K715" s="170"/>
      <c r="L715" s="171"/>
      <c r="M715" s="94"/>
      <c r="N715" s="94"/>
      <c r="O715" s="94"/>
      <c r="P715" s="94"/>
      <c r="Q715" s="94"/>
      <c r="R715" s="94"/>
      <c r="S715" s="94"/>
      <c r="T715" s="94"/>
      <c r="U715" s="94"/>
      <c r="V715" s="94"/>
    </row>
    <row r="716" ht="24.0" customHeight="1">
      <c r="A716" s="149"/>
      <c r="B716" s="150"/>
      <c r="C716" s="197"/>
      <c r="D716" s="198"/>
      <c r="E716" s="198"/>
      <c r="F716" s="199"/>
      <c r="G716" s="200"/>
      <c r="H716" s="201"/>
      <c r="I716" s="202"/>
      <c r="J716" s="201"/>
      <c r="K716" s="170"/>
      <c r="L716" s="171"/>
      <c r="M716" s="94"/>
      <c r="N716" s="94"/>
      <c r="O716" s="94"/>
      <c r="P716" s="94"/>
      <c r="Q716" s="94"/>
      <c r="R716" s="94"/>
      <c r="S716" s="94"/>
      <c r="T716" s="94"/>
      <c r="U716" s="94"/>
      <c r="V716" s="94"/>
    </row>
    <row r="717" ht="24.0" customHeight="1">
      <c r="A717" s="149"/>
      <c r="B717" s="150"/>
      <c r="C717" s="197"/>
      <c r="D717" s="198"/>
      <c r="E717" s="198"/>
      <c r="F717" s="199"/>
      <c r="G717" s="200"/>
      <c r="H717" s="201"/>
      <c r="I717" s="202"/>
      <c r="J717" s="201"/>
      <c r="K717" s="170"/>
      <c r="L717" s="171"/>
      <c r="M717" s="94"/>
      <c r="N717" s="94"/>
      <c r="O717" s="94"/>
      <c r="P717" s="94"/>
      <c r="Q717" s="94"/>
      <c r="R717" s="94"/>
      <c r="S717" s="94"/>
      <c r="T717" s="94"/>
      <c r="U717" s="94"/>
      <c r="V717" s="94"/>
    </row>
    <row r="718" ht="24.0" customHeight="1">
      <c r="A718" s="149"/>
      <c r="B718" s="150"/>
      <c r="C718" s="197"/>
      <c r="D718" s="198"/>
      <c r="E718" s="198"/>
      <c r="F718" s="199"/>
      <c r="G718" s="200"/>
      <c r="H718" s="201"/>
      <c r="I718" s="202"/>
      <c r="J718" s="201"/>
      <c r="K718" s="170"/>
      <c r="L718" s="171"/>
      <c r="M718" s="94"/>
      <c r="N718" s="94"/>
      <c r="O718" s="94"/>
      <c r="P718" s="94"/>
      <c r="Q718" s="94"/>
      <c r="R718" s="94"/>
      <c r="S718" s="94"/>
      <c r="T718" s="94"/>
      <c r="U718" s="94"/>
      <c r="V718" s="94"/>
    </row>
    <row r="719" ht="24.0" customHeight="1">
      <c r="A719" s="149"/>
      <c r="B719" s="150"/>
      <c r="C719" s="197"/>
      <c r="D719" s="198"/>
      <c r="E719" s="198"/>
      <c r="F719" s="199"/>
      <c r="G719" s="200"/>
      <c r="H719" s="201"/>
      <c r="I719" s="202"/>
      <c r="J719" s="201"/>
      <c r="K719" s="170"/>
      <c r="L719" s="171"/>
      <c r="M719" s="94"/>
      <c r="N719" s="94"/>
      <c r="O719" s="94"/>
      <c r="P719" s="94"/>
      <c r="Q719" s="94"/>
      <c r="R719" s="94"/>
      <c r="S719" s="94"/>
      <c r="T719" s="94"/>
      <c r="U719" s="94"/>
      <c r="V719" s="94"/>
    </row>
    <row r="720" ht="24.0" customHeight="1">
      <c r="A720" s="149"/>
      <c r="B720" s="150"/>
      <c r="C720" s="197"/>
      <c r="D720" s="198"/>
      <c r="E720" s="198"/>
      <c r="F720" s="199"/>
      <c r="G720" s="200"/>
      <c r="H720" s="201"/>
      <c r="I720" s="202"/>
      <c r="J720" s="201"/>
      <c r="K720" s="170"/>
      <c r="L720" s="171"/>
      <c r="M720" s="94"/>
      <c r="N720" s="94"/>
      <c r="O720" s="94"/>
      <c r="P720" s="94"/>
      <c r="Q720" s="94"/>
      <c r="R720" s="94"/>
      <c r="S720" s="94"/>
      <c r="T720" s="94"/>
      <c r="U720" s="94"/>
      <c r="V720" s="94"/>
    </row>
    <row r="721" ht="24.0" customHeight="1">
      <c r="A721" s="149"/>
      <c r="B721" s="150"/>
      <c r="C721" s="197"/>
      <c r="D721" s="198"/>
      <c r="E721" s="198"/>
      <c r="F721" s="199"/>
      <c r="G721" s="200"/>
      <c r="H721" s="201"/>
      <c r="I721" s="202"/>
      <c r="J721" s="201"/>
      <c r="K721" s="170"/>
      <c r="L721" s="171"/>
      <c r="M721" s="94"/>
      <c r="N721" s="94"/>
      <c r="O721" s="94"/>
      <c r="P721" s="94"/>
      <c r="Q721" s="94"/>
      <c r="R721" s="94"/>
      <c r="S721" s="94"/>
      <c r="T721" s="94"/>
      <c r="U721" s="94"/>
      <c r="V721" s="94"/>
    </row>
    <row r="722" ht="24.0" customHeight="1">
      <c r="A722" s="149"/>
      <c r="B722" s="150"/>
      <c r="C722" s="197"/>
      <c r="D722" s="198"/>
      <c r="E722" s="198"/>
      <c r="F722" s="199"/>
      <c r="G722" s="200"/>
      <c r="H722" s="201"/>
      <c r="I722" s="202"/>
      <c r="J722" s="201"/>
      <c r="K722" s="170"/>
      <c r="L722" s="171"/>
      <c r="M722" s="94"/>
      <c r="N722" s="94"/>
      <c r="O722" s="94"/>
      <c r="P722" s="94"/>
      <c r="Q722" s="94"/>
      <c r="R722" s="94"/>
      <c r="S722" s="94"/>
      <c r="T722" s="94"/>
      <c r="U722" s="94"/>
      <c r="V722" s="94"/>
    </row>
    <row r="723" ht="24.0" customHeight="1">
      <c r="A723" s="149"/>
      <c r="B723" s="150"/>
      <c r="C723" s="197"/>
      <c r="D723" s="198"/>
      <c r="E723" s="198"/>
      <c r="F723" s="199"/>
      <c r="G723" s="200"/>
      <c r="H723" s="201"/>
      <c r="I723" s="202"/>
      <c r="J723" s="201"/>
      <c r="K723" s="170"/>
      <c r="L723" s="171"/>
      <c r="M723" s="94"/>
      <c r="N723" s="94"/>
      <c r="O723" s="94"/>
      <c r="P723" s="94"/>
      <c r="Q723" s="94"/>
      <c r="R723" s="94"/>
      <c r="S723" s="94"/>
      <c r="T723" s="94"/>
      <c r="U723" s="94"/>
      <c r="V723" s="94"/>
    </row>
    <row r="724" ht="24.0" customHeight="1">
      <c r="A724" s="149"/>
      <c r="B724" s="150"/>
      <c r="C724" s="197"/>
      <c r="D724" s="198"/>
      <c r="E724" s="198"/>
      <c r="F724" s="199"/>
      <c r="G724" s="200"/>
      <c r="H724" s="201"/>
      <c r="I724" s="202"/>
      <c r="J724" s="201"/>
      <c r="K724" s="170"/>
      <c r="L724" s="171"/>
      <c r="M724" s="94"/>
      <c r="N724" s="94"/>
      <c r="O724" s="94"/>
      <c r="P724" s="94"/>
      <c r="Q724" s="94"/>
      <c r="R724" s="94"/>
      <c r="S724" s="94"/>
      <c r="T724" s="94"/>
      <c r="U724" s="94"/>
      <c r="V724" s="94"/>
    </row>
    <row r="725" ht="24.0" customHeight="1">
      <c r="A725" s="149"/>
      <c r="B725" s="150"/>
      <c r="C725" s="197"/>
      <c r="D725" s="198"/>
      <c r="E725" s="198"/>
      <c r="F725" s="199"/>
      <c r="G725" s="200"/>
      <c r="H725" s="201"/>
      <c r="I725" s="202"/>
      <c r="J725" s="201"/>
      <c r="K725" s="170"/>
      <c r="L725" s="171"/>
      <c r="M725" s="94"/>
      <c r="N725" s="94"/>
      <c r="O725" s="94"/>
      <c r="P725" s="94"/>
      <c r="Q725" s="94"/>
      <c r="R725" s="94"/>
      <c r="S725" s="94"/>
      <c r="T725" s="94"/>
      <c r="U725" s="94"/>
      <c r="V725" s="94"/>
    </row>
    <row r="726" ht="24.0" customHeight="1">
      <c r="A726" s="149"/>
      <c r="B726" s="150"/>
      <c r="C726" s="197"/>
      <c r="D726" s="198"/>
      <c r="E726" s="198"/>
      <c r="F726" s="199"/>
      <c r="G726" s="200"/>
      <c r="H726" s="201"/>
      <c r="I726" s="202"/>
      <c r="J726" s="201"/>
      <c r="K726" s="170"/>
      <c r="L726" s="171"/>
      <c r="M726" s="94"/>
      <c r="N726" s="94"/>
      <c r="O726" s="94"/>
      <c r="P726" s="94"/>
      <c r="Q726" s="94"/>
      <c r="R726" s="94"/>
      <c r="S726" s="94"/>
      <c r="T726" s="94"/>
      <c r="U726" s="94"/>
      <c r="V726" s="94"/>
    </row>
    <row r="727" ht="24.0" customHeight="1">
      <c r="A727" s="149"/>
      <c r="B727" s="150"/>
      <c r="C727" s="197"/>
      <c r="D727" s="198"/>
      <c r="E727" s="198"/>
      <c r="F727" s="199"/>
      <c r="G727" s="200"/>
      <c r="H727" s="201"/>
      <c r="I727" s="202"/>
      <c r="J727" s="201"/>
      <c r="K727" s="170"/>
      <c r="L727" s="171"/>
      <c r="M727" s="94"/>
      <c r="N727" s="94"/>
      <c r="O727" s="94"/>
      <c r="P727" s="94"/>
      <c r="Q727" s="94"/>
      <c r="R727" s="94"/>
      <c r="S727" s="94"/>
      <c r="T727" s="94"/>
      <c r="U727" s="94"/>
      <c r="V727" s="94"/>
    </row>
    <row r="728" ht="24.0" customHeight="1">
      <c r="A728" s="149"/>
      <c r="B728" s="150"/>
      <c r="C728" s="197"/>
      <c r="D728" s="198"/>
      <c r="E728" s="198"/>
      <c r="F728" s="199"/>
      <c r="G728" s="200"/>
      <c r="H728" s="201"/>
      <c r="I728" s="202"/>
      <c r="J728" s="201"/>
      <c r="K728" s="170"/>
      <c r="L728" s="171"/>
      <c r="M728" s="94"/>
      <c r="N728" s="94"/>
      <c r="O728" s="94"/>
      <c r="P728" s="94"/>
      <c r="Q728" s="94"/>
      <c r="R728" s="94"/>
      <c r="S728" s="94"/>
      <c r="T728" s="94"/>
      <c r="U728" s="94"/>
      <c r="V728" s="94"/>
    </row>
    <row r="729" ht="24.0" customHeight="1">
      <c r="A729" s="149"/>
      <c r="B729" s="150"/>
      <c r="C729" s="197"/>
      <c r="D729" s="198"/>
      <c r="E729" s="198"/>
      <c r="F729" s="199"/>
      <c r="G729" s="200"/>
      <c r="H729" s="201"/>
      <c r="I729" s="202"/>
      <c r="J729" s="201"/>
      <c r="K729" s="170"/>
      <c r="L729" s="171"/>
      <c r="M729" s="94"/>
      <c r="N729" s="94"/>
      <c r="O729" s="94"/>
      <c r="P729" s="94"/>
      <c r="Q729" s="94"/>
      <c r="R729" s="94"/>
      <c r="S729" s="94"/>
      <c r="T729" s="94"/>
      <c r="U729" s="94"/>
      <c r="V729" s="94"/>
    </row>
    <row r="730" ht="24.0" customHeight="1">
      <c r="A730" s="149"/>
      <c r="B730" s="150"/>
      <c r="C730" s="197"/>
      <c r="D730" s="198"/>
      <c r="E730" s="198"/>
      <c r="F730" s="199"/>
      <c r="G730" s="200"/>
      <c r="H730" s="201"/>
      <c r="I730" s="202"/>
      <c r="J730" s="201"/>
      <c r="K730" s="170"/>
      <c r="L730" s="171"/>
      <c r="M730" s="94"/>
      <c r="N730" s="94"/>
      <c r="O730" s="94"/>
      <c r="P730" s="94"/>
      <c r="Q730" s="94"/>
      <c r="R730" s="94"/>
      <c r="S730" s="94"/>
      <c r="T730" s="94"/>
      <c r="U730" s="94"/>
      <c r="V730" s="94"/>
    </row>
    <row r="731" ht="24.0" customHeight="1">
      <c r="A731" s="149"/>
      <c r="B731" s="150"/>
      <c r="C731" s="197"/>
      <c r="D731" s="198"/>
      <c r="E731" s="198"/>
      <c r="F731" s="199"/>
      <c r="G731" s="200"/>
      <c r="H731" s="201"/>
      <c r="I731" s="202"/>
      <c r="J731" s="201"/>
      <c r="K731" s="170"/>
      <c r="L731" s="171"/>
      <c r="M731" s="94"/>
      <c r="N731" s="94"/>
      <c r="O731" s="94"/>
      <c r="P731" s="94"/>
      <c r="Q731" s="94"/>
      <c r="R731" s="94"/>
      <c r="S731" s="94"/>
      <c r="T731" s="94"/>
      <c r="U731" s="94"/>
      <c r="V731" s="94"/>
    </row>
    <row r="732" ht="24.0" customHeight="1">
      <c r="A732" s="149"/>
      <c r="B732" s="150"/>
      <c r="C732" s="197"/>
      <c r="D732" s="198"/>
      <c r="E732" s="198"/>
      <c r="F732" s="199"/>
      <c r="G732" s="200"/>
      <c r="H732" s="201"/>
      <c r="I732" s="202"/>
      <c r="J732" s="201"/>
      <c r="K732" s="170"/>
      <c r="L732" s="171"/>
      <c r="M732" s="94"/>
      <c r="N732" s="94"/>
      <c r="O732" s="94"/>
      <c r="P732" s="94"/>
      <c r="Q732" s="94"/>
      <c r="R732" s="94"/>
      <c r="S732" s="94"/>
      <c r="T732" s="94"/>
      <c r="U732" s="94"/>
      <c r="V732" s="94"/>
    </row>
    <row r="733" ht="24.0" customHeight="1">
      <c r="A733" s="149"/>
      <c r="B733" s="150"/>
      <c r="C733" s="197"/>
      <c r="D733" s="198"/>
      <c r="E733" s="198"/>
      <c r="F733" s="199"/>
      <c r="G733" s="200"/>
      <c r="H733" s="201"/>
      <c r="I733" s="202"/>
      <c r="J733" s="201"/>
      <c r="K733" s="170"/>
      <c r="L733" s="171"/>
      <c r="M733" s="94"/>
      <c r="N733" s="94"/>
      <c r="O733" s="94"/>
      <c r="P733" s="94"/>
      <c r="Q733" s="94"/>
      <c r="R733" s="94"/>
      <c r="S733" s="94"/>
      <c r="T733" s="94"/>
      <c r="U733" s="94"/>
      <c r="V733" s="94"/>
    </row>
    <row r="734" ht="24.0" customHeight="1">
      <c r="A734" s="149"/>
      <c r="B734" s="150"/>
      <c r="C734" s="197"/>
      <c r="D734" s="198"/>
      <c r="E734" s="198"/>
      <c r="F734" s="199"/>
      <c r="G734" s="200"/>
      <c r="H734" s="201"/>
      <c r="I734" s="202"/>
      <c r="J734" s="201"/>
      <c r="K734" s="170"/>
      <c r="L734" s="171"/>
      <c r="M734" s="94"/>
      <c r="N734" s="94"/>
      <c r="O734" s="94"/>
      <c r="P734" s="94"/>
      <c r="Q734" s="94"/>
      <c r="R734" s="94"/>
      <c r="S734" s="94"/>
      <c r="T734" s="94"/>
      <c r="U734" s="94"/>
      <c r="V734" s="94"/>
    </row>
    <row r="735" ht="24.0" customHeight="1">
      <c r="A735" s="149"/>
      <c r="B735" s="150"/>
      <c r="C735" s="197"/>
      <c r="D735" s="198"/>
      <c r="E735" s="198"/>
      <c r="F735" s="199"/>
      <c r="G735" s="200"/>
      <c r="H735" s="201"/>
      <c r="I735" s="202"/>
      <c r="J735" s="201"/>
      <c r="K735" s="170"/>
      <c r="L735" s="171"/>
      <c r="M735" s="94"/>
      <c r="N735" s="94"/>
      <c r="O735" s="94"/>
      <c r="P735" s="94"/>
      <c r="Q735" s="94"/>
      <c r="R735" s="94"/>
      <c r="S735" s="94"/>
      <c r="T735" s="94"/>
      <c r="U735" s="94"/>
      <c r="V735" s="94"/>
    </row>
    <row r="736" ht="24.0" customHeight="1">
      <c r="A736" s="149"/>
      <c r="B736" s="150"/>
      <c r="C736" s="197"/>
      <c r="D736" s="198"/>
      <c r="E736" s="198"/>
      <c r="F736" s="199"/>
      <c r="G736" s="200"/>
      <c r="H736" s="201"/>
      <c r="I736" s="202"/>
      <c r="J736" s="201"/>
      <c r="K736" s="170"/>
      <c r="L736" s="171"/>
      <c r="M736" s="94"/>
      <c r="N736" s="94"/>
      <c r="O736" s="94"/>
      <c r="P736" s="94"/>
      <c r="Q736" s="94"/>
      <c r="R736" s="94"/>
      <c r="S736" s="94"/>
      <c r="T736" s="94"/>
      <c r="U736" s="94"/>
      <c r="V736" s="94"/>
    </row>
    <row r="737" ht="24.0" customHeight="1">
      <c r="A737" s="149"/>
      <c r="B737" s="150"/>
      <c r="C737" s="197"/>
      <c r="D737" s="198"/>
      <c r="E737" s="198"/>
      <c r="F737" s="199"/>
      <c r="G737" s="200"/>
      <c r="H737" s="201"/>
      <c r="I737" s="202"/>
      <c r="J737" s="201"/>
      <c r="K737" s="170"/>
      <c r="L737" s="171"/>
      <c r="M737" s="94"/>
      <c r="N737" s="94"/>
      <c r="O737" s="94"/>
      <c r="P737" s="94"/>
      <c r="Q737" s="94"/>
      <c r="R737" s="94"/>
      <c r="S737" s="94"/>
      <c r="T737" s="94"/>
      <c r="U737" s="94"/>
      <c r="V737" s="94"/>
    </row>
    <row r="738" ht="24.0" customHeight="1">
      <c r="A738" s="149"/>
      <c r="B738" s="150"/>
      <c r="C738" s="197"/>
      <c r="D738" s="198"/>
      <c r="E738" s="198"/>
      <c r="F738" s="199"/>
      <c r="G738" s="200"/>
      <c r="H738" s="201"/>
      <c r="I738" s="202"/>
      <c r="J738" s="201"/>
      <c r="K738" s="170"/>
      <c r="L738" s="171"/>
      <c r="M738" s="94"/>
      <c r="N738" s="94"/>
      <c r="O738" s="94"/>
      <c r="P738" s="94"/>
      <c r="Q738" s="94"/>
      <c r="R738" s="94"/>
      <c r="S738" s="94"/>
      <c r="T738" s="94"/>
      <c r="U738" s="94"/>
      <c r="V738" s="94"/>
    </row>
    <row r="739" ht="24.0" customHeight="1">
      <c r="A739" s="149"/>
      <c r="B739" s="150"/>
      <c r="C739" s="197"/>
      <c r="D739" s="198"/>
      <c r="E739" s="198"/>
      <c r="F739" s="199"/>
      <c r="G739" s="200"/>
      <c r="H739" s="201"/>
      <c r="I739" s="202"/>
      <c r="J739" s="201"/>
      <c r="K739" s="170"/>
      <c r="L739" s="171"/>
      <c r="M739" s="94"/>
      <c r="N739" s="94"/>
      <c r="O739" s="94"/>
      <c r="P739" s="94"/>
      <c r="Q739" s="94"/>
      <c r="R739" s="94"/>
      <c r="S739" s="94"/>
      <c r="T739" s="94"/>
      <c r="U739" s="94"/>
      <c r="V739" s="94"/>
    </row>
    <row r="740" ht="24.0" customHeight="1">
      <c r="A740" s="149"/>
      <c r="B740" s="150"/>
      <c r="C740" s="197"/>
      <c r="D740" s="198"/>
      <c r="E740" s="198"/>
      <c r="F740" s="199"/>
      <c r="G740" s="200"/>
      <c r="H740" s="201"/>
      <c r="I740" s="202"/>
      <c r="J740" s="201"/>
      <c r="K740" s="170"/>
      <c r="L740" s="171"/>
      <c r="M740" s="94"/>
      <c r="N740" s="94"/>
      <c r="O740" s="94"/>
      <c r="P740" s="94"/>
      <c r="Q740" s="94"/>
      <c r="R740" s="94"/>
      <c r="S740" s="94"/>
      <c r="T740" s="94"/>
      <c r="U740" s="94"/>
      <c r="V740" s="94"/>
    </row>
    <row r="741" ht="24.0" customHeight="1">
      <c r="A741" s="149"/>
      <c r="B741" s="150"/>
      <c r="C741" s="197"/>
      <c r="D741" s="198"/>
      <c r="E741" s="198"/>
      <c r="F741" s="199"/>
      <c r="G741" s="200"/>
      <c r="H741" s="201"/>
      <c r="I741" s="202"/>
      <c r="J741" s="201"/>
      <c r="K741" s="170"/>
      <c r="L741" s="171"/>
      <c r="M741" s="94"/>
      <c r="N741" s="94"/>
      <c r="O741" s="94"/>
      <c r="P741" s="94"/>
      <c r="Q741" s="94"/>
      <c r="R741" s="94"/>
      <c r="S741" s="94"/>
      <c r="T741" s="94"/>
      <c r="U741" s="94"/>
      <c r="V741" s="94"/>
    </row>
    <row r="742" ht="24.0" customHeight="1">
      <c r="A742" s="149"/>
      <c r="B742" s="150"/>
      <c r="C742" s="197"/>
      <c r="D742" s="198"/>
      <c r="E742" s="198"/>
      <c r="F742" s="199"/>
      <c r="G742" s="200"/>
      <c r="H742" s="201"/>
      <c r="I742" s="202"/>
      <c r="J742" s="201"/>
      <c r="K742" s="170"/>
      <c r="L742" s="171"/>
      <c r="M742" s="94"/>
      <c r="N742" s="94"/>
      <c r="O742" s="94"/>
      <c r="P742" s="94"/>
      <c r="Q742" s="94"/>
      <c r="R742" s="94"/>
      <c r="S742" s="94"/>
      <c r="T742" s="94"/>
      <c r="U742" s="94"/>
      <c r="V742" s="94"/>
    </row>
    <row r="743" ht="24.0" customHeight="1">
      <c r="A743" s="149"/>
      <c r="B743" s="150"/>
      <c r="C743" s="197"/>
      <c r="D743" s="198"/>
      <c r="E743" s="198"/>
      <c r="F743" s="199"/>
      <c r="G743" s="200"/>
      <c r="H743" s="201"/>
      <c r="I743" s="202"/>
      <c r="J743" s="201"/>
      <c r="K743" s="170"/>
      <c r="L743" s="171"/>
      <c r="M743" s="94"/>
      <c r="N743" s="94"/>
      <c r="O743" s="94"/>
      <c r="P743" s="94"/>
      <c r="Q743" s="94"/>
      <c r="R743" s="94"/>
      <c r="S743" s="94"/>
      <c r="T743" s="94"/>
      <c r="U743" s="94"/>
      <c r="V743" s="94"/>
    </row>
    <row r="744" ht="24.0" customHeight="1">
      <c r="A744" s="149"/>
      <c r="B744" s="150"/>
      <c r="C744" s="197"/>
      <c r="D744" s="198"/>
      <c r="E744" s="198"/>
      <c r="F744" s="199"/>
      <c r="G744" s="200"/>
      <c r="H744" s="201"/>
      <c r="I744" s="202"/>
      <c r="J744" s="201"/>
      <c r="K744" s="170"/>
      <c r="L744" s="171"/>
      <c r="M744" s="94"/>
      <c r="N744" s="94"/>
      <c r="O744" s="94"/>
      <c r="P744" s="94"/>
      <c r="Q744" s="94"/>
      <c r="R744" s="94"/>
      <c r="S744" s="94"/>
      <c r="T744" s="94"/>
      <c r="U744" s="94"/>
      <c r="V744" s="94"/>
    </row>
    <row r="745" ht="24.0" customHeight="1">
      <c r="A745" s="149"/>
      <c r="B745" s="150"/>
      <c r="C745" s="197"/>
      <c r="D745" s="198"/>
      <c r="E745" s="198"/>
      <c r="F745" s="199"/>
      <c r="G745" s="200"/>
      <c r="H745" s="201"/>
      <c r="I745" s="202"/>
      <c r="J745" s="201"/>
      <c r="K745" s="170"/>
      <c r="L745" s="171"/>
      <c r="M745" s="94"/>
      <c r="N745" s="94"/>
      <c r="O745" s="94"/>
      <c r="P745" s="94"/>
      <c r="Q745" s="94"/>
      <c r="R745" s="94"/>
      <c r="S745" s="94"/>
      <c r="T745" s="94"/>
      <c r="U745" s="94"/>
      <c r="V745" s="94"/>
    </row>
    <row r="746" ht="24.0" customHeight="1">
      <c r="A746" s="149"/>
      <c r="B746" s="150"/>
      <c r="C746" s="197"/>
      <c r="D746" s="198"/>
      <c r="E746" s="198"/>
      <c r="F746" s="199"/>
      <c r="G746" s="200"/>
      <c r="H746" s="201"/>
      <c r="I746" s="202"/>
      <c r="J746" s="201"/>
      <c r="K746" s="170"/>
      <c r="L746" s="171"/>
      <c r="M746" s="94"/>
      <c r="N746" s="94"/>
      <c r="O746" s="94"/>
      <c r="P746" s="94"/>
      <c r="Q746" s="94"/>
      <c r="R746" s="94"/>
      <c r="S746" s="94"/>
      <c r="T746" s="94"/>
      <c r="U746" s="94"/>
      <c r="V746" s="94"/>
    </row>
    <row r="747" ht="24.0" customHeight="1">
      <c r="A747" s="149"/>
      <c r="B747" s="150"/>
      <c r="C747" s="197"/>
      <c r="D747" s="198"/>
      <c r="E747" s="198"/>
      <c r="F747" s="199"/>
      <c r="G747" s="200"/>
      <c r="H747" s="201"/>
      <c r="I747" s="202"/>
      <c r="J747" s="201"/>
      <c r="K747" s="170"/>
      <c r="L747" s="171"/>
      <c r="M747" s="94"/>
      <c r="N747" s="94"/>
      <c r="O747" s="94"/>
      <c r="P747" s="94"/>
      <c r="Q747" s="94"/>
      <c r="R747" s="94"/>
      <c r="S747" s="94"/>
      <c r="T747" s="94"/>
      <c r="U747" s="94"/>
      <c r="V747" s="94"/>
    </row>
    <row r="748" ht="24.0" customHeight="1">
      <c r="A748" s="149"/>
      <c r="B748" s="150"/>
      <c r="C748" s="197"/>
      <c r="D748" s="198"/>
      <c r="E748" s="198"/>
      <c r="F748" s="199"/>
      <c r="G748" s="200"/>
      <c r="H748" s="201"/>
      <c r="I748" s="202"/>
      <c r="J748" s="201"/>
      <c r="K748" s="170"/>
      <c r="L748" s="171"/>
      <c r="M748" s="94"/>
      <c r="N748" s="94"/>
      <c r="O748" s="94"/>
      <c r="P748" s="94"/>
      <c r="Q748" s="94"/>
      <c r="R748" s="94"/>
      <c r="S748" s="94"/>
      <c r="T748" s="94"/>
      <c r="U748" s="94"/>
      <c r="V748" s="94"/>
    </row>
    <row r="749" ht="24.0" customHeight="1">
      <c r="A749" s="149"/>
      <c r="B749" s="150"/>
      <c r="C749" s="197"/>
      <c r="D749" s="198"/>
      <c r="E749" s="198"/>
      <c r="F749" s="199"/>
      <c r="G749" s="200"/>
      <c r="H749" s="201"/>
      <c r="I749" s="202"/>
      <c r="J749" s="201"/>
      <c r="K749" s="170"/>
      <c r="L749" s="171"/>
      <c r="M749" s="94"/>
      <c r="N749" s="94"/>
      <c r="O749" s="94"/>
      <c r="P749" s="94"/>
      <c r="Q749" s="94"/>
      <c r="R749" s="94"/>
      <c r="S749" s="94"/>
      <c r="T749" s="94"/>
      <c r="U749" s="94"/>
      <c r="V749" s="94"/>
    </row>
    <row r="750" ht="24.0" customHeight="1">
      <c r="A750" s="149"/>
      <c r="B750" s="150"/>
      <c r="C750" s="197"/>
      <c r="D750" s="198"/>
      <c r="E750" s="198"/>
      <c r="F750" s="199"/>
      <c r="G750" s="200"/>
      <c r="H750" s="201"/>
      <c r="I750" s="202"/>
      <c r="J750" s="201"/>
      <c r="K750" s="170"/>
      <c r="L750" s="171"/>
      <c r="M750" s="94"/>
      <c r="N750" s="94"/>
      <c r="O750" s="94"/>
      <c r="P750" s="94"/>
      <c r="Q750" s="94"/>
      <c r="R750" s="94"/>
      <c r="S750" s="94"/>
      <c r="T750" s="94"/>
      <c r="U750" s="94"/>
      <c r="V750" s="94"/>
    </row>
    <row r="751" ht="24.0" customHeight="1">
      <c r="A751" s="149"/>
      <c r="B751" s="150"/>
      <c r="C751" s="197"/>
      <c r="D751" s="198"/>
      <c r="E751" s="198"/>
      <c r="F751" s="199"/>
      <c r="G751" s="200"/>
      <c r="H751" s="201"/>
      <c r="I751" s="202"/>
      <c r="J751" s="201"/>
      <c r="K751" s="170"/>
      <c r="L751" s="171"/>
      <c r="M751" s="94"/>
      <c r="N751" s="94"/>
      <c r="O751" s="94"/>
      <c r="P751" s="94"/>
      <c r="Q751" s="94"/>
      <c r="R751" s="94"/>
      <c r="S751" s="94"/>
      <c r="T751" s="94"/>
      <c r="U751" s="94"/>
      <c r="V751" s="94"/>
    </row>
    <row r="752" ht="24.0" customHeight="1">
      <c r="A752" s="149"/>
      <c r="B752" s="150"/>
      <c r="C752" s="197"/>
      <c r="D752" s="198"/>
      <c r="E752" s="198"/>
      <c r="F752" s="199"/>
      <c r="G752" s="200"/>
      <c r="H752" s="201"/>
      <c r="I752" s="202"/>
      <c r="J752" s="201"/>
      <c r="K752" s="170"/>
      <c r="L752" s="171"/>
      <c r="M752" s="94"/>
      <c r="N752" s="94"/>
      <c r="O752" s="94"/>
      <c r="P752" s="94"/>
      <c r="Q752" s="94"/>
      <c r="R752" s="94"/>
      <c r="S752" s="94"/>
      <c r="T752" s="94"/>
      <c r="U752" s="94"/>
      <c r="V752" s="94"/>
    </row>
    <row r="753" ht="24.0" customHeight="1">
      <c r="A753" s="149"/>
      <c r="B753" s="150"/>
      <c r="C753" s="197"/>
      <c r="D753" s="198"/>
      <c r="E753" s="198"/>
      <c r="F753" s="199"/>
      <c r="G753" s="200"/>
      <c r="H753" s="201"/>
      <c r="I753" s="202"/>
      <c r="J753" s="201"/>
      <c r="K753" s="170"/>
      <c r="L753" s="171"/>
      <c r="M753" s="94"/>
      <c r="N753" s="94"/>
      <c r="O753" s="94"/>
      <c r="P753" s="94"/>
      <c r="Q753" s="94"/>
      <c r="R753" s="94"/>
      <c r="S753" s="94"/>
      <c r="T753" s="94"/>
      <c r="U753" s="94"/>
      <c r="V753" s="94"/>
    </row>
    <row r="754" ht="24.0" customHeight="1">
      <c r="A754" s="149"/>
      <c r="B754" s="150"/>
      <c r="C754" s="197"/>
      <c r="D754" s="198"/>
      <c r="E754" s="198"/>
      <c r="F754" s="199"/>
      <c r="G754" s="200"/>
      <c r="H754" s="201"/>
      <c r="I754" s="202"/>
      <c r="J754" s="201"/>
      <c r="K754" s="170"/>
      <c r="L754" s="171"/>
      <c r="M754" s="94"/>
      <c r="N754" s="94"/>
      <c r="O754" s="94"/>
      <c r="P754" s="94"/>
      <c r="Q754" s="94"/>
      <c r="R754" s="94"/>
      <c r="S754" s="94"/>
      <c r="T754" s="94"/>
      <c r="U754" s="94"/>
      <c r="V754" s="94"/>
    </row>
    <row r="755" ht="24.0" customHeight="1">
      <c r="A755" s="149"/>
      <c r="B755" s="150"/>
      <c r="C755" s="197"/>
      <c r="D755" s="198"/>
      <c r="E755" s="198"/>
      <c r="F755" s="199"/>
      <c r="G755" s="200"/>
      <c r="H755" s="201"/>
      <c r="I755" s="202"/>
      <c r="J755" s="201"/>
      <c r="K755" s="170"/>
      <c r="L755" s="171"/>
      <c r="M755" s="94"/>
      <c r="N755" s="94"/>
      <c r="O755" s="94"/>
      <c r="P755" s="94"/>
      <c r="Q755" s="94"/>
      <c r="R755" s="94"/>
      <c r="S755" s="94"/>
      <c r="T755" s="94"/>
      <c r="U755" s="94"/>
      <c r="V755" s="94"/>
    </row>
    <row r="756" ht="24.0" customHeight="1">
      <c r="A756" s="149"/>
      <c r="B756" s="150"/>
      <c r="C756" s="197"/>
      <c r="D756" s="198"/>
      <c r="E756" s="198"/>
      <c r="F756" s="199"/>
      <c r="G756" s="200"/>
      <c r="H756" s="201"/>
      <c r="I756" s="202"/>
      <c r="J756" s="201"/>
      <c r="K756" s="170"/>
      <c r="L756" s="171"/>
      <c r="M756" s="94"/>
      <c r="N756" s="94"/>
      <c r="O756" s="94"/>
      <c r="P756" s="94"/>
      <c r="Q756" s="94"/>
      <c r="R756" s="94"/>
      <c r="S756" s="94"/>
      <c r="T756" s="94"/>
      <c r="U756" s="94"/>
      <c r="V756" s="94"/>
    </row>
    <row r="757" ht="24.0" customHeight="1">
      <c r="A757" s="149"/>
      <c r="B757" s="150"/>
      <c r="C757" s="197"/>
      <c r="D757" s="198"/>
      <c r="E757" s="198"/>
      <c r="F757" s="199"/>
      <c r="G757" s="200"/>
      <c r="H757" s="201"/>
      <c r="I757" s="202"/>
      <c r="J757" s="201"/>
      <c r="K757" s="170"/>
      <c r="L757" s="171"/>
      <c r="M757" s="94"/>
      <c r="N757" s="94"/>
      <c r="O757" s="94"/>
      <c r="P757" s="94"/>
      <c r="Q757" s="94"/>
      <c r="R757" s="94"/>
      <c r="S757" s="94"/>
      <c r="T757" s="94"/>
      <c r="U757" s="94"/>
      <c r="V757" s="94"/>
    </row>
    <row r="758" ht="24.0" customHeight="1">
      <c r="A758" s="149"/>
      <c r="B758" s="150"/>
      <c r="C758" s="197"/>
      <c r="D758" s="198"/>
      <c r="E758" s="198"/>
      <c r="F758" s="199"/>
      <c r="G758" s="200"/>
      <c r="H758" s="201"/>
      <c r="I758" s="202"/>
      <c r="J758" s="201"/>
      <c r="K758" s="170"/>
      <c r="L758" s="171"/>
      <c r="M758" s="94"/>
      <c r="N758" s="94"/>
      <c r="O758" s="94"/>
      <c r="P758" s="94"/>
      <c r="Q758" s="94"/>
      <c r="R758" s="94"/>
      <c r="S758" s="94"/>
      <c r="T758" s="94"/>
      <c r="U758" s="94"/>
      <c r="V758" s="94"/>
    </row>
    <row r="759" ht="24.0" customHeight="1">
      <c r="A759" s="149"/>
      <c r="B759" s="150"/>
      <c r="C759" s="197"/>
      <c r="D759" s="198"/>
      <c r="E759" s="198"/>
      <c r="F759" s="199"/>
      <c r="G759" s="200"/>
      <c r="H759" s="201"/>
      <c r="I759" s="202"/>
      <c r="J759" s="201"/>
      <c r="K759" s="170"/>
      <c r="L759" s="171"/>
      <c r="M759" s="94"/>
      <c r="N759" s="94"/>
      <c r="O759" s="94"/>
      <c r="P759" s="94"/>
      <c r="Q759" s="94"/>
      <c r="R759" s="94"/>
      <c r="S759" s="94"/>
      <c r="T759" s="94"/>
      <c r="U759" s="94"/>
      <c r="V759" s="94"/>
    </row>
    <row r="760" ht="24.0" customHeight="1">
      <c r="A760" s="149"/>
      <c r="B760" s="150"/>
      <c r="C760" s="197"/>
      <c r="D760" s="198"/>
      <c r="E760" s="198"/>
      <c r="F760" s="199"/>
      <c r="G760" s="200"/>
      <c r="H760" s="201"/>
      <c r="I760" s="202"/>
      <c r="J760" s="201"/>
      <c r="K760" s="170"/>
      <c r="L760" s="171"/>
      <c r="M760" s="94"/>
      <c r="N760" s="94"/>
      <c r="O760" s="94"/>
      <c r="P760" s="94"/>
      <c r="Q760" s="94"/>
      <c r="R760" s="94"/>
      <c r="S760" s="94"/>
      <c r="T760" s="94"/>
      <c r="U760" s="94"/>
      <c r="V760" s="94"/>
    </row>
    <row r="761" ht="24.0" customHeight="1">
      <c r="A761" s="149"/>
      <c r="B761" s="150"/>
      <c r="C761" s="197"/>
      <c r="D761" s="198"/>
      <c r="E761" s="198"/>
      <c r="F761" s="199"/>
      <c r="G761" s="200"/>
      <c r="H761" s="201"/>
      <c r="I761" s="202"/>
      <c r="J761" s="201"/>
      <c r="K761" s="170"/>
      <c r="L761" s="171"/>
      <c r="M761" s="94"/>
      <c r="N761" s="94"/>
      <c r="O761" s="94"/>
      <c r="P761" s="94"/>
      <c r="Q761" s="94"/>
      <c r="R761" s="94"/>
      <c r="S761" s="94"/>
      <c r="T761" s="94"/>
      <c r="U761" s="94"/>
      <c r="V761" s="94"/>
    </row>
    <row r="762" ht="24.0" customHeight="1">
      <c r="A762" s="149"/>
      <c r="B762" s="150"/>
      <c r="C762" s="197"/>
      <c r="D762" s="198"/>
      <c r="E762" s="198"/>
      <c r="F762" s="199"/>
      <c r="G762" s="200"/>
      <c r="H762" s="201"/>
      <c r="I762" s="202"/>
      <c r="J762" s="201"/>
      <c r="K762" s="170"/>
      <c r="L762" s="171"/>
      <c r="M762" s="94"/>
      <c r="N762" s="94"/>
      <c r="O762" s="94"/>
      <c r="P762" s="94"/>
      <c r="Q762" s="94"/>
      <c r="R762" s="94"/>
      <c r="S762" s="94"/>
      <c r="T762" s="94"/>
      <c r="U762" s="94"/>
      <c r="V762" s="94"/>
    </row>
    <row r="763" ht="24.0" customHeight="1">
      <c r="A763" s="149"/>
      <c r="B763" s="150"/>
      <c r="C763" s="197"/>
      <c r="D763" s="198"/>
      <c r="E763" s="198"/>
      <c r="F763" s="199"/>
      <c r="G763" s="200"/>
      <c r="H763" s="201"/>
      <c r="I763" s="202"/>
      <c r="J763" s="201"/>
      <c r="K763" s="170"/>
      <c r="L763" s="171"/>
      <c r="M763" s="94"/>
      <c r="N763" s="94"/>
      <c r="O763" s="94"/>
      <c r="P763" s="94"/>
      <c r="Q763" s="94"/>
      <c r="R763" s="94"/>
      <c r="S763" s="94"/>
      <c r="T763" s="94"/>
      <c r="U763" s="94"/>
      <c r="V763" s="94"/>
    </row>
    <row r="764" ht="24.0" customHeight="1">
      <c r="A764" s="149"/>
      <c r="B764" s="150"/>
      <c r="C764" s="197"/>
      <c r="D764" s="198"/>
      <c r="E764" s="198"/>
      <c r="F764" s="199"/>
      <c r="G764" s="200"/>
      <c r="H764" s="201"/>
      <c r="I764" s="202"/>
      <c r="J764" s="201"/>
      <c r="K764" s="170"/>
      <c r="L764" s="171"/>
      <c r="M764" s="94"/>
      <c r="N764" s="94"/>
      <c r="O764" s="94"/>
      <c r="P764" s="94"/>
      <c r="Q764" s="94"/>
      <c r="R764" s="94"/>
      <c r="S764" s="94"/>
      <c r="T764" s="94"/>
      <c r="U764" s="94"/>
      <c r="V764" s="94"/>
    </row>
    <row r="765" ht="24.0" customHeight="1">
      <c r="A765" s="149"/>
      <c r="B765" s="150"/>
      <c r="C765" s="197"/>
      <c r="D765" s="198"/>
      <c r="E765" s="198"/>
      <c r="F765" s="199"/>
      <c r="G765" s="200"/>
      <c r="H765" s="201"/>
      <c r="I765" s="202"/>
      <c r="J765" s="201"/>
      <c r="K765" s="170"/>
      <c r="L765" s="171"/>
      <c r="M765" s="94"/>
      <c r="N765" s="94"/>
      <c r="O765" s="94"/>
      <c r="P765" s="94"/>
      <c r="Q765" s="94"/>
      <c r="R765" s="94"/>
      <c r="S765" s="94"/>
      <c r="T765" s="94"/>
      <c r="U765" s="94"/>
      <c r="V765" s="94"/>
    </row>
    <row r="766" ht="24.0" customHeight="1">
      <c r="A766" s="149"/>
      <c r="B766" s="150"/>
      <c r="C766" s="197"/>
      <c r="D766" s="198"/>
      <c r="E766" s="198"/>
      <c r="F766" s="199"/>
      <c r="G766" s="200"/>
      <c r="H766" s="201"/>
      <c r="I766" s="202"/>
      <c r="J766" s="201"/>
      <c r="K766" s="170"/>
      <c r="L766" s="171"/>
      <c r="M766" s="94"/>
      <c r="N766" s="94"/>
      <c r="O766" s="94"/>
      <c r="P766" s="94"/>
      <c r="Q766" s="94"/>
      <c r="R766" s="94"/>
      <c r="S766" s="94"/>
      <c r="T766" s="94"/>
      <c r="U766" s="94"/>
      <c r="V766" s="94"/>
    </row>
    <row r="767" ht="24.0" customHeight="1">
      <c r="A767" s="149"/>
      <c r="B767" s="150"/>
      <c r="C767" s="197"/>
      <c r="D767" s="198"/>
      <c r="E767" s="198"/>
      <c r="F767" s="199"/>
      <c r="G767" s="200"/>
      <c r="H767" s="201"/>
      <c r="I767" s="202"/>
      <c r="J767" s="201"/>
      <c r="K767" s="170"/>
      <c r="L767" s="171"/>
      <c r="M767" s="94"/>
      <c r="N767" s="94"/>
      <c r="O767" s="94"/>
      <c r="P767" s="94"/>
      <c r="Q767" s="94"/>
      <c r="R767" s="94"/>
      <c r="S767" s="94"/>
      <c r="T767" s="94"/>
      <c r="U767" s="94"/>
      <c r="V767" s="94"/>
    </row>
    <row r="768" ht="24.0" customHeight="1">
      <c r="A768" s="149"/>
      <c r="B768" s="150"/>
      <c r="C768" s="197"/>
      <c r="D768" s="198"/>
      <c r="E768" s="198"/>
      <c r="F768" s="199"/>
      <c r="G768" s="200"/>
      <c r="H768" s="201"/>
      <c r="I768" s="202"/>
      <c r="J768" s="201"/>
      <c r="K768" s="170"/>
      <c r="L768" s="171"/>
      <c r="M768" s="94"/>
      <c r="N768" s="94"/>
      <c r="O768" s="94"/>
      <c r="P768" s="94"/>
      <c r="Q768" s="94"/>
      <c r="R768" s="94"/>
      <c r="S768" s="94"/>
      <c r="T768" s="94"/>
      <c r="U768" s="94"/>
      <c r="V768" s="94"/>
    </row>
    <row r="769" ht="24.0" customHeight="1">
      <c r="A769" s="149"/>
      <c r="B769" s="150"/>
      <c r="C769" s="197"/>
      <c r="D769" s="198"/>
      <c r="E769" s="198"/>
      <c r="F769" s="199"/>
      <c r="G769" s="200"/>
      <c r="H769" s="201"/>
      <c r="I769" s="202"/>
      <c r="J769" s="201"/>
      <c r="K769" s="170"/>
      <c r="L769" s="171"/>
      <c r="M769" s="94"/>
      <c r="N769" s="94"/>
      <c r="O769" s="94"/>
      <c r="P769" s="94"/>
      <c r="Q769" s="94"/>
      <c r="R769" s="94"/>
      <c r="S769" s="94"/>
      <c r="T769" s="94"/>
      <c r="U769" s="94"/>
      <c r="V769" s="94"/>
    </row>
    <row r="770" ht="24.0" customHeight="1">
      <c r="A770" s="149"/>
      <c r="B770" s="150"/>
      <c r="C770" s="197"/>
      <c r="D770" s="198"/>
      <c r="E770" s="198"/>
      <c r="F770" s="199"/>
      <c r="G770" s="200"/>
      <c r="H770" s="201"/>
      <c r="I770" s="202"/>
      <c r="J770" s="201"/>
      <c r="K770" s="170"/>
      <c r="L770" s="171"/>
      <c r="M770" s="94"/>
      <c r="N770" s="94"/>
      <c r="O770" s="94"/>
      <c r="P770" s="94"/>
      <c r="Q770" s="94"/>
      <c r="R770" s="94"/>
      <c r="S770" s="94"/>
      <c r="T770" s="94"/>
      <c r="U770" s="94"/>
      <c r="V770" s="94"/>
    </row>
    <row r="771" ht="24.0" customHeight="1">
      <c r="A771" s="149"/>
      <c r="B771" s="150"/>
      <c r="C771" s="197"/>
      <c r="D771" s="198"/>
      <c r="E771" s="198"/>
      <c r="F771" s="199"/>
      <c r="G771" s="200"/>
      <c r="H771" s="201"/>
      <c r="I771" s="202"/>
      <c r="J771" s="201"/>
      <c r="K771" s="170"/>
      <c r="L771" s="171"/>
      <c r="M771" s="94"/>
      <c r="N771" s="94"/>
      <c r="O771" s="94"/>
      <c r="P771" s="94"/>
      <c r="Q771" s="94"/>
      <c r="R771" s="94"/>
      <c r="S771" s="94"/>
      <c r="T771" s="94"/>
      <c r="U771" s="94"/>
      <c r="V771" s="94"/>
    </row>
    <row r="772" ht="24.0" customHeight="1">
      <c r="A772" s="149"/>
      <c r="B772" s="150"/>
      <c r="C772" s="197"/>
      <c r="D772" s="198"/>
      <c r="E772" s="198"/>
      <c r="F772" s="199"/>
      <c r="G772" s="200"/>
      <c r="H772" s="201"/>
      <c r="I772" s="202"/>
      <c r="J772" s="201"/>
      <c r="K772" s="170"/>
      <c r="L772" s="171"/>
      <c r="M772" s="94"/>
      <c r="N772" s="94"/>
      <c r="O772" s="94"/>
      <c r="P772" s="94"/>
      <c r="Q772" s="94"/>
      <c r="R772" s="94"/>
      <c r="S772" s="94"/>
      <c r="T772" s="94"/>
      <c r="U772" s="94"/>
      <c r="V772" s="94"/>
    </row>
    <row r="773" ht="24.0" customHeight="1">
      <c r="A773" s="149"/>
      <c r="B773" s="150"/>
      <c r="C773" s="197"/>
      <c r="D773" s="198"/>
      <c r="E773" s="198"/>
      <c r="F773" s="199"/>
      <c r="G773" s="200"/>
      <c r="H773" s="201"/>
      <c r="I773" s="202"/>
      <c r="J773" s="201"/>
      <c r="K773" s="170"/>
      <c r="L773" s="171"/>
      <c r="M773" s="94"/>
      <c r="N773" s="94"/>
      <c r="O773" s="94"/>
      <c r="P773" s="94"/>
      <c r="Q773" s="94"/>
      <c r="R773" s="94"/>
      <c r="S773" s="94"/>
      <c r="T773" s="94"/>
      <c r="U773" s="94"/>
      <c r="V773" s="94"/>
    </row>
    <row r="774" ht="24.0" customHeight="1">
      <c r="A774" s="149"/>
      <c r="B774" s="150"/>
      <c r="C774" s="197"/>
      <c r="D774" s="198"/>
      <c r="E774" s="198"/>
      <c r="F774" s="199"/>
      <c r="G774" s="200"/>
      <c r="H774" s="201"/>
      <c r="I774" s="202"/>
      <c r="J774" s="201"/>
      <c r="K774" s="170"/>
      <c r="L774" s="171"/>
      <c r="M774" s="94"/>
      <c r="N774" s="94"/>
      <c r="O774" s="94"/>
      <c r="P774" s="94"/>
      <c r="Q774" s="94"/>
      <c r="R774" s="94"/>
      <c r="S774" s="94"/>
      <c r="T774" s="94"/>
      <c r="U774" s="94"/>
      <c r="V774" s="94"/>
    </row>
    <row r="775" ht="24.0" customHeight="1">
      <c r="A775" s="149"/>
      <c r="B775" s="150"/>
      <c r="C775" s="197"/>
      <c r="D775" s="198"/>
      <c r="E775" s="198"/>
      <c r="F775" s="199"/>
      <c r="G775" s="200"/>
      <c r="H775" s="201"/>
      <c r="I775" s="202"/>
      <c r="J775" s="201"/>
      <c r="K775" s="170"/>
      <c r="L775" s="171"/>
      <c r="M775" s="94"/>
      <c r="N775" s="94"/>
      <c r="O775" s="94"/>
      <c r="P775" s="94"/>
      <c r="Q775" s="94"/>
      <c r="R775" s="94"/>
      <c r="S775" s="94"/>
      <c r="T775" s="94"/>
      <c r="U775" s="94"/>
      <c r="V775" s="94"/>
    </row>
    <row r="776" ht="24.0" customHeight="1">
      <c r="A776" s="149"/>
      <c r="B776" s="150"/>
      <c r="C776" s="197"/>
      <c r="D776" s="198"/>
      <c r="E776" s="198"/>
      <c r="F776" s="199"/>
      <c r="G776" s="200"/>
      <c r="H776" s="201"/>
      <c r="I776" s="202"/>
      <c r="J776" s="201"/>
      <c r="K776" s="170"/>
      <c r="L776" s="171"/>
      <c r="M776" s="94"/>
      <c r="N776" s="94"/>
      <c r="O776" s="94"/>
      <c r="P776" s="94"/>
      <c r="Q776" s="94"/>
      <c r="R776" s="94"/>
      <c r="S776" s="94"/>
      <c r="T776" s="94"/>
      <c r="U776" s="94"/>
      <c r="V776" s="94"/>
    </row>
    <row r="777" ht="24.0" customHeight="1">
      <c r="A777" s="149"/>
      <c r="B777" s="150"/>
      <c r="C777" s="197"/>
      <c r="D777" s="198"/>
      <c r="E777" s="198"/>
      <c r="F777" s="199"/>
      <c r="G777" s="200"/>
      <c r="H777" s="201"/>
      <c r="I777" s="202"/>
      <c r="J777" s="201"/>
      <c r="K777" s="170"/>
      <c r="L777" s="171"/>
      <c r="M777" s="94"/>
      <c r="N777" s="94"/>
      <c r="O777" s="94"/>
      <c r="P777" s="94"/>
      <c r="Q777" s="94"/>
      <c r="R777" s="94"/>
      <c r="S777" s="94"/>
      <c r="T777" s="94"/>
      <c r="U777" s="94"/>
      <c r="V777" s="94"/>
    </row>
    <row r="778" ht="24.0" customHeight="1">
      <c r="A778" s="149"/>
      <c r="B778" s="150"/>
      <c r="C778" s="197"/>
      <c r="D778" s="198"/>
      <c r="E778" s="198"/>
      <c r="F778" s="199"/>
      <c r="G778" s="200"/>
      <c r="H778" s="201"/>
      <c r="I778" s="202"/>
      <c r="J778" s="201"/>
      <c r="K778" s="170"/>
      <c r="L778" s="171"/>
      <c r="M778" s="94"/>
      <c r="N778" s="94"/>
      <c r="O778" s="94"/>
      <c r="P778" s="94"/>
      <c r="Q778" s="94"/>
      <c r="R778" s="94"/>
      <c r="S778" s="94"/>
      <c r="T778" s="94"/>
      <c r="U778" s="94"/>
      <c r="V778" s="94"/>
    </row>
    <row r="779" ht="24.0" customHeight="1">
      <c r="A779" s="149"/>
      <c r="B779" s="150"/>
      <c r="C779" s="197"/>
      <c r="D779" s="198"/>
      <c r="E779" s="198"/>
      <c r="F779" s="199"/>
      <c r="G779" s="200"/>
      <c r="H779" s="201"/>
      <c r="I779" s="202"/>
      <c r="J779" s="201"/>
      <c r="K779" s="170"/>
      <c r="L779" s="171"/>
      <c r="M779" s="94"/>
      <c r="N779" s="94"/>
      <c r="O779" s="94"/>
      <c r="P779" s="94"/>
      <c r="Q779" s="94"/>
      <c r="R779" s="94"/>
      <c r="S779" s="94"/>
      <c r="T779" s="94"/>
      <c r="U779" s="94"/>
      <c r="V779" s="94"/>
    </row>
    <row r="780" ht="24.0" customHeight="1">
      <c r="A780" s="149"/>
      <c r="B780" s="150"/>
      <c r="C780" s="197"/>
      <c r="D780" s="198"/>
      <c r="E780" s="198"/>
      <c r="F780" s="199"/>
      <c r="G780" s="200"/>
      <c r="H780" s="201"/>
      <c r="I780" s="202"/>
      <c r="J780" s="201"/>
      <c r="K780" s="170"/>
      <c r="L780" s="171"/>
      <c r="M780" s="94"/>
      <c r="N780" s="94"/>
      <c r="O780" s="94"/>
      <c r="P780" s="94"/>
      <c r="Q780" s="94"/>
      <c r="R780" s="94"/>
      <c r="S780" s="94"/>
      <c r="T780" s="94"/>
      <c r="U780" s="94"/>
      <c r="V780" s="94"/>
    </row>
    <row r="781" ht="24.0" customHeight="1">
      <c r="A781" s="149"/>
      <c r="B781" s="150"/>
      <c r="C781" s="197"/>
      <c r="D781" s="198"/>
      <c r="E781" s="198"/>
      <c r="F781" s="199"/>
      <c r="G781" s="200"/>
      <c r="H781" s="201"/>
      <c r="I781" s="202"/>
      <c r="J781" s="201"/>
      <c r="K781" s="170"/>
      <c r="L781" s="171"/>
      <c r="M781" s="94"/>
      <c r="N781" s="94"/>
      <c r="O781" s="94"/>
      <c r="P781" s="94"/>
      <c r="Q781" s="94"/>
      <c r="R781" s="94"/>
      <c r="S781" s="94"/>
      <c r="T781" s="94"/>
      <c r="U781" s="94"/>
      <c r="V781" s="94"/>
    </row>
    <row r="782" ht="24.0" customHeight="1">
      <c r="A782" s="149"/>
      <c r="B782" s="150"/>
      <c r="C782" s="197"/>
      <c r="D782" s="198"/>
      <c r="E782" s="198"/>
      <c r="F782" s="199"/>
      <c r="G782" s="200"/>
      <c r="H782" s="201"/>
      <c r="I782" s="202"/>
      <c r="J782" s="201"/>
      <c r="K782" s="170"/>
      <c r="L782" s="171"/>
      <c r="M782" s="94"/>
      <c r="N782" s="94"/>
      <c r="O782" s="94"/>
      <c r="P782" s="94"/>
      <c r="Q782" s="94"/>
      <c r="R782" s="94"/>
      <c r="S782" s="94"/>
      <c r="T782" s="94"/>
      <c r="U782" s="94"/>
      <c r="V782" s="94"/>
    </row>
    <row r="783" ht="24.0" customHeight="1">
      <c r="A783" s="149"/>
      <c r="B783" s="150"/>
      <c r="C783" s="197"/>
      <c r="D783" s="198"/>
      <c r="E783" s="198"/>
      <c r="F783" s="199"/>
      <c r="G783" s="200"/>
      <c r="H783" s="201"/>
      <c r="I783" s="202"/>
      <c r="J783" s="201"/>
      <c r="K783" s="170"/>
      <c r="L783" s="171"/>
      <c r="M783" s="94"/>
      <c r="N783" s="94"/>
      <c r="O783" s="94"/>
      <c r="P783" s="94"/>
      <c r="Q783" s="94"/>
      <c r="R783" s="94"/>
      <c r="S783" s="94"/>
      <c r="T783" s="94"/>
      <c r="U783" s="94"/>
      <c r="V783" s="94"/>
    </row>
    <row r="784" ht="24.0" customHeight="1">
      <c r="A784" s="149"/>
      <c r="B784" s="150"/>
      <c r="C784" s="197"/>
      <c r="D784" s="198"/>
      <c r="E784" s="198"/>
      <c r="F784" s="199"/>
      <c r="G784" s="200"/>
      <c r="H784" s="201"/>
      <c r="I784" s="202"/>
      <c r="J784" s="201"/>
      <c r="K784" s="170"/>
      <c r="L784" s="171"/>
      <c r="M784" s="94"/>
      <c r="N784" s="94"/>
      <c r="O784" s="94"/>
      <c r="P784" s="94"/>
      <c r="Q784" s="94"/>
      <c r="R784" s="94"/>
      <c r="S784" s="94"/>
      <c r="T784" s="94"/>
      <c r="U784" s="94"/>
      <c r="V784" s="94"/>
    </row>
    <row r="785" ht="24.0" customHeight="1">
      <c r="A785" s="149"/>
      <c r="B785" s="150"/>
      <c r="C785" s="197"/>
      <c r="D785" s="198"/>
      <c r="E785" s="198"/>
      <c r="F785" s="199"/>
      <c r="G785" s="200"/>
      <c r="H785" s="201"/>
      <c r="I785" s="202"/>
      <c r="J785" s="201"/>
      <c r="K785" s="170"/>
      <c r="L785" s="171"/>
      <c r="M785" s="94"/>
      <c r="N785" s="94"/>
      <c r="O785" s="94"/>
      <c r="P785" s="94"/>
      <c r="Q785" s="94"/>
      <c r="R785" s="94"/>
      <c r="S785" s="94"/>
      <c r="T785" s="94"/>
      <c r="U785" s="94"/>
      <c r="V785" s="94"/>
    </row>
    <row r="786" ht="24.0" customHeight="1">
      <c r="A786" s="149"/>
      <c r="B786" s="150"/>
      <c r="C786" s="197"/>
      <c r="D786" s="198"/>
      <c r="E786" s="198"/>
      <c r="F786" s="199"/>
      <c r="G786" s="200"/>
      <c r="H786" s="201"/>
      <c r="I786" s="202"/>
      <c r="J786" s="201"/>
      <c r="K786" s="170"/>
      <c r="L786" s="171"/>
      <c r="M786" s="94"/>
      <c r="N786" s="94"/>
      <c r="O786" s="94"/>
      <c r="P786" s="94"/>
      <c r="Q786" s="94"/>
      <c r="R786" s="94"/>
      <c r="S786" s="94"/>
      <c r="T786" s="94"/>
      <c r="U786" s="94"/>
      <c r="V786" s="94"/>
    </row>
    <row r="787" ht="24.0" customHeight="1">
      <c r="A787" s="149"/>
      <c r="B787" s="150"/>
      <c r="C787" s="197"/>
      <c r="D787" s="198"/>
      <c r="E787" s="198"/>
      <c r="F787" s="199"/>
      <c r="G787" s="200"/>
      <c r="H787" s="201"/>
      <c r="I787" s="202"/>
      <c r="J787" s="201"/>
      <c r="K787" s="170"/>
      <c r="L787" s="171"/>
      <c r="M787" s="94"/>
      <c r="N787" s="94"/>
      <c r="O787" s="94"/>
      <c r="P787" s="94"/>
      <c r="Q787" s="94"/>
      <c r="R787" s="94"/>
      <c r="S787" s="94"/>
      <c r="T787" s="94"/>
      <c r="U787" s="94"/>
      <c r="V787" s="94"/>
    </row>
    <row r="788" ht="24.0" customHeight="1">
      <c r="A788" s="149"/>
      <c r="B788" s="150"/>
      <c r="C788" s="197"/>
      <c r="D788" s="198"/>
      <c r="E788" s="198"/>
      <c r="F788" s="199"/>
      <c r="G788" s="200"/>
      <c r="H788" s="201"/>
      <c r="I788" s="202"/>
      <c r="J788" s="201"/>
      <c r="K788" s="170"/>
      <c r="L788" s="171"/>
      <c r="M788" s="94"/>
      <c r="N788" s="94"/>
      <c r="O788" s="94"/>
      <c r="P788" s="94"/>
      <c r="Q788" s="94"/>
      <c r="R788" s="94"/>
      <c r="S788" s="94"/>
      <c r="T788" s="94"/>
      <c r="U788" s="94"/>
      <c r="V788" s="94"/>
    </row>
    <row r="789" ht="24.0" customHeight="1">
      <c r="A789" s="149"/>
      <c r="B789" s="150"/>
      <c r="C789" s="197"/>
      <c r="D789" s="198"/>
      <c r="E789" s="198"/>
      <c r="F789" s="199"/>
      <c r="G789" s="200"/>
      <c r="H789" s="201"/>
      <c r="I789" s="202"/>
      <c r="J789" s="201"/>
      <c r="K789" s="170"/>
      <c r="L789" s="171"/>
      <c r="M789" s="94"/>
      <c r="N789" s="94"/>
      <c r="O789" s="94"/>
      <c r="P789" s="94"/>
      <c r="Q789" s="94"/>
      <c r="R789" s="94"/>
      <c r="S789" s="94"/>
      <c r="T789" s="94"/>
      <c r="U789" s="94"/>
      <c r="V789" s="94"/>
    </row>
    <row r="790" ht="24.0" customHeight="1">
      <c r="A790" s="149"/>
      <c r="B790" s="150"/>
      <c r="C790" s="197"/>
      <c r="D790" s="198"/>
      <c r="E790" s="198"/>
      <c r="F790" s="199"/>
      <c r="G790" s="200"/>
      <c r="H790" s="201"/>
      <c r="I790" s="202"/>
      <c r="J790" s="201"/>
      <c r="K790" s="170"/>
      <c r="L790" s="171"/>
      <c r="M790" s="94"/>
      <c r="N790" s="94"/>
      <c r="O790" s="94"/>
      <c r="P790" s="94"/>
      <c r="Q790" s="94"/>
      <c r="R790" s="94"/>
      <c r="S790" s="94"/>
      <c r="T790" s="94"/>
      <c r="U790" s="94"/>
      <c r="V790" s="94"/>
    </row>
    <row r="791" ht="24.0" customHeight="1">
      <c r="A791" s="149"/>
      <c r="B791" s="150"/>
      <c r="C791" s="197"/>
      <c r="D791" s="198"/>
      <c r="E791" s="198"/>
      <c r="F791" s="199"/>
      <c r="G791" s="200"/>
      <c r="H791" s="201"/>
      <c r="I791" s="202"/>
      <c r="J791" s="201"/>
      <c r="K791" s="170"/>
      <c r="L791" s="171"/>
      <c r="M791" s="94"/>
      <c r="N791" s="94"/>
      <c r="O791" s="94"/>
      <c r="P791" s="94"/>
      <c r="Q791" s="94"/>
      <c r="R791" s="94"/>
      <c r="S791" s="94"/>
      <c r="T791" s="94"/>
      <c r="U791" s="94"/>
      <c r="V791" s="94"/>
    </row>
    <row r="792" ht="24.0" customHeight="1">
      <c r="A792" s="149"/>
      <c r="B792" s="150"/>
      <c r="C792" s="197"/>
      <c r="D792" s="198"/>
      <c r="E792" s="198"/>
      <c r="F792" s="199"/>
      <c r="G792" s="200"/>
      <c r="H792" s="201"/>
      <c r="I792" s="202"/>
      <c r="J792" s="201"/>
      <c r="K792" s="170"/>
      <c r="L792" s="171"/>
      <c r="M792" s="94"/>
      <c r="N792" s="94"/>
      <c r="O792" s="94"/>
      <c r="P792" s="94"/>
      <c r="Q792" s="94"/>
      <c r="R792" s="94"/>
      <c r="S792" s="94"/>
      <c r="T792" s="94"/>
      <c r="U792" s="94"/>
      <c r="V792" s="94"/>
    </row>
    <row r="793" ht="24.0" customHeight="1">
      <c r="A793" s="149"/>
      <c r="B793" s="150"/>
      <c r="C793" s="197"/>
      <c r="D793" s="198"/>
      <c r="E793" s="198"/>
      <c r="F793" s="199"/>
      <c r="G793" s="200"/>
      <c r="H793" s="201"/>
      <c r="I793" s="202"/>
      <c r="J793" s="201"/>
      <c r="K793" s="170"/>
      <c r="L793" s="171"/>
      <c r="M793" s="94"/>
      <c r="N793" s="94"/>
      <c r="O793" s="94"/>
      <c r="P793" s="94"/>
      <c r="Q793" s="94"/>
      <c r="R793" s="94"/>
      <c r="S793" s="94"/>
      <c r="T793" s="94"/>
      <c r="U793" s="94"/>
      <c r="V793" s="94"/>
    </row>
    <row r="794" ht="24.0" customHeight="1">
      <c r="A794" s="149"/>
      <c r="B794" s="150"/>
      <c r="C794" s="197"/>
      <c r="D794" s="198"/>
      <c r="E794" s="198"/>
      <c r="F794" s="199"/>
      <c r="G794" s="200"/>
      <c r="H794" s="201"/>
      <c r="I794" s="202"/>
      <c r="J794" s="201"/>
      <c r="K794" s="170"/>
      <c r="L794" s="171"/>
      <c r="M794" s="94"/>
      <c r="N794" s="94"/>
      <c r="O794" s="94"/>
      <c r="P794" s="94"/>
      <c r="Q794" s="94"/>
      <c r="R794" s="94"/>
      <c r="S794" s="94"/>
      <c r="T794" s="94"/>
      <c r="U794" s="94"/>
      <c r="V794" s="94"/>
    </row>
    <row r="795" ht="24.0" customHeight="1">
      <c r="A795" s="149"/>
      <c r="B795" s="150"/>
      <c r="C795" s="197"/>
      <c r="D795" s="198"/>
      <c r="E795" s="198"/>
      <c r="F795" s="199"/>
      <c r="G795" s="200"/>
      <c r="H795" s="201"/>
      <c r="I795" s="202"/>
      <c r="J795" s="201"/>
      <c r="K795" s="170"/>
      <c r="L795" s="171"/>
      <c r="M795" s="94"/>
      <c r="N795" s="94"/>
      <c r="O795" s="94"/>
      <c r="P795" s="94"/>
      <c r="Q795" s="94"/>
      <c r="R795" s="94"/>
      <c r="S795" s="94"/>
      <c r="T795" s="94"/>
      <c r="U795" s="94"/>
      <c r="V795" s="94"/>
    </row>
    <row r="796" ht="24.0" customHeight="1">
      <c r="A796" s="149"/>
      <c r="B796" s="150"/>
      <c r="C796" s="197"/>
      <c r="D796" s="198"/>
      <c r="E796" s="198"/>
      <c r="F796" s="199"/>
      <c r="G796" s="200"/>
      <c r="H796" s="201"/>
      <c r="I796" s="202"/>
      <c r="J796" s="201"/>
      <c r="K796" s="170"/>
      <c r="L796" s="171"/>
      <c r="M796" s="94"/>
      <c r="N796" s="94"/>
      <c r="O796" s="94"/>
      <c r="P796" s="94"/>
      <c r="Q796" s="94"/>
      <c r="R796" s="94"/>
      <c r="S796" s="94"/>
      <c r="T796" s="94"/>
      <c r="U796" s="94"/>
      <c r="V796" s="94"/>
    </row>
    <row r="797" ht="24.0" customHeight="1">
      <c r="A797" s="149"/>
      <c r="B797" s="150"/>
      <c r="C797" s="197"/>
      <c r="D797" s="198"/>
      <c r="E797" s="198"/>
      <c r="F797" s="199"/>
      <c r="G797" s="200"/>
      <c r="H797" s="201"/>
      <c r="I797" s="202"/>
      <c r="J797" s="201"/>
      <c r="K797" s="170"/>
      <c r="L797" s="171"/>
      <c r="M797" s="94"/>
      <c r="N797" s="94"/>
      <c r="O797" s="94"/>
      <c r="P797" s="94"/>
      <c r="Q797" s="94"/>
      <c r="R797" s="94"/>
      <c r="S797" s="94"/>
      <c r="T797" s="94"/>
      <c r="U797" s="94"/>
      <c r="V797" s="94"/>
    </row>
    <row r="798" ht="24.0" customHeight="1">
      <c r="A798" s="149"/>
      <c r="B798" s="150"/>
      <c r="C798" s="197"/>
      <c r="D798" s="198"/>
      <c r="E798" s="198"/>
      <c r="F798" s="199"/>
      <c r="G798" s="200"/>
      <c r="H798" s="201"/>
      <c r="I798" s="202"/>
      <c r="J798" s="201"/>
      <c r="K798" s="170"/>
      <c r="L798" s="171"/>
      <c r="M798" s="94"/>
      <c r="N798" s="94"/>
      <c r="O798" s="94"/>
      <c r="P798" s="94"/>
      <c r="Q798" s="94"/>
      <c r="R798" s="94"/>
      <c r="S798" s="94"/>
      <c r="T798" s="94"/>
      <c r="U798" s="94"/>
      <c r="V798" s="94"/>
    </row>
    <row r="799" ht="24.0" customHeight="1">
      <c r="A799" s="149"/>
      <c r="B799" s="150"/>
      <c r="C799" s="197"/>
      <c r="D799" s="198"/>
      <c r="E799" s="198"/>
      <c r="F799" s="199"/>
      <c r="G799" s="200"/>
      <c r="H799" s="201"/>
      <c r="I799" s="202"/>
      <c r="J799" s="201"/>
      <c r="K799" s="170"/>
      <c r="L799" s="171"/>
      <c r="M799" s="94"/>
      <c r="N799" s="94"/>
      <c r="O799" s="94"/>
      <c r="P799" s="94"/>
      <c r="Q799" s="94"/>
      <c r="R799" s="94"/>
      <c r="S799" s="94"/>
      <c r="T799" s="94"/>
      <c r="U799" s="94"/>
      <c r="V799" s="94"/>
    </row>
    <row r="800" ht="24.0" customHeight="1">
      <c r="A800" s="149"/>
      <c r="B800" s="150"/>
      <c r="C800" s="197"/>
      <c r="D800" s="198"/>
      <c r="E800" s="198"/>
      <c r="F800" s="199"/>
      <c r="G800" s="200"/>
      <c r="H800" s="201"/>
      <c r="I800" s="202"/>
      <c r="J800" s="201"/>
      <c r="K800" s="170"/>
      <c r="L800" s="171"/>
      <c r="M800" s="94"/>
      <c r="N800" s="94"/>
      <c r="O800" s="94"/>
      <c r="P800" s="94"/>
      <c r="Q800" s="94"/>
      <c r="R800" s="94"/>
      <c r="S800" s="94"/>
      <c r="T800" s="94"/>
      <c r="U800" s="94"/>
      <c r="V800" s="94"/>
    </row>
    <row r="801" ht="24.0" customHeight="1">
      <c r="A801" s="149"/>
      <c r="B801" s="150"/>
      <c r="C801" s="197"/>
      <c r="D801" s="198"/>
      <c r="E801" s="198"/>
      <c r="F801" s="199"/>
      <c r="G801" s="200"/>
      <c r="H801" s="201"/>
      <c r="I801" s="202"/>
      <c r="J801" s="201"/>
      <c r="K801" s="170"/>
      <c r="L801" s="171"/>
      <c r="M801" s="94"/>
      <c r="N801" s="94"/>
      <c r="O801" s="94"/>
      <c r="P801" s="94"/>
      <c r="Q801" s="94"/>
      <c r="R801" s="94"/>
      <c r="S801" s="94"/>
      <c r="T801" s="94"/>
      <c r="U801" s="94"/>
      <c r="V801" s="94"/>
    </row>
    <row r="802" ht="24.0" customHeight="1">
      <c r="A802" s="149"/>
      <c r="B802" s="150"/>
      <c r="C802" s="197"/>
      <c r="D802" s="198"/>
      <c r="E802" s="198"/>
      <c r="F802" s="199"/>
      <c r="G802" s="200"/>
      <c r="H802" s="201"/>
      <c r="I802" s="202"/>
      <c r="J802" s="201"/>
      <c r="K802" s="170"/>
      <c r="L802" s="171"/>
      <c r="M802" s="94"/>
      <c r="N802" s="94"/>
      <c r="O802" s="94"/>
      <c r="P802" s="94"/>
      <c r="Q802" s="94"/>
      <c r="R802" s="94"/>
      <c r="S802" s="94"/>
      <c r="T802" s="94"/>
      <c r="U802" s="94"/>
      <c r="V802" s="94"/>
    </row>
    <row r="803" ht="24.0" customHeight="1">
      <c r="A803" s="149"/>
      <c r="B803" s="150"/>
      <c r="C803" s="197"/>
      <c r="D803" s="198"/>
      <c r="E803" s="198"/>
      <c r="F803" s="199"/>
      <c r="G803" s="200"/>
      <c r="H803" s="201"/>
      <c r="I803" s="202"/>
      <c r="J803" s="201"/>
      <c r="K803" s="170"/>
      <c r="L803" s="171"/>
      <c r="M803" s="94"/>
      <c r="N803" s="94"/>
      <c r="O803" s="94"/>
      <c r="P803" s="94"/>
      <c r="Q803" s="94"/>
      <c r="R803" s="94"/>
      <c r="S803" s="94"/>
      <c r="T803" s="94"/>
      <c r="U803" s="94"/>
      <c r="V803" s="94"/>
    </row>
    <row r="804" ht="24.0" customHeight="1">
      <c r="A804" s="149"/>
      <c r="B804" s="150"/>
      <c r="C804" s="197"/>
      <c r="D804" s="198"/>
      <c r="E804" s="198"/>
      <c r="F804" s="199"/>
      <c r="G804" s="200"/>
      <c r="H804" s="201"/>
      <c r="I804" s="202"/>
      <c r="J804" s="201"/>
      <c r="K804" s="170"/>
      <c r="L804" s="171"/>
      <c r="M804" s="94"/>
      <c r="N804" s="94"/>
      <c r="O804" s="94"/>
      <c r="P804" s="94"/>
      <c r="Q804" s="94"/>
      <c r="R804" s="94"/>
      <c r="S804" s="94"/>
      <c r="T804" s="94"/>
      <c r="U804" s="94"/>
      <c r="V804" s="94"/>
    </row>
    <row r="805" ht="24.0" customHeight="1">
      <c r="A805" s="149"/>
      <c r="B805" s="150"/>
      <c r="C805" s="197"/>
      <c r="D805" s="198"/>
      <c r="E805" s="198"/>
      <c r="F805" s="199"/>
      <c r="G805" s="200"/>
      <c r="H805" s="201"/>
      <c r="I805" s="202"/>
      <c r="J805" s="201"/>
      <c r="K805" s="170"/>
      <c r="L805" s="171"/>
      <c r="M805" s="94"/>
      <c r="N805" s="94"/>
      <c r="O805" s="94"/>
      <c r="P805" s="94"/>
      <c r="Q805" s="94"/>
      <c r="R805" s="94"/>
      <c r="S805" s="94"/>
      <c r="T805" s="94"/>
      <c r="U805" s="94"/>
      <c r="V805" s="94"/>
    </row>
    <row r="806" ht="24.0" customHeight="1">
      <c r="A806" s="149"/>
      <c r="B806" s="150"/>
      <c r="C806" s="197"/>
      <c r="D806" s="198"/>
      <c r="E806" s="198"/>
      <c r="F806" s="199"/>
      <c r="G806" s="200"/>
      <c r="H806" s="201"/>
      <c r="I806" s="202"/>
      <c r="J806" s="201"/>
      <c r="K806" s="170"/>
      <c r="L806" s="171"/>
      <c r="M806" s="94"/>
      <c r="N806" s="94"/>
      <c r="O806" s="94"/>
      <c r="P806" s="94"/>
      <c r="Q806" s="94"/>
      <c r="R806" s="94"/>
      <c r="S806" s="94"/>
      <c r="T806" s="94"/>
      <c r="U806" s="94"/>
      <c r="V806" s="94"/>
    </row>
    <row r="807" ht="24.0" customHeight="1">
      <c r="A807" s="149"/>
      <c r="B807" s="150"/>
      <c r="C807" s="197"/>
      <c r="D807" s="198"/>
      <c r="E807" s="198"/>
      <c r="F807" s="199"/>
      <c r="G807" s="200"/>
      <c r="H807" s="201"/>
      <c r="I807" s="202"/>
      <c r="J807" s="201"/>
      <c r="K807" s="170"/>
      <c r="L807" s="171"/>
      <c r="M807" s="94"/>
      <c r="N807" s="94"/>
      <c r="O807" s="94"/>
      <c r="P807" s="94"/>
      <c r="Q807" s="94"/>
      <c r="R807" s="94"/>
      <c r="S807" s="94"/>
      <c r="T807" s="94"/>
      <c r="U807" s="94"/>
      <c r="V807" s="94"/>
    </row>
    <row r="808" ht="24.0" customHeight="1">
      <c r="A808" s="149"/>
      <c r="B808" s="150"/>
      <c r="C808" s="197"/>
      <c r="D808" s="198"/>
      <c r="E808" s="198"/>
      <c r="F808" s="199"/>
      <c r="G808" s="200"/>
      <c r="H808" s="201"/>
      <c r="I808" s="202"/>
      <c r="J808" s="201"/>
      <c r="K808" s="170"/>
      <c r="L808" s="171"/>
      <c r="M808" s="94"/>
      <c r="N808" s="94"/>
      <c r="O808" s="94"/>
      <c r="P808" s="94"/>
      <c r="Q808" s="94"/>
      <c r="R808" s="94"/>
      <c r="S808" s="94"/>
      <c r="T808" s="94"/>
      <c r="U808" s="94"/>
      <c r="V808" s="94"/>
    </row>
    <row r="809" ht="24.0" customHeight="1">
      <c r="A809" s="149"/>
      <c r="B809" s="150"/>
      <c r="C809" s="197"/>
      <c r="D809" s="198"/>
      <c r="E809" s="198"/>
      <c r="F809" s="199"/>
      <c r="G809" s="200"/>
      <c r="H809" s="201"/>
      <c r="I809" s="202"/>
      <c r="J809" s="201"/>
      <c r="K809" s="170"/>
      <c r="L809" s="171"/>
      <c r="M809" s="94"/>
      <c r="N809" s="94"/>
      <c r="O809" s="94"/>
      <c r="P809" s="94"/>
      <c r="Q809" s="94"/>
      <c r="R809" s="94"/>
      <c r="S809" s="94"/>
      <c r="T809" s="94"/>
      <c r="U809" s="94"/>
      <c r="V809" s="94"/>
    </row>
    <row r="810" ht="24.0" customHeight="1">
      <c r="A810" s="149"/>
      <c r="B810" s="150"/>
      <c r="C810" s="197"/>
      <c r="D810" s="198"/>
      <c r="E810" s="198"/>
      <c r="F810" s="199"/>
      <c r="G810" s="200"/>
      <c r="H810" s="201"/>
      <c r="I810" s="202"/>
      <c r="J810" s="201"/>
      <c r="K810" s="170"/>
      <c r="L810" s="171"/>
      <c r="M810" s="94"/>
      <c r="N810" s="94"/>
      <c r="O810" s="94"/>
      <c r="P810" s="94"/>
      <c r="Q810" s="94"/>
      <c r="R810" s="94"/>
      <c r="S810" s="94"/>
      <c r="T810" s="94"/>
      <c r="U810" s="94"/>
      <c r="V810" s="94"/>
    </row>
    <row r="811" ht="24.0" customHeight="1">
      <c r="A811" s="149"/>
      <c r="B811" s="150"/>
      <c r="C811" s="197"/>
      <c r="D811" s="198"/>
      <c r="E811" s="198"/>
      <c r="F811" s="199"/>
      <c r="G811" s="200"/>
      <c r="H811" s="201"/>
      <c r="I811" s="202"/>
      <c r="J811" s="201"/>
      <c r="K811" s="170"/>
      <c r="L811" s="171"/>
      <c r="M811" s="94"/>
      <c r="N811" s="94"/>
      <c r="O811" s="94"/>
      <c r="P811" s="94"/>
      <c r="Q811" s="94"/>
      <c r="R811" s="94"/>
      <c r="S811" s="94"/>
      <c r="T811" s="94"/>
      <c r="U811" s="94"/>
      <c r="V811" s="94"/>
    </row>
    <row r="812" ht="24.0" customHeight="1">
      <c r="A812" s="149"/>
      <c r="B812" s="150"/>
      <c r="C812" s="197"/>
      <c r="D812" s="198"/>
      <c r="E812" s="198"/>
      <c r="F812" s="199"/>
      <c r="G812" s="200"/>
      <c r="H812" s="201"/>
      <c r="I812" s="202"/>
      <c r="J812" s="201"/>
      <c r="K812" s="170"/>
      <c r="L812" s="171"/>
      <c r="M812" s="94"/>
      <c r="N812" s="94"/>
      <c r="O812" s="94"/>
      <c r="P812" s="94"/>
      <c r="Q812" s="94"/>
      <c r="R812" s="94"/>
      <c r="S812" s="94"/>
      <c r="T812" s="94"/>
      <c r="U812" s="94"/>
      <c r="V812" s="94"/>
    </row>
    <row r="813" ht="24.0" customHeight="1">
      <c r="A813" s="149"/>
      <c r="B813" s="150"/>
      <c r="C813" s="197"/>
      <c r="D813" s="198"/>
      <c r="E813" s="198"/>
      <c r="F813" s="199"/>
      <c r="G813" s="200"/>
      <c r="H813" s="201"/>
      <c r="I813" s="202"/>
      <c r="J813" s="201"/>
      <c r="K813" s="170"/>
      <c r="L813" s="171"/>
      <c r="M813" s="94"/>
      <c r="N813" s="94"/>
      <c r="O813" s="94"/>
      <c r="P813" s="94"/>
      <c r="Q813" s="94"/>
      <c r="R813" s="94"/>
      <c r="S813" s="94"/>
      <c r="T813" s="94"/>
      <c r="U813" s="94"/>
      <c r="V813" s="94"/>
    </row>
    <row r="814" ht="24.0" customHeight="1">
      <c r="A814" s="149"/>
      <c r="B814" s="150"/>
      <c r="C814" s="197"/>
      <c r="D814" s="198"/>
      <c r="E814" s="198"/>
      <c r="F814" s="199"/>
      <c r="G814" s="200"/>
      <c r="H814" s="201"/>
      <c r="I814" s="202"/>
      <c r="J814" s="201"/>
      <c r="K814" s="170"/>
      <c r="L814" s="171"/>
      <c r="M814" s="94"/>
      <c r="N814" s="94"/>
      <c r="O814" s="94"/>
      <c r="P814" s="94"/>
      <c r="Q814" s="94"/>
      <c r="R814" s="94"/>
      <c r="S814" s="94"/>
      <c r="T814" s="94"/>
      <c r="U814" s="94"/>
      <c r="V814" s="94"/>
    </row>
    <row r="815" ht="24.0" customHeight="1">
      <c r="A815" s="149"/>
      <c r="B815" s="150"/>
      <c r="C815" s="197"/>
      <c r="D815" s="198"/>
      <c r="E815" s="198"/>
      <c r="F815" s="199"/>
      <c r="G815" s="200"/>
      <c r="H815" s="201"/>
      <c r="I815" s="202"/>
      <c r="J815" s="201"/>
      <c r="K815" s="170"/>
      <c r="L815" s="171"/>
      <c r="M815" s="94"/>
      <c r="N815" s="94"/>
      <c r="O815" s="94"/>
      <c r="P815" s="94"/>
      <c r="Q815" s="94"/>
      <c r="R815" s="94"/>
      <c r="S815" s="94"/>
      <c r="T815" s="94"/>
      <c r="U815" s="94"/>
      <c r="V815" s="94"/>
    </row>
    <row r="816" ht="24.0" customHeight="1">
      <c r="A816" s="149"/>
      <c r="B816" s="150"/>
      <c r="C816" s="197"/>
      <c r="D816" s="198"/>
      <c r="E816" s="198"/>
      <c r="F816" s="199"/>
      <c r="G816" s="200"/>
      <c r="H816" s="201"/>
      <c r="I816" s="202"/>
      <c r="J816" s="201"/>
      <c r="K816" s="170"/>
      <c r="L816" s="171"/>
      <c r="M816" s="94"/>
      <c r="N816" s="94"/>
      <c r="O816" s="94"/>
      <c r="P816" s="94"/>
      <c r="Q816" s="94"/>
      <c r="R816" s="94"/>
      <c r="S816" s="94"/>
      <c r="T816" s="94"/>
      <c r="U816" s="94"/>
      <c r="V816" s="94"/>
    </row>
    <row r="817" ht="24.0" customHeight="1">
      <c r="A817" s="149"/>
      <c r="B817" s="150"/>
      <c r="C817" s="197"/>
      <c r="D817" s="198"/>
      <c r="E817" s="198"/>
      <c r="F817" s="199"/>
      <c r="G817" s="200"/>
      <c r="H817" s="201"/>
      <c r="I817" s="202"/>
      <c r="J817" s="201"/>
      <c r="K817" s="170"/>
      <c r="L817" s="171"/>
      <c r="M817" s="94"/>
      <c r="N817" s="94"/>
      <c r="O817" s="94"/>
      <c r="P817" s="94"/>
      <c r="Q817" s="94"/>
      <c r="R817" s="94"/>
      <c r="S817" s="94"/>
      <c r="T817" s="94"/>
      <c r="U817" s="94"/>
      <c r="V817" s="94"/>
    </row>
    <row r="818" ht="24.0" customHeight="1">
      <c r="A818" s="149"/>
      <c r="B818" s="150"/>
      <c r="C818" s="197"/>
      <c r="D818" s="198"/>
      <c r="E818" s="198"/>
      <c r="F818" s="199"/>
      <c r="G818" s="200"/>
      <c r="H818" s="201"/>
      <c r="I818" s="202"/>
      <c r="J818" s="201"/>
      <c r="K818" s="170"/>
      <c r="L818" s="171"/>
      <c r="M818" s="94"/>
      <c r="N818" s="94"/>
      <c r="O818" s="94"/>
      <c r="P818" s="94"/>
      <c r="Q818" s="94"/>
      <c r="R818" s="94"/>
      <c r="S818" s="94"/>
      <c r="T818" s="94"/>
      <c r="U818" s="94"/>
      <c r="V818" s="94"/>
    </row>
    <row r="819" ht="24.0" customHeight="1">
      <c r="A819" s="149"/>
      <c r="B819" s="150"/>
      <c r="C819" s="197"/>
      <c r="D819" s="198"/>
      <c r="E819" s="198"/>
      <c r="F819" s="199"/>
      <c r="G819" s="200"/>
      <c r="H819" s="201"/>
      <c r="I819" s="202"/>
      <c r="J819" s="201"/>
      <c r="K819" s="170"/>
      <c r="L819" s="171"/>
      <c r="M819" s="94"/>
      <c r="N819" s="94"/>
      <c r="O819" s="94"/>
      <c r="P819" s="94"/>
      <c r="Q819" s="94"/>
      <c r="R819" s="94"/>
      <c r="S819" s="94"/>
      <c r="T819" s="94"/>
      <c r="U819" s="94"/>
      <c r="V819" s="94"/>
    </row>
    <row r="820" ht="24.0" customHeight="1">
      <c r="A820" s="149"/>
      <c r="B820" s="150"/>
      <c r="C820" s="197"/>
      <c r="D820" s="198"/>
      <c r="E820" s="198"/>
      <c r="F820" s="199"/>
      <c r="G820" s="200"/>
      <c r="H820" s="201"/>
      <c r="I820" s="202"/>
      <c r="J820" s="201"/>
      <c r="K820" s="170"/>
      <c r="L820" s="171"/>
      <c r="M820" s="94"/>
      <c r="N820" s="94"/>
      <c r="O820" s="94"/>
      <c r="P820" s="94"/>
      <c r="Q820" s="94"/>
      <c r="R820" s="94"/>
      <c r="S820" s="94"/>
      <c r="T820" s="94"/>
      <c r="U820" s="94"/>
      <c r="V820" s="94"/>
    </row>
    <row r="821" ht="24.0" customHeight="1">
      <c r="A821" s="149"/>
      <c r="B821" s="150"/>
      <c r="C821" s="197"/>
      <c r="D821" s="198"/>
      <c r="E821" s="198"/>
      <c r="F821" s="199"/>
      <c r="G821" s="200"/>
      <c r="H821" s="201"/>
      <c r="I821" s="202"/>
      <c r="J821" s="201"/>
      <c r="K821" s="170"/>
      <c r="L821" s="171"/>
      <c r="M821" s="94"/>
      <c r="N821" s="94"/>
      <c r="O821" s="94"/>
      <c r="P821" s="94"/>
      <c r="Q821" s="94"/>
      <c r="R821" s="94"/>
      <c r="S821" s="94"/>
      <c r="T821" s="94"/>
      <c r="U821" s="94"/>
      <c r="V821" s="94"/>
    </row>
    <row r="822" ht="24.0" customHeight="1">
      <c r="A822" s="149"/>
      <c r="B822" s="150"/>
      <c r="C822" s="197"/>
      <c r="D822" s="198"/>
      <c r="E822" s="198"/>
      <c r="F822" s="199"/>
      <c r="G822" s="200"/>
      <c r="H822" s="201"/>
      <c r="I822" s="202"/>
      <c r="J822" s="201"/>
      <c r="K822" s="170"/>
      <c r="L822" s="171"/>
      <c r="M822" s="94"/>
      <c r="N822" s="94"/>
      <c r="O822" s="94"/>
      <c r="P822" s="94"/>
      <c r="Q822" s="94"/>
      <c r="R822" s="94"/>
      <c r="S822" s="94"/>
      <c r="T822" s="94"/>
      <c r="U822" s="94"/>
      <c r="V822" s="94"/>
    </row>
    <row r="823" ht="24.0" customHeight="1">
      <c r="A823" s="149"/>
      <c r="B823" s="150"/>
      <c r="C823" s="197"/>
      <c r="D823" s="198"/>
      <c r="E823" s="198"/>
      <c r="F823" s="199"/>
      <c r="G823" s="200"/>
      <c r="H823" s="201"/>
      <c r="I823" s="202"/>
      <c r="J823" s="201"/>
      <c r="K823" s="170"/>
      <c r="L823" s="171"/>
      <c r="M823" s="94"/>
      <c r="N823" s="94"/>
      <c r="O823" s="94"/>
      <c r="P823" s="94"/>
      <c r="Q823" s="94"/>
      <c r="R823" s="94"/>
      <c r="S823" s="94"/>
      <c r="T823" s="94"/>
      <c r="U823" s="94"/>
      <c r="V823" s="94"/>
    </row>
    <row r="824" ht="24.0" customHeight="1">
      <c r="A824" s="149"/>
      <c r="B824" s="150"/>
      <c r="C824" s="197"/>
      <c r="D824" s="198"/>
      <c r="E824" s="198"/>
      <c r="F824" s="199"/>
      <c r="G824" s="200"/>
      <c r="H824" s="201"/>
      <c r="I824" s="202"/>
      <c r="J824" s="201"/>
      <c r="K824" s="170"/>
      <c r="L824" s="171"/>
      <c r="M824" s="94"/>
      <c r="N824" s="94"/>
      <c r="O824" s="94"/>
      <c r="P824" s="94"/>
      <c r="Q824" s="94"/>
      <c r="R824" s="94"/>
      <c r="S824" s="94"/>
      <c r="T824" s="94"/>
      <c r="U824" s="94"/>
      <c r="V824" s="94"/>
    </row>
    <row r="825" ht="24.0" customHeight="1">
      <c r="A825" s="149"/>
      <c r="B825" s="150"/>
      <c r="C825" s="197"/>
      <c r="D825" s="198"/>
      <c r="E825" s="198"/>
      <c r="F825" s="199"/>
      <c r="G825" s="200"/>
      <c r="H825" s="201"/>
      <c r="I825" s="202"/>
      <c r="J825" s="201"/>
      <c r="K825" s="170"/>
      <c r="L825" s="171"/>
      <c r="M825" s="94"/>
      <c r="N825" s="94"/>
      <c r="O825" s="94"/>
      <c r="P825" s="94"/>
      <c r="Q825" s="94"/>
      <c r="R825" s="94"/>
      <c r="S825" s="94"/>
      <c r="T825" s="94"/>
      <c r="U825" s="94"/>
      <c r="V825" s="94"/>
    </row>
    <row r="826" ht="24.0" customHeight="1">
      <c r="A826" s="149"/>
      <c r="B826" s="150"/>
      <c r="C826" s="197"/>
      <c r="D826" s="198"/>
      <c r="E826" s="198"/>
      <c r="F826" s="199"/>
      <c r="G826" s="200"/>
      <c r="H826" s="201"/>
      <c r="I826" s="202"/>
      <c r="J826" s="201"/>
      <c r="K826" s="170"/>
      <c r="L826" s="171"/>
      <c r="M826" s="94"/>
      <c r="N826" s="94"/>
      <c r="O826" s="94"/>
      <c r="P826" s="94"/>
      <c r="Q826" s="94"/>
      <c r="R826" s="94"/>
      <c r="S826" s="94"/>
      <c r="T826" s="94"/>
      <c r="U826" s="94"/>
      <c r="V826" s="94"/>
    </row>
    <row r="827" ht="24.0" customHeight="1">
      <c r="A827" s="149"/>
      <c r="B827" s="150"/>
      <c r="C827" s="197"/>
      <c r="D827" s="198"/>
      <c r="E827" s="198"/>
      <c r="F827" s="199"/>
      <c r="G827" s="200"/>
      <c r="H827" s="201"/>
      <c r="I827" s="202"/>
      <c r="J827" s="201"/>
      <c r="K827" s="170"/>
      <c r="L827" s="171"/>
      <c r="M827" s="94"/>
      <c r="N827" s="94"/>
      <c r="O827" s="94"/>
      <c r="P827" s="94"/>
      <c r="Q827" s="94"/>
      <c r="R827" s="94"/>
      <c r="S827" s="94"/>
      <c r="T827" s="94"/>
      <c r="U827" s="94"/>
      <c r="V827" s="94"/>
    </row>
    <row r="828" ht="24.0" customHeight="1">
      <c r="A828" s="149"/>
      <c r="B828" s="150"/>
      <c r="C828" s="197"/>
      <c r="D828" s="198"/>
      <c r="E828" s="198"/>
      <c r="F828" s="199"/>
      <c r="G828" s="200"/>
      <c r="H828" s="201"/>
      <c r="I828" s="202"/>
      <c r="J828" s="201"/>
      <c r="K828" s="170"/>
      <c r="L828" s="171"/>
      <c r="M828" s="94"/>
      <c r="N828" s="94"/>
      <c r="O828" s="94"/>
      <c r="P828" s="94"/>
      <c r="Q828" s="94"/>
      <c r="R828" s="94"/>
      <c r="S828" s="94"/>
      <c r="T828" s="94"/>
      <c r="U828" s="94"/>
      <c r="V828" s="94"/>
    </row>
    <row r="829" ht="24.0" customHeight="1">
      <c r="A829" s="149"/>
      <c r="B829" s="150"/>
      <c r="C829" s="197"/>
      <c r="D829" s="198"/>
      <c r="E829" s="198"/>
      <c r="F829" s="199"/>
      <c r="G829" s="200"/>
      <c r="H829" s="201"/>
      <c r="I829" s="202"/>
      <c r="J829" s="201"/>
      <c r="K829" s="170"/>
      <c r="L829" s="171"/>
      <c r="M829" s="94"/>
      <c r="N829" s="94"/>
      <c r="O829" s="94"/>
      <c r="P829" s="94"/>
      <c r="Q829" s="94"/>
      <c r="R829" s="94"/>
      <c r="S829" s="94"/>
      <c r="T829" s="94"/>
      <c r="U829" s="94"/>
      <c r="V829" s="94"/>
    </row>
    <row r="830" ht="24.0" customHeight="1">
      <c r="A830" s="149"/>
      <c r="B830" s="150"/>
      <c r="C830" s="197"/>
      <c r="D830" s="198"/>
      <c r="E830" s="198"/>
      <c r="F830" s="199"/>
      <c r="G830" s="200"/>
      <c r="H830" s="201"/>
      <c r="I830" s="202"/>
      <c r="J830" s="201"/>
      <c r="K830" s="170"/>
      <c r="L830" s="171"/>
      <c r="M830" s="94"/>
      <c r="N830" s="94"/>
      <c r="O830" s="94"/>
      <c r="P830" s="94"/>
      <c r="Q830" s="94"/>
      <c r="R830" s="94"/>
      <c r="S830" s="94"/>
      <c r="T830" s="94"/>
      <c r="U830" s="94"/>
      <c r="V830" s="94"/>
    </row>
    <row r="831" ht="24.0" customHeight="1">
      <c r="A831" s="149"/>
      <c r="B831" s="150"/>
      <c r="C831" s="197"/>
      <c r="D831" s="198"/>
      <c r="E831" s="198"/>
      <c r="F831" s="199"/>
      <c r="G831" s="200"/>
      <c r="H831" s="201"/>
      <c r="I831" s="202"/>
      <c r="J831" s="201"/>
      <c r="K831" s="170"/>
      <c r="L831" s="171"/>
      <c r="M831" s="94"/>
      <c r="N831" s="94"/>
      <c r="O831" s="94"/>
      <c r="P831" s="94"/>
      <c r="Q831" s="94"/>
      <c r="R831" s="94"/>
      <c r="S831" s="94"/>
      <c r="T831" s="94"/>
      <c r="U831" s="94"/>
      <c r="V831" s="94"/>
    </row>
    <row r="832" ht="24.0" customHeight="1">
      <c r="A832" s="149"/>
      <c r="B832" s="150"/>
      <c r="C832" s="197"/>
      <c r="D832" s="198"/>
      <c r="E832" s="198"/>
      <c r="F832" s="199"/>
      <c r="G832" s="200"/>
      <c r="H832" s="201"/>
      <c r="I832" s="202"/>
      <c r="J832" s="201"/>
      <c r="K832" s="170"/>
      <c r="L832" s="171"/>
      <c r="M832" s="94"/>
      <c r="N832" s="94"/>
      <c r="O832" s="94"/>
      <c r="P832" s="94"/>
      <c r="Q832" s="94"/>
      <c r="R832" s="94"/>
      <c r="S832" s="94"/>
      <c r="T832" s="94"/>
      <c r="U832" s="94"/>
      <c r="V832" s="94"/>
    </row>
    <row r="833" ht="24.0" customHeight="1">
      <c r="A833" s="149"/>
      <c r="B833" s="150"/>
      <c r="C833" s="197"/>
      <c r="D833" s="198"/>
      <c r="E833" s="198"/>
      <c r="F833" s="199"/>
      <c r="G833" s="200"/>
      <c r="H833" s="201"/>
      <c r="I833" s="202"/>
      <c r="J833" s="201"/>
      <c r="K833" s="170"/>
      <c r="L833" s="171"/>
      <c r="M833" s="94"/>
      <c r="N833" s="94"/>
      <c r="O833" s="94"/>
      <c r="P833" s="94"/>
      <c r="Q833" s="94"/>
      <c r="R833" s="94"/>
      <c r="S833" s="94"/>
      <c r="T833" s="94"/>
      <c r="U833" s="94"/>
      <c r="V833" s="94"/>
    </row>
    <row r="834" ht="24.0" customHeight="1">
      <c r="A834" s="149"/>
      <c r="B834" s="150"/>
      <c r="C834" s="197"/>
      <c r="D834" s="198"/>
      <c r="E834" s="198"/>
      <c r="F834" s="199"/>
      <c r="G834" s="200"/>
      <c r="H834" s="201"/>
      <c r="I834" s="202"/>
      <c r="J834" s="201"/>
      <c r="K834" s="170"/>
      <c r="L834" s="171"/>
      <c r="M834" s="94"/>
      <c r="N834" s="94"/>
      <c r="O834" s="94"/>
      <c r="P834" s="94"/>
      <c r="Q834" s="94"/>
      <c r="R834" s="94"/>
      <c r="S834" s="94"/>
      <c r="T834" s="94"/>
      <c r="U834" s="94"/>
      <c r="V834" s="94"/>
    </row>
    <row r="835" ht="24.0" customHeight="1">
      <c r="A835" s="149"/>
      <c r="B835" s="150"/>
      <c r="C835" s="197"/>
      <c r="D835" s="198"/>
      <c r="E835" s="198"/>
      <c r="F835" s="199"/>
      <c r="G835" s="200"/>
      <c r="H835" s="201"/>
      <c r="I835" s="202"/>
      <c r="J835" s="201"/>
      <c r="K835" s="170"/>
      <c r="L835" s="171"/>
      <c r="M835" s="94"/>
      <c r="N835" s="94"/>
      <c r="O835" s="94"/>
      <c r="P835" s="94"/>
      <c r="Q835" s="94"/>
      <c r="R835" s="94"/>
      <c r="S835" s="94"/>
      <c r="T835" s="94"/>
      <c r="U835" s="94"/>
      <c r="V835" s="94"/>
    </row>
    <row r="836" ht="24.0" customHeight="1">
      <c r="A836" s="149"/>
      <c r="B836" s="150"/>
      <c r="C836" s="197"/>
      <c r="D836" s="198"/>
      <c r="E836" s="198"/>
      <c r="F836" s="199"/>
      <c r="G836" s="200"/>
      <c r="H836" s="201"/>
      <c r="I836" s="202"/>
      <c r="J836" s="201"/>
      <c r="K836" s="170"/>
      <c r="L836" s="171"/>
      <c r="M836" s="94"/>
      <c r="N836" s="94"/>
      <c r="O836" s="94"/>
      <c r="P836" s="94"/>
      <c r="Q836" s="94"/>
      <c r="R836" s="94"/>
      <c r="S836" s="94"/>
      <c r="T836" s="94"/>
      <c r="U836" s="94"/>
      <c r="V836" s="94"/>
    </row>
    <row r="837" ht="24.0" customHeight="1">
      <c r="A837" s="149"/>
      <c r="B837" s="150"/>
      <c r="C837" s="197"/>
      <c r="D837" s="198"/>
      <c r="E837" s="198"/>
      <c r="F837" s="199"/>
      <c r="G837" s="200"/>
      <c r="H837" s="201"/>
      <c r="I837" s="202"/>
      <c r="J837" s="201"/>
      <c r="K837" s="170"/>
      <c r="L837" s="171"/>
      <c r="M837" s="94"/>
      <c r="N837" s="94"/>
      <c r="O837" s="94"/>
      <c r="P837" s="94"/>
      <c r="Q837" s="94"/>
      <c r="R837" s="94"/>
      <c r="S837" s="94"/>
      <c r="T837" s="94"/>
      <c r="U837" s="94"/>
      <c r="V837" s="94"/>
    </row>
    <row r="838" ht="24.0" customHeight="1">
      <c r="A838" s="149"/>
      <c r="B838" s="150"/>
      <c r="C838" s="197"/>
      <c r="D838" s="198"/>
      <c r="E838" s="198"/>
      <c r="F838" s="199"/>
      <c r="G838" s="200"/>
      <c r="H838" s="201"/>
      <c r="I838" s="202"/>
      <c r="J838" s="201"/>
      <c r="K838" s="170"/>
      <c r="L838" s="171"/>
      <c r="M838" s="94"/>
      <c r="N838" s="94"/>
      <c r="O838" s="94"/>
      <c r="P838" s="94"/>
      <c r="Q838" s="94"/>
      <c r="R838" s="94"/>
      <c r="S838" s="94"/>
      <c r="T838" s="94"/>
      <c r="U838" s="94"/>
      <c r="V838" s="94"/>
    </row>
    <row r="839" ht="24.0" customHeight="1">
      <c r="A839" s="149"/>
      <c r="B839" s="150"/>
      <c r="C839" s="197"/>
      <c r="D839" s="198"/>
      <c r="E839" s="198"/>
      <c r="F839" s="199"/>
      <c r="G839" s="200"/>
      <c r="H839" s="201"/>
      <c r="I839" s="202"/>
      <c r="J839" s="201"/>
      <c r="K839" s="170"/>
      <c r="L839" s="171"/>
      <c r="M839" s="94"/>
      <c r="N839" s="94"/>
      <c r="O839" s="94"/>
      <c r="P839" s="94"/>
      <c r="Q839" s="94"/>
      <c r="R839" s="94"/>
      <c r="S839" s="94"/>
      <c r="T839" s="94"/>
      <c r="U839" s="94"/>
      <c r="V839" s="94"/>
    </row>
    <row r="840" ht="24.0" customHeight="1">
      <c r="A840" s="149"/>
      <c r="B840" s="150"/>
      <c r="C840" s="197"/>
      <c r="D840" s="198"/>
      <c r="E840" s="198"/>
      <c r="F840" s="199"/>
      <c r="G840" s="200"/>
      <c r="H840" s="201"/>
      <c r="I840" s="202"/>
      <c r="J840" s="201"/>
      <c r="K840" s="170"/>
      <c r="L840" s="171"/>
      <c r="M840" s="94"/>
      <c r="N840" s="94"/>
      <c r="O840" s="94"/>
      <c r="P840" s="94"/>
      <c r="Q840" s="94"/>
      <c r="R840" s="94"/>
      <c r="S840" s="94"/>
      <c r="T840" s="94"/>
      <c r="U840" s="94"/>
      <c r="V840" s="94"/>
    </row>
    <row r="841" ht="24.0" customHeight="1">
      <c r="A841" s="149"/>
      <c r="B841" s="150"/>
      <c r="C841" s="197"/>
      <c r="D841" s="198"/>
      <c r="E841" s="198"/>
      <c r="F841" s="199"/>
      <c r="G841" s="200"/>
      <c r="H841" s="201"/>
      <c r="I841" s="202"/>
      <c r="J841" s="201"/>
      <c r="K841" s="170"/>
      <c r="L841" s="171"/>
      <c r="M841" s="94"/>
      <c r="N841" s="94"/>
      <c r="O841" s="94"/>
      <c r="P841" s="94"/>
      <c r="Q841" s="94"/>
      <c r="R841" s="94"/>
      <c r="S841" s="94"/>
      <c r="T841" s="94"/>
      <c r="U841" s="94"/>
      <c r="V841" s="94"/>
    </row>
    <row r="842" ht="24.0" customHeight="1">
      <c r="A842" s="149"/>
      <c r="B842" s="150"/>
      <c r="C842" s="197"/>
      <c r="D842" s="198"/>
      <c r="E842" s="198"/>
      <c r="F842" s="199"/>
      <c r="G842" s="200"/>
      <c r="H842" s="201"/>
      <c r="I842" s="202"/>
      <c r="J842" s="201"/>
      <c r="K842" s="170"/>
      <c r="L842" s="171"/>
      <c r="M842" s="94"/>
      <c r="N842" s="94"/>
      <c r="O842" s="94"/>
      <c r="P842" s="94"/>
      <c r="Q842" s="94"/>
      <c r="R842" s="94"/>
      <c r="S842" s="94"/>
      <c r="T842" s="94"/>
      <c r="U842" s="94"/>
      <c r="V842" s="94"/>
    </row>
    <row r="843" ht="24.0" customHeight="1">
      <c r="A843" s="149"/>
      <c r="B843" s="150"/>
      <c r="C843" s="197"/>
      <c r="D843" s="198"/>
      <c r="E843" s="198"/>
      <c r="F843" s="199"/>
      <c r="G843" s="200"/>
      <c r="H843" s="201"/>
      <c r="I843" s="202"/>
      <c r="J843" s="201"/>
      <c r="K843" s="170"/>
      <c r="L843" s="171"/>
      <c r="M843" s="94"/>
      <c r="N843" s="94"/>
      <c r="O843" s="94"/>
      <c r="P843" s="94"/>
      <c r="Q843" s="94"/>
      <c r="R843" s="94"/>
      <c r="S843" s="94"/>
      <c r="T843" s="94"/>
      <c r="U843" s="94"/>
      <c r="V843" s="94"/>
    </row>
    <row r="844" ht="24.0" customHeight="1">
      <c r="A844" s="149"/>
      <c r="B844" s="150"/>
      <c r="C844" s="197"/>
      <c r="D844" s="198"/>
      <c r="E844" s="198"/>
      <c r="F844" s="199"/>
      <c r="G844" s="200"/>
      <c r="H844" s="201"/>
      <c r="I844" s="202"/>
      <c r="J844" s="201"/>
      <c r="K844" s="170"/>
      <c r="L844" s="171"/>
      <c r="M844" s="94"/>
      <c r="N844" s="94"/>
      <c r="O844" s="94"/>
      <c r="P844" s="94"/>
      <c r="Q844" s="94"/>
      <c r="R844" s="94"/>
      <c r="S844" s="94"/>
      <c r="T844" s="94"/>
      <c r="U844" s="94"/>
      <c r="V844" s="94"/>
    </row>
    <row r="845" ht="24.0" customHeight="1">
      <c r="A845" s="149"/>
      <c r="B845" s="150"/>
      <c r="C845" s="197"/>
      <c r="D845" s="198"/>
      <c r="E845" s="198"/>
      <c r="F845" s="199"/>
      <c r="G845" s="200"/>
      <c r="H845" s="201"/>
      <c r="I845" s="202"/>
      <c r="J845" s="201"/>
      <c r="K845" s="170"/>
      <c r="L845" s="171"/>
      <c r="M845" s="94"/>
      <c r="N845" s="94"/>
      <c r="O845" s="94"/>
      <c r="P845" s="94"/>
      <c r="Q845" s="94"/>
      <c r="R845" s="94"/>
      <c r="S845" s="94"/>
      <c r="T845" s="94"/>
      <c r="U845" s="94"/>
      <c r="V845" s="94"/>
    </row>
    <row r="846" ht="24.0" customHeight="1">
      <c r="A846" s="149"/>
      <c r="B846" s="150"/>
      <c r="C846" s="197"/>
      <c r="D846" s="198"/>
      <c r="E846" s="198"/>
      <c r="F846" s="199"/>
      <c r="G846" s="200"/>
      <c r="H846" s="201"/>
      <c r="I846" s="202"/>
      <c r="J846" s="201"/>
      <c r="K846" s="170"/>
      <c r="L846" s="171"/>
      <c r="M846" s="94"/>
      <c r="N846" s="94"/>
      <c r="O846" s="94"/>
      <c r="P846" s="94"/>
      <c r="Q846" s="94"/>
      <c r="R846" s="94"/>
      <c r="S846" s="94"/>
      <c r="T846" s="94"/>
      <c r="U846" s="94"/>
      <c r="V846" s="94"/>
    </row>
    <row r="847" ht="24.0" customHeight="1">
      <c r="A847" s="149"/>
      <c r="B847" s="150"/>
      <c r="C847" s="197"/>
      <c r="D847" s="198"/>
      <c r="E847" s="198"/>
      <c r="F847" s="199"/>
      <c r="G847" s="200"/>
      <c r="H847" s="201"/>
      <c r="I847" s="202"/>
      <c r="J847" s="201"/>
      <c r="K847" s="170"/>
      <c r="L847" s="171"/>
      <c r="M847" s="94"/>
      <c r="N847" s="94"/>
      <c r="O847" s="94"/>
      <c r="P847" s="94"/>
      <c r="Q847" s="94"/>
      <c r="R847" s="94"/>
      <c r="S847" s="94"/>
      <c r="T847" s="94"/>
      <c r="U847" s="94"/>
      <c r="V847" s="94"/>
    </row>
    <row r="848" ht="24.0" customHeight="1">
      <c r="A848" s="149"/>
      <c r="B848" s="150"/>
      <c r="C848" s="197"/>
      <c r="D848" s="198"/>
      <c r="E848" s="198"/>
      <c r="F848" s="199"/>
      <c r="G848" s="200"/>
      <c r="H848" s="201"/>
      <c r="I848" s="202"/>
      <c r="J848" s="201"/>
      <c r="K848" s="170"/>
      <c r="L848" s="171"/>
      <c r="M848" s="94"/>
      <c r="N848" s="94"/>
      <c r="O848" s="94"/>
      <c r="P848" s="94"/>
      <c r="Q848" s="94"/>
      <c r="R848" s="94"/>
      <c r="S848" s="94"/>
      <c r="T848" s="94"/>
      <c r="U848" s="94"/>
      <c r="V848" s="94"/>
    </row>
    <row r="849" ht="24.0" customHeight="1">
      <c r="A849" s="149"/>
      <c r="B849" s="150"/>
      <c r="C849" s="197"/>
      <c r="D849" s="198"/>
      <c r="E849" s="198"/>
      <c r="F849" s="199"/>
      <c r="G849" s="200"/>
      <c r="H849" s="201"/>
      <c r="I849" s="202"/>
      <c r="J849" s="201"/>
      <c r="K849" s="170"/>
      <c r="L849" s="171"/>
      <c r="M849" s="94"/>
      <c r="N849" s="94"/>
      <c r="O849" s="94"/>
      <c r="P849" s="94"/>
      <c r="Q849" s="94"/>
      <c r="R849" s="94"/>
      <c r="S849" s="94"/>
      <c r="T849" s="94"/>
      <c r="U849" s="94"/>
      <c r="V849" s="94"/>
    </row>
    <row r="850" ht="24.0" customHeight="1">
      <c r="A850" s="149"/>
      <c r="B850" s="150"/>
      <c r="C850" s="197"/>
      <c r="D850" s="198"/>
      <c r="E850" s="198"/>
      <c r="F850" s="199"/>
      <c r="G850" s="200"/>
      <c r="H850" s="201"/>
      <c r="I850" s="202"/>
      <c r="J850" s="201"/>
      <c r="K850" s="170"/>
      <c r="L850" s="171"/>
      <c r="M850" s="94"/>
      <c r="N850" s="94"/>
      <c r="O850" s="94"/>
      <c r="P850" s="94"/>
      <c r="Q850" s="94"/>
      <c r="R850" s="94"/>
      <c r="S850" s="94"/>
      <c r="T850" s="94"/>
      <c r="U850" s="94"/>
      <c r="V850" s="94"/>
    </row>
    <row r="851" ht="24.0" customHeight="1">
      <c r="A851" s="149"/>
      <c r="B851" s="150"/>
      <c r="C851" s="197"/>
      <c r="D851" s="198"/>
      <c r="E851" s="198"/>
      <c r="F851" s="199"/>
      <c r="G851" s="200"/>
      <c r="H851" s="201"/>
      <c r="I851" s="202"/>
      <c r="J851" s="201"/>
      <c r="K851" s="170"/>
      <c r="L851" s="171"/>
      <c r="M851" s="94"/>
      <c r="N851" s="94"/>
      <c r="O851" s="94"/>
      <c r="P851" s="94"/>
      <c r="Q851" s="94"/>
      <c r="R851" s="94"/>
      <c r="S851" s="94"/>
      <c r="T851" s="94"/>
      <c r="U851" s="94"/>
      <c r="V851" s="94"/>
    </row>
    <row r="852" ht="24.0" customHeight="1">
      <c r="A852" s="149"/>
      <c r="B852" s="150"/>
      <c r="C852" s="197"/>
      <c r="D852" s="198"/>
      <c r="E852" s="198"/>
      <c r="F852" s="199"/>
      <c r="G852" s="200"/>
      <c r="H852" s="201"/>
      <c r="I852" s="202"/>
      <c r="J852" s="201"/>
      <c r="K852" s="170"/>
      <c r="L852" s="171"/>
      <c r="M852" s="94"/>
      <c r="N852" s="94"/>
      <c r="O852" s="94"/>
      <c r="P852" s="94"/>
      <c r="Q852" s="94"/>
      <c r="R852" s="94"/>
      <c r="S852" s="94"/>
      <c r="T852" s="94"/>
      <c r="U852" s="94"/>
      <c r="V852" s="94"/>
    </row>
    <row r="853" ht="24.0" customHeight="1">
      <c r="A853" s="149"/>
      <c r="B853" s="150"/>
      <c r="C853" s="197"/>
      <c r="D853" s="198"/>
      <c r="E853" s="198"/>
      <c r="F853" s="199"/>
      <c r="G853" s="200"/>
      <c r="H853" s="201"/>
      <c r="I853" s="202"/>
      <c r="J853" s="201"/>
      <c r="K853" s="170"/>
      <c r="L853" s="171"/>
      <c r="M853" s="94"/>
      <c r="N853" s="94"/>
      <c r="O853" s="94"/>
      <c r="P853" s="94"/>
      <c r="Q853" s="94"/>
      <c r="R853" s="94"/>
      <c r="S853" s="94"/>
      <c r="T853" s="94"/>
      <c r="U853" s="94"/>
      <c r="V853" s="94"/>
    </row>
    <row r="854" ht="24.0" customHeight="1">
      <c r="A854" s="149"/>
      <c r="B854" s="150"/>
      <c r="C854" s="197"/>
      <c r="D854" s="198"/>
      <c r="E854" s="198"/>
      <c r="F854" s="199"/>
      <c r="G854" s="200"/>
      <c r="H854" s="201"/>
      <c r="I854" s="202"/>
      <c r="J854" s="201"/>
      <c r="K854" s="170"/>
      <c r="L854" s="171"/>
      <c r="M854" s="94"/>
      <c r="N854" s="94"/>
      <c r="O854" s="94"/>
      <c r="P854" s="94"/>
      <c r="Q854" s="94"/>
      <c r="R854" s="94"/>
      <c r="S854" s="94"/>
      <c r="T854" s="94"/>
      <c r="U854" s="94"/>
      <c r="V854" s="94"/>
    </row>
    <row r="855" ht="24.0" customHeight="1">
      <c r="A855" s="149"/>
      <c r="B855" s="150"/>
      <c r="C855" s="197"/>
      <c r="D855" s="198"/>
      <c r="E855" s="198"/>
      <c r="F855" s="199"/>
      <c r="G855" s="200"/>
      <c r="H855" s="201"/>
      <c r="I855" s="202"/>
      <c r="J855" s="201"/>
      <c r="K855" s="170"/>
      <c r="L855" s="171"/>
      <c r="M855" s="94"/>
      <c r="N855" s="94"/>
      <c r="O855" s="94"/>
      <c r="P855" s="94"/>
      <c r="Q855" s="94"/>
      <c r="R855" s="94"/>
      <c r="S855" s="94"/>
      <c r="T855" s="94"/>
      <c r="U855" s="94"/>
      <c r="V855" s="94"/>
    </row>
    <row r="856" ht="24.0" customHeight="1">
      <c r="A856" s="149"/>
      <c r="B856" s="150"/>
      <c r="C856" s="197"/>
      <c r="D856" s="198"/>
      <c r="E856" s="198"/>
      <c r="F856" s="199"/>
      <c r="G856" s="200"/>
      <c r="H856" s="201"/>
      <c r="I856" s="202"/>
      <c r="J856" s="201"/>
      <c r="K856" s="170"/>
      <c r="L856" s="171"/>
      <c r="M856" s="94"/>
      <c r="N856" s="94"/>
      <c r="O856" s="94"/>
      <c r="P856" s="94"/>
      <c r="Q856" s="94"/>
      <c r="R856" s="94"/>
      <c r="S856" s="94"/>
      <c r="T856" s="94"/>
      <c r="U856" s="94"/>
      <c r="V856" s="94"/>
    </row>
    <row r="857" ht="24.0" customHeight="1">
      <c r="A857" s="149"/>
      <c r="B857" s="150"/>
      <c r="C857" s="197"/>
      <c r="D857" s="198"/>
      <c r="E857" s="198"/>
      <c r="F857" s="199"/>
      <c r="G857" s="200"/>
      <c r="H857" s="201"/>
      <c r="I857" s="202"/>
      <c r="J857" s="201"/>
      <c r="K857" s="170"/>
      <c r="L857" s="171"/>
      <c r="M857" s="94"/>
      <c r="N857" s="94"/>
      <c r="O857" s="94"/>
      <c r="P857" s="94"/>
      <c r="Q857" s="94"/>
      <c r="R857" s="94"/>
      <c r="S857" s="94"/>
      <c r="T857" s="94"/>
      <c r="U857" s="94"/>
      <c r="V857" s="94"/>
    </row>
    <row r="858" ht="24.0" customHeight="1">
      <c r="A858" s="149"/>
      <c r="B858" s="150"/>
      <c r="C858" s="197"/>
      <c r="D858" s="198"/>
      <c r="E858" s="198"/>
      <c r="F858" s="199"/>
      <c r="G858" s="200"/>
      <c r="H858" s="201"/>
      <c r="I858" s="202"/>
      <c r="J858" s="201"/>
      <c r="K858" s="170"/>
      <c r="L858" s="171"/>
      <c r="M858" s="94"/>
      <c r="N858" s="94"/>
      <c r="O858" s="94"/>
      <c r="P858" s="94"/>
      <c r="Q858" s="94"/>
      <c r="R858" s="94"/>
      <c r="S858" s="94"/>
      <c r="T858" s="94"/>
      <c r="U858" s="94"/>
      <c r="V858" s="94"/>
    </row>
    <row r="859" ht="24.0" customHeight="1">
      <c r="A859" s="149"/>
      <c r="B859" s="150"/>
      <c r="C859" s="197"/>
      <c r="D859" s="198"/>
      <c r="E859" s="198"/>
      <c r="F859" s="199"/>
      <c r="G859" s="200"/>
      <c r="H859" s="201"/>
      <c r="I859" s="202"/>
      <c r="J859" s="201"/>
      <c r="K859" s="170"/>
      <c r="L859" s="171"/>
      <c r="M859" s="94"/>
      <c r="N859" s="94"/>
      <c r="O859" s="94"/>
      <c r="P859" s="94"/>
      <c r="Q859" s="94"/>
      <c r="R859" s="94"/>
      <c r="S859" s="94"/>
      <c r="T859" s="94"/>
      <c r="U859" s="94"/>
      <c r="V859" s="94"/>
    </row>
    <row r="860" ht="24.0" customHeight="1">
      <c r="A860" s="149"/>
      <c r="B860" s="150"/>
      <c r="C860" s="197"/>
      <c r="D860" s="198"/>
      <c r="E860" s="198"/>
      <c r="F860" s="199"/>
      <c r="G860" s="200"/>
      <c r="H860" s="201"/>
      <c r="I860" s="202"/>
      <c r="J860" s="201"/>
      <c r="K860" s="170"/>
      <c r="L860" s="171"/>
      <c r="M860" s="94"/>
      <c r="N860" s="94"/>
      <c r="O860" s="94"/>
      <c r="P860" s="94"/>
      <c r="Q860" s="94"/>
      <c r="R860" s="94"/>
      <c r="S860" s="94"/>
      <c r="T860" s="94"/>
      <c r="U860" s="94"/>
      <c r="V860" s="94"/>
    </row>
    <row r="861" ht="24.0" customHeight="1">
      <c r="A861" s="149"/>
      <c r="B861" s="150"/>
      <c r="C861" s="197"/>
      <c r="D861" s="198"/>
      <c r="E861" s="198"/>
      <c r="F861" s="199"/>
      <c r="G861" s="200"/>
      <c r="H861" s="201"/>
      <c r="I861" s="202"/>
      <c r="J861" s="201"/>
      <c r="K861" s="170"/>
      <c r="L861" s="171"/>
      <c r="M861" s="94"/>
      <c r="N861" s="94"/>
      <c r="O861" s="94"/>
      <c r="P861" s="94"/>
      <c r="Q861" s="94"/>
      <c r="R861" s="94"/>
      <c r="S861" s="94"/>
      <c r="T861" s="94"/>
      <c r="U861" s="94"/>
      <c r="V861" s="94"/>
    </row>
    <row r="862" ht="24.0" customHeight="1">
      <c r="A862" s="149"/>
      <c r="B862" s="150"/>
      <c r="C862" s="197"/>
      <c r="D862" s="198"/>
      <c r="E862" s="198"/>
      <c r="F862" s="199"/>
      <c r="G862" s="200"/>
      <c r="H862" s="201"/>
      <c r="I862" s="202"/>
      <c r="J862" s="201"/>
      <c r="K862" s="170"/>
      <c r="L862" s="171"/>
      <c r="M862" s="94"/>
      <c r="N862" s="94"/>
      <c r="O862" s="94"/>
      <c r="P862" s="94"/>
      <c r="Q862" s="94"/>
      <c r="R862" s="94"/>
      <c r="S862" s="94"/>
      <c r="T862" s="94"/>
      <c r="U862" s="94"/>
      <c r="V862" s="94"/>
    </row>
    <row r="863" ht="24.0" customHeight="1">
      <c r="A863" s="149"/>
      <c r="B863" s="150"/>
      <c r="C863" s="197"/>
      <c r="D863" s="198"/>
      <c r="E863" s="198"/>
      <c r="F863" s="199"/>
      <c r="G863" s="200"/>
      <c r="H863" s="201"/>
      <c r="I863" s="202"/>
      <c r="J863" s="201"/>
      <c r="K863" s="170"/>
      <c r="L863" s="171"/>
      <c r="M863" s="94"/>
      <c r="N863" s="94"/>
      <c r="O863" s="94"/>
      <c r="P863" s="94"/>
      <c r="Q863" s="94"/>
      <c r="R863" s="94"/>
      <c r="S863" s="94"/>
      <c r="T863" s="94"/>
      <c r="U863" s="94"/>
      <c r="V863" s="94"/>
    </row>
    <row r="864" ht="24.0" customHeight="1">
      <c r="A864" s="149"/>
      <c r="B864" s="150"/>
      <c r="C864" s="197"/>
      <c r="D864" s="198"/>
      <c r="E864" s="198"/>
      <c r="F864" s="199"/>
      <c r="G864" s="200"/>
      <c r="H864" s="201"/>
      <c r="I864" s="202"/>
      <c r="J864" s="201"/>
      <c r="K864" s="170"/>
      <c r="L864" s="171"/>
      <c r="M864" s="94"/>
      <c r="N864" s="94"/>
      <c r="O864" s="94"/>
      <c r="P864" s="94"/>
      <c r="Q864" s="94"/>
      <c r="R864" s="94"/>
      <c r="S864" s="94"/>
      <c r="T864" s="94"/>
      <c r="U864" s="94"/>
      <c r="V864" s="94"/>
    </row>
    <row r="865" ht="24.0" customHeight="1">
      <c r="A865" s="149"/>
      <c r="B865" s="150"/>
      <c r="C865" s="197"/>
      <c r="D865" s="198"/>
      <c r="E865" s="198"/>
      <c r="F865" s="199"/>
      <c r="G865" s="200"/>
      <c r="H865" s="201"/>
      <c r="I865" s="202"/>
      <c r="J865" s="201"/>
      <c r="K865" s="170"/>
      <c r="L865" s="171"/>
      <c r="M865" s="94"/>
      <c r="N865" s="94"/>
      <c r="O865" s="94"/>
      <c r="P865" s="94"/>
      <c r="Q865" s="94"/>
      <c r="R865" s="94"/>
      <c r="S865" s="94"/>
      <c r="T865" s="94"/>
      <c r="U865" s="94"/>
      <c r="V865" s="94"/>
    </row>
    <row r="866" ht="24.0" customHeight="1">
      <c r="A866" s="149"/>
      <c r="B866" s="150"/>
      <c r="C866" s="197"/>
      <c r="D866" s="198"/>
      <c r="E866" s="198"/>
      <c r="F866" s="199"/>
      <c r="G866" s="200"/>
      <c r="H866" s="201"/>
      <c r="I866" s="202"/>
      <c r="J866" s="201"/>
      <c r="K866" s="170"/>
      <c r="L866" s="171"/>
      <c r="M866" s="94"/>
      <c r="N866" s="94"/>
      <c r="O866" s="94"/>
      <c r="P866" s="94"/>
      <c r="Q866" s="94"/>
      <c r="R866" s="94"/>
      <c r="S866" s="94"/>
      <c r="T866" s="94"/>
      <c r="U866" s="94"/>
      <c r="V866" s="94"/>
    </row>
    <row r="867" ht="24.0" customHeight="1">
      <c r="A867" s="149"/>
      <c r="B867" s="150"/>
      <c r="C867" s="197"/>
      <c r="D867" s="198"/>
      <c r="E867" s="198"/>
      <c r="F867" s="199"/>
      <c r="G867" s="200"/>
      <c r="H867" s="201"/>
      <c r="I867" s="202"/>
      <c r="J867" s="201"/>
      <c r="K867" s="170"/>
      <c r="L867" s="171"/>
      <c r="M867" s="94"/>
      <c r="N867" s="94"/>
      <c r="O867" s="94"/>
      <c r="P867" s="94"/>
      <c r="Q867" s="94"/>
      <c r="R867" s="94"/>
      <c r="S867" s="94"/>
      <c r="T867" s="94"/>
      <c r="U867" s="94"/>
      <c r="V867" s="94"/>
    </row>
    <row r="868" ht="24.0" customHeight="1">
      <c r="A868" s="149"/>
      <c r="B868" s="150"/>
      <c r="C868" s="197"/>
      <c r="D868" s="198"/>
      <c r="E868" s="198"/>
      <c r="F868" s="199"/>
      <c r="G868" s="200"/>
      <c r="H868" s="201"/>
      <c r="I868" s="202"/>
      <c r="J868" s="201"/>
      <c r="K868" s="170"/>
      <c r="L868" s="171"/>
      <c r="M868" s="94"/>
      <c r="N868" s="94"/>
      <c r="O868" s="94"/>
      <c r="P868" s="94"/>
      <c r="Q868" s="94"/>
      <c r="R868" s="94"/>
      <c r="S868" s="94"/>
      <c r="T868" s="94"/>
      <c r="U868" s="94"/>
      <c r="V868" s="94"/>
    </row>
    <row r="869" ht="24.0" customHeight="1">
      <c r="A869" s="149"/>
      <c r="B869" s="150"/>
      <c r="C869" s="197"/>
      <c r="D869" s="198"/>
      <c r="E869" s="198"/>
      <c r="F869" s="199"/>
      <c r="G869" s="200"/>
      <c r="H869" s="201"/>
      <c r="I869" s="202"/>
      <c r="J869" s="201"/>
      <c r="K869" s="170"/>
      <c r="L869" s="171"/>
      <c r="M869" s="94"/>
      <c r="N869" s="94"/>
      <c r="O869" s="94"/>
      <c r="P869" s="94"/>
      <c r="Q869" s="94"/>
      <c r="R869" s="94"/>
      <c r="S869" s="94"/>
      <c r="T869" s="94"/>
      <c r="U869" s="94"/>
      <c r="V869" s="94"/>
    </row>
    <row r="870" ht="24.0" customHeight="1">
      <c r="A870" s="149"/>
      <c r="B870" s="150"/>
      <c r="C870" s="197"/>
      <c r="D870" s="198"/>
      <c r="E870" s="198"/>
      <c r="F870" s="199"/>
      <c r="G870" s="200"/>
      <c r="H870" s="201"/>
      <c r="I870" s="202"/>
      <c r="J870" s="201"/>
      <c r="K870" s="170"/>
      <c r="L870" s="171"/>
      <c r="M870" s="94"/>
      <c r="N870" s="94"/>
      <c r="O870" s="94"/>
      <c r="P870" s="94"/>
      <c r="Q870" s="94"/>
      <c r="R870" s="94"/>
      <c r="S870" s="94"/>
      <c r="T870" s="94"/>
      <c r="U870" s="94"/>
      <c r="V870" s="94"/>
    </row>
    <row r="871" ht="24.0" customHeight="1">
      <c r="A871" s="149"/>
      <c r="B871" s="150"/>
      <c r="C871" s="197"/>
      <c r="D871" s="198"/>
      <c r="E871" s="198"/>
      <c r="F871" s="199"/>
      <c r="G871" s="200"/>
      <c r="H871" s="201"/>
      <c r="I871" s="202"/>
      <c r="J871" s="201"/>
      <c r="K871" s="170"/>
      <c r="L871" s="171"/>
      <c r="M871" s="94"/>
      <c r="N871" s="94"/>
      <c r="O871" s="94"/>
      <c r="P871" s="94"/>
      <c r="Q871" s="94"/>
      <c r="R871" s="94"/>
      <c r="S871" s="94"/>
      <c r="T871" s="94"/>
      <c r="U871" s="94"/>
      <c r="V871" s="94"/>
    </row>
    <row r="872" ht="24.0" customHeight="1">
      <c r="A872" s="149"/>
      <c r="B872" s="150"/>
      <c r="C872" s="197"/>
      <c r="D872" s="198"/>
      <c r="E872" s="198"/>
      <c r="F872" s="199"/>
      <c r="G872" s="200"/>
      <c r="H872" s="201"/>
      <c r="I872" s="202"/>
      <c r="J872" s="201"/>
      <c r="K872" s="170"/>
      <c r="L872" s="171"/>
      <c r="M872" s="94"/>
      <c r="N872" s="94"/>
      <c r="O872" s="94"/>
      <c r="P872" s="94"/>
      <c r="Q872" s="94"/>
      <c r="R872" s="94"/>
      <c r="S872" s="94"/>
      <c r="T872" s="94"/>
      <c r="U872" s="94"/>
      <c r="V872" s="94"/>
    </row>
    <row r="873" ht="24.0" customHeight="1">
      <c r="A873" s="149"/>
      <c r="B873" s="150"/>
      <c r="C873" s="197"/>
      <c r="D873" s="198"/>
      <c r="E873" s="198"/>
      <c r="F873" s="199"/>
      <c r="G873" s="200"/>
      <c r="H873" s="201"/>
      <c r="I873" s="202"/>
      <c r="J873" s="201"/>
      <c r="K873" s="170"/>
      <c r="L873" s="171"/>
      <c r="M873" s="94"/>
      <c r="N873" s="94"/>
      <c r="O873" s="94"/>
      <c r="P873" s="94"/>
      <c r="Q873" s="94"/>
      <c r="R873" s="94"/>
      <c r="S873" s="94"/>
      <c r="T873" s="94"/>
      <c r="U873" s="94"/>
      <c r="V873" s="94"/>
    </row>
    <row r="874" ht="24.0" customHeight="1">
      <c r="A874" s="149"/>
      <c r="B874" s="150"/>
      <c r="C874" s="197"/>
      <c r="D874" s="198"/>
      <c r="E874" s="198"/>
      <c r="F874" s="199"/>
      <c r="G874" s="200"/>
      <c r="H874" s="201"/>
      <c r="I874" s="202"/>
      <c r="J874" s="201"/>
      <c r="K874" s="170"/>
      <c r="L874" s="171"/>
      <c r="M874" s="94"/>
      <c r="N874" s="94"/>
      <c r="O874" s="94"/>
      <c r="P874" s="94"/>
      <c r="Q874" s="94"/>
      <c r="R874" s="94"/>
      <c r="S874" s="94"/>
      <c r="T874" s="94"/>
      <c r="U874" s="94"/>
      <c r="V874" s="94"/>
    </row>
    <row r="875" ht="24.0" customHeight="1">
      <c r="A875" s="149"/>
      <c r="B875" s="150"/>
      <c r="C875" s="197"/>
      <c r="D875" s="198"/>
      <c r="E875" s="198"/>
      <c r="F875" s="199"/>
      <c r="G875" s="200"/>
      <c r="H875" s="201"/>
      <c r="I875" s="202"/>
      <c r="J875" s="201"/>
      <c r="K875" s="170"/>
      <c r="L875" s="171"/>
      <c r="M875" s="94"/>
      <c r="N875" s="94"/>
      <c r="O875" s="94"/>
      <c r="P875" s="94"/>
      <c r="Q875" s="94"/>
      <c r="R875" s="94"/>
      <c r="S875" s="94"/>
      <c r="T875" s="94"/>
      <c r="U875" s="94"/>
      <c r="V875" s="94"/>
    </row>
    <row r="876" ht="24.0" customHeight="1">
      <c r="A876" s="149"/>
      <c r="B876" s="150"/>
      <c r="C876" s="197"/>
      <c r="D876" s="198"/>
      <c r="E876" s="198"/>
      <c r="F876" s="199"/>
      <c r="G876" s="200"/>
      <c r="H876" s="201"/>
      <c r="I876" s="202"/>
      <c r="J876" s="201"/>
      <c r="K876" s="170"/>
      <c r="L876" s="171"/>
      <c r="M876" s="94"/>
      <c r="N876" s="94"/>
      <c r="O876" s="94"/>
      <c r="P876" s="94"/>
      <c r="Q876" s="94"/>
      <c r="R876" s="94"/>
      <c r="S876" s="94"/>
      <c r="T876" s="94"/>
      <c r="U876" s="94"/>
      <c r="V876" s="94"/>
    </row>
    <row r="877" ht="24.0" customHeight="1">
      <c r="A877" s="149"/>
      <c r="B877" s="150"/>
      <c r="C877" s="197"/>
      <c r="D877" s="198"/>
      <c r="E877" s="198"/>
      <c r="F877" s="199"/>
      <c r="G877" s="200"/>
      <c r="H877" s="201"/>
      <c r="I877" s="202"/>
      <c r="J877" s="201"/>
      <c r="K877" s="170"/>
      <c r="L877" s="171"/>
      <c r="M877" s="94"/>
      <c r="N877" s="94"/>
      <c r="O877" s="94"/>
      <c r="P877" s="94"/>
      <c r="Q877" s="94"/>
      <c r="R877" s="94"/>
      <c r="S877" s="94"/>
      <c r="T877" s="94"/>
      <c r="U877" s="94"/>
      <c r="V877" s="94"/>
    </row>
    <row r="878" ht="24.0" customHeight="1">
      <c r="A878" s="149"/>
      <c r="B878" s="150"/>
      <c r="C878" s="197"/>
      <c r="D878" s="198"/>
      <c r="E878" s="198"/>
      <c r="F878" s="199"/>
      <c r="G878" s="200"/>
      <c r="H878" s="201"/>
      <c r="I878" s="202"/>
      <c r="J878" s="201"/>
      <c r="K878" s="170"/>
      <c r="L878" s="171"/>
      <c r="M878" s="94"/>
      <c r="N878" s="94"/>
      <c r="O878" s="94"/>
      <c r="P878" s="94"/>
      <c r="Q878" s="94"/>
      <c r="R878" s="94"/>
      <c r="S878" s="94"/>
      <c r="T878" s="94"/>
      <c r="U878" s="94"/>
      <c r="V878" s="94"/>
    </row>
    <row r="879" ht="24.0" customHeight="1">
      <c r="A879" s="149"/>
      <c r="B879" s="150"/>
      <c r="C879" s="197"/>
      <c r="D879" s="198"/>
      <c r="E879" s="198"/>
      <c r="F879" s="199"/>
      <c r="G879" s="200"/>
      <c r="H879" s="201"/>
      <c r="I879" s="202"/>
      <c r="J879" s="201"/>
      <c r="K879" s="170"/>
      <c r="L879" s="171"/>
      <c r="M879" s="94"/>
      <c r="N879" s="94"/>
      <c r="O879" s="94"/>
      <c r="P879" s="94"/>
      <c r="Q879" s="94"/>
      <c r="R879" s="94"/>
      <c r="S879" s="94"/>
      <c r="T879" s="94"/>
      <c r="U879" s="94"/>
      <c r="V879" s="94"/>
    </row>
    <row r="880" ht="24.0" customHeight="1">
      <c r="A880" s="149"/>
      <c r="B880" s="150"/>
      <c r="C880" s="197"/>
      <c r="D880" s="198"/>
      <c r="E880" s="198"/>
      <c r="F880" s="199"/>
      <c r="G880" s="200"/>
      <c r="H880" s="201"/>
      <c r="I880" s="202"/>
      <c r="J880" s="201"/>
      <c r="K880" s="170"/>
      <c r="L880" s="171"/>
      <c r="M880" s="94"/>
      <c r="N880" s="94"/>
      <c r="O880" s="94"/>
      <c r="P880" s="94"/>
      <c r="Q880" s="94"/>
      <c r="R880" s="94"/>
      <c r="S880" s="94"/>
      <c r="T880" s="94"/>
      <c r="U880" s="94"/>
      <c r="V880" s="94"/>
    </row>
    <row r="881" ht="24.0" customHeight="1">
      <c r="A881" s="149"/>
      <c r="B881" s="150"/>
      <c r="C881" s="197"/>
      <c r="D881" s="198"/>
      <c r="E881" s="198"/>
      <c r="F881" s="199"/>
      <c r="G881" s="200"/>
      <c r="H881" s="201"/>
      <c r="I881" s="202"/>
      <c r="J881" s="201"/>
      <c r="K881" s="170"/>
      <c r="L881" s="171"/>
      <c r="M881" s="94"/>
      <c r="N881" s="94"/>
      <c r="O881" s="94"/>
      <c r="P881" s="94"/>
      <c r="Q881" s="94"/>
      <c r="R881" s="94"/>
      <c r="S881" s="94"/>
      <c r="T881" s="94"/>
      <c r="U881" s="94"/>
      <c r="V881" s="94"/>
    </row>
    <row r="882" ht="24.0" customHeight="1">
      <c r="A882" s="149"/>
      <c r="B882" s="150"/>
      <c r="C882" s="197"/>
      <c r="D882" s="198"/>
      <c r="E882" s="198"/>
      <c r="F882" s="199"/>
      <c r="G882" s="200"/>
      <c r="H882" s="201"/>
      <c r="I882" s="202"/>
      <c r="J882" s="201"/>
      <c r="K882" s="170"/>
      <c r="L882" s="171"/>
      <c r="M882" s="94"/>
      <c r="N882" s="94"/>
      <c r="O882" s="94"/>
      <c r="P882" s="94"/>
      <c r="Q882" s="94"/>
      <c r="R882" s="94"/>
      <c r="S882" s="94"/>
      <c r="T882" s="94"/>
      <c r="U882" s="94"/>
      <c r="V882" s="94"/>
    </row>
    <row r="883" ht="24.0" customHeight="1">
      <c r="A883" s="149"/>
      <c r="B883" s="150"/>
      <c r="C883" s="197"/>
      <c r="D883" s="198"/>
      <c r="E883" s="198"/>
      <c r="F883" s="199"/>
      <c r="G883" s="200"/>
      <c r="H883" s="201"/>
      <c r="I883" s="202"/>
      <c r="J883" s="201"/>
      <c r="K883" s="170"/>
      <c r="L883" s="171"/>
      <c r="M883" s="94"/>
      <c r="N883" s="94"/>
      <c r="O883" s="94"/>
      <c r="P883" s="94"/>
      <c r="Q883" s="94"/>
      <c r="R883" s="94"/>
      <c r="S883" s="94"/>
      <c r="T883" s="94"/>
      <c r="U883" s="94"/>
      <c r="V883" s="94"/>
    </row>
    <row r="884" ht="24.0" customHeight="1">
      <c r="A884" s="149"/>
      <c r="B884" s="150"/>
      <c r="C884" s="197"/>
      <c r="D884" s="198"/>
      <c r="E884" s="198"/>
      <c r="F884" s="199"/>
      <c r="G884" s="200"/>
      <c r="H884" s="201"/>
      <c r="I884" s="202"/>
      <c r="J884" s="201"/>
      <c r="K884" s="170"/>
      <c r="L884" s="171"/>
      <c r="M884" s="94"/>
      <c r="N884" s="94"/>
      <c r="O884" s="94"/>
      <c r="P884" s="94"/>
      <c r="Q884" s="94"/>
      <c r="R884" s="94"/>
      <c r="S884" s="94"/>
      <c r="T884" s="94"/>
      <c r="U884" s="94"/>
      <c r="V884" s="94"/>
    </row>
    <row r="885" ht="24.0" customHeight="1">
      <c r="A885" s="149"/>
      <c r="B885" s="150"/>
      <c r="C885" s="197"/>
      <c r="D885" s="198"/>
      <c r="E885" s="198"/>
      <c r="F885" s="199"/>
      <c r="G885" s="200"/>
      <c r="H885" s="201"/>
      <c r="I885" s="202"/>
      <c r="J885" s="201"/>
      <c r="K885" s="170"/>
      <c r="L885" s="171"/>
      <c r="M885" s="94"/>
      <c r="N885" s="94"/>
      <c r="O885" s="94"/>
      <c r="P885" s="94"/>
      <c r="Q885" s="94"/>
      <c r="R885" s="94"/>
      <c r="S885" s="94"/>
      <c r="T885" s="94"/>
      <c r="U885" s="94"/>
      <c r="V885" s="94"/>
    </row>
    <row r="886" ht="24.0" customHeight="1">
      <c r="A886" s="149"/>
      <c r="B886" s="150"/>
      <c r="C886" s="197"/>
      <c r="D886" s="198"/>
      <c r="E886" s="198"/>
      <c r="F886" s="199"/>
      <c r="G886" s="200"/>
      <c r="H886" s="201"/>
      <c r="I886" s="202"/>
      <c r="J886" s="201"/>
      <c r="K886" s="170"/>
      <c r="L886" s="171"/>
      <c r="M886" s="94"/>
      <c r="N886" s="94"/>
      <c r="O886" s="94"/>
      <c r="P886" s="94"/>
      <c r="Q886" s="94"/>
      <c r="R886" s="94"/>
      <c r="S886" s="94"/>
      <c r="T886" s="94"/>
      <c r="U886" s="94"/>
      <c r="V886" s="94"/>
    </row>
    <row r="887" ht="24.0" customHeight="1">
      <c r="A887" s="149"/>
      <c r="B887" s="150"/>
      <c r="C887" s="197"/>
      <c r="D887" s="198"/>
      <c r="E887" s="198"/>
      <c r="F887" s="199"/>
      <c r="G887" s="200"/>
      <c r="H887" s="201"/>
      <c r="I887" s="202"/>
      <c r="J887" s="201"/>
      <c r="K887" s="170"/>
      <c r="L887" s="171"/>
      <c r="M887" s="94"/>
      <c r="N887" s="94"/>
      <c r="O887" s="94"/>
      <c r="P887" s="94"/>
      <c r="Q887" s="94"/>
      <c r="R887" s="94"/>
      <c r="S887" s="94"/>
      <c r="T887" s="94"/>
      <c r="U887" s="94"/>
      <c r="V887" s="94"/>
    </row>
    <row r="888" ht="24.0" customHeight="1">
      <c r="A888" s="149"/>
      <c r="B888" s="150"/>
      <c r="C888" s="197"/>
      <c r="D888" s="198"/>
      <c r="E888" s="198"/>
      <c r="F888" s="199"/>
      <c r="G888" s="200"/>
      <c r="H888" s="201"/>
      <c r="I888" s="202"/>
      <c r="J888" s="201"/>
      <c r="K888" s="170"/>
      <c r="L888" s="171"/>
      <c r="M888" s="94"/>
      <c r="N888" s="94"/>
      <c r="O888" s="94"/>
      <c r="P888" s="94"/>
      <c r="Q888" s="94"/>
      <c r="R888" s="94"/>
      <c r="S888" s="94"/>
      <c r="T888" s="94"/>
      <c r="U888" s="94"/>
      <c r="V888" s="94"/>
    </row>
    <row r="889" ht="24.0" customHeight="1">
      <c r="A889" s="149"/>
      <c r="B889" s="150"/>
      <c r="C889" s="197"/>
      <c r="D889" s="198"/>
      <c r="E889" s="198"/>
      <c r="F889" s="199"/>
      <c r="G889" s="200"/>
      <c r="H889" s="201"/>
      <c r="I889" s="202"/>
      <c r="J889" s="201"/>
      <c r="K889" s="170"/>
      <c r="L889" s="171"/>
      <c r="M889" s="94"/>
      <c r="N889" s="94"/>
      <c r="O889" s="94"/>
      <c r="P889" s="94"/>
      <c r="Q889" s="94"/>
      <c r="R889" s="94"/>
      <c r="S889" s="94"/>
      <c r="T889" s="94"/>
      <c r="U889" s="94"/>
      <c r="V889" s="94"/>
    </row>
    <row r="890" ht="24.0" customHeight="1">
      <c r="A890" s="149"/>
      <c r="B890" s="150"/>
      <c r="C890" s="197"/>
      <c r="D890" s="198"/>
      <c r="E890" s="198"/>
      <c r="F890" s="199"/>
      <c r="G890" s="200"/>
      <c r="H890" s="201"/>
      <c r="I890" s="202"/>
      <c r="J890" s="201"/>
      <c r="K890" s="170"/>
      <c r="L890" s="171"/>
      <c r="M890" s="94"/>
      <c r="N890" s="94"/>
      <c r="O890" s="94"/>
      <c r="P890" s="94"/>
      <c r="Q890" s="94"/>
      <c r="R890" s="94"/>
      <c r="S890" s="94"/>
      <c r="T890" s="94"/>
      <c r="U890" s="94"/>
      <c r="V890" s="94"/>
    </row>
    <row r="891" ht="24.0" customHeight="1">
      <c r="A891" s="149"/>
      <c r="B891" s="150"/>
      <c r="C891" s="197"/>
      <c r="D891" s="198"/>
      <c r="E891" s="198"/>
      <c r="F891" s="199"/>
      <c r="G891" s="200"/>
      <c r="H891" s="201"/>
      <c r="I891" s="202"/>
      <c r="J891" s="201"/>
      <c r="K891" s="170"/>
      <c r="L891" s="171"/>
      <c r="M891" s="94"/>
      <c r="N891" s="94"/>
      <c r="O891" s="94"/>
      <c r="P891" s="94"/>
      <c r="Q891" s="94"/>
      <c r="R891" s="94"/>
      <c r="S891" s="94"/>
      <c r="T891" s="94"/>
      <c r="U891" s="94"/>
      <c r="V891" s="94"/>
    </row>
    <row r="892" ht="24.0" customHeight="1">
      <c r="A892" s="149"/>
      <c r="B892" s="150"/>
      <c r="C892" s="197"/>
      <c r="D892" s="198"/>
      <c r="E892" s="198"/>
      <c r="F892" s="199"/>
      <c r="G892" s="200"/>
      <c r="H892" s="201"/>
      <c r="I892" s="202"/>
      <c r="J892" s="201"/>
      <c r="K892" s="170"/>
      <c r="L892" s="171"/>
      <c r="M892" s="94"/>
      <c r="N892" s="94"/>
      <c r="O892" s="94"/>
      <c r="P892" s="94"/>
      <c r="Q892" s="94"/>
      <c r="R892" s="94"/>
      <c r="S892" s="94"/>
      <c r="T892" s="94"/>
      <c r="U892" s="94"/>
      <c r="V892" s="94"/>
    </row>
    <row r="893" ht="24.0" customHeight="1">
      <c r="A893" s="149"/>
      <c r="B893" s="150"/>
      <c r="C893" s="197"/>
      <c r="D893" s="198"/>
      <c r="E893" s="198"/>
      <c r="F893" s="199"/>
      <c r="G893" s="200"/>
      <c r="H893" s="201"/>
      <c r="I893" s="202"/>
      <c r="J893" s="201"/>
      <c r="K893" s="170"/>
      <c r="L893" s="171"/>
      <c r="M893" s="94"/>
      <c r="N893" s="94"/>
      <c r="O893" s="94"/>
      <c r="P893" s="94"/>
      <c r="Q893" s="94"/>
      <c r="R893" s="94"/>
      <c r="S893" s="94"/>
      <c r="T893" s="94"/>
      <c r="U893" s="94"/>
      <c r="V893" s="94"/>
    </row>
    <row r="894" ht="24.0" customHeight="1">
      <c r="A894" s="149"/>
      <c r="B894" s="150"/>
      <c r="C894" s="197"/>
      <c r="D894" s="198"/>
      <c r="E894" s="198"/>
      <c r="F894" s="199"/>
      <c r="G894" s="200"/>
      <c r="H894" s="201"/>
      <c r="I894" s="202"/>
      <c r="J894" s="201"/>
      <c r="K894" s="170"/>
      <c r="L894" s="171"/>
      <c r="M894" s="94"/>
      <c r="N894" s="94"/>
      <c r="O894" s="94"/>
      <c r="P894" s="94"/>
      <c r="Q894" s="94"/>
      <c r="R894" s="94"/>
      <c r="S894" s="94"/>
      <c r="T894" s="94"/>
      <c r="U894" s="94"/>
      <c r="V894" s="94"/>
    </row>
    <row r="895" ht="24.0" customHeight="1">
      <c r="A895" s="149"/>
      <c r="B895" s="150"/>
      <c r="C895" s="197"/>
      <c r="D895" s="198"/>
      <c r="E895" s="198"/>
      <c r="F895" s="199"/>
      <c r="G895" s="200"/>
      <c r="H895" s="201"/>
      <c r="I895" s="202"/>
      <c r="J895" s="201"/>
      <c r="K895" s="170"/>
      <c r="L895" s="171"/>
      <c r="M895" s="94"/>
      <c r="N895" s="94"/>
      <c r="O895" s="94"/>
      <c r="P895" s="94"/>
      <c r="Q895" s="94"/>
      <c r="R895" s="94"/>
      <c r="S895" s="94"/>
      <c r="T895" s="94"/>
      <c r="U895" s="94"/>
      <c r="V895" s="94"/>
    </row>
    <row r="896" ht="24.0" customHeight="1">
      <c r="A896" s="149"/>
      <c r="B896" s="150"/>
      <c r="C896" s="197"/>
      <c r="D896" s="198"/>
      <c r="E896" s="198"/>
      <c r="F896" s="199"/>
      <c r="G896" s="200"/>
      <c r="H896" s="201"/>
      <c r="I896" s="202"/>
      <c r="J896" s="201"/>
      <c r="K896" s="170"/>
      <c r="L896" s="171"/>
      <c r="M896" s="94"/>
      <c r="N896" s="94"/>
      <c r="O896" s="94"/>
      <c r="P896" s="94"/>
      <c r="Q896" s="94"/>
      <c r="R896" s="94"/>
      <c r="S896" s="94"/>
      <c r="T896" s="94"/>
      <c r="U896" s="94"/>
      <c r="V896" s="94"/>
    </row>
    <row r="897" ht="24.0" customHeight="1">
      <c r="A897" s="149"/>
      <c r="B897" s="150"/>
      <c r="C897" s="197"/>
      <c r="D897" s="198"/>
      <c r="E897" s="198"/>
      <c r="F897" s="199"/>
      <c r="G897" s="200"/>
      <c r="H897" s="201"/>
      <c r="I897" s="202"/>
      <c r="J897" s="201"/>
      <c r="K897" s="170"/>
      <c r="L897" s="171"/>
      <c r="M897" s="94"/>
      <c r="N897" s="94"/>
      <c r="O897" s="94"/>
      <c r="P897" s="94"/>
      <c r="Q897" s="94"/>
      <c r="R897" s="94"/>
      <c r="S897" s="94"/>
      <c r="T897" s="94"/>
      <c r="U897" s="94"/>
      <c r="V897" s="94"/>
    </row>
    <row r="898" ht="24.0" customHeight="1">
      <c r="A898" s="149"/>
      <c r="B898" s="150"/>
      <c r="C898" s="197"/>
      <c r="D898" s="198"/>
      <c r="E898" s="198"/>
      <c r="F898" s="199"/>
      <c r="G898" s="200"/>
      <c r="H898" s="201"/>
      <c r="I898" s="202"/>
      <c r="J898" s="201"/>
      <c r="K898" s="170"/>
      <c r="L898" s="171"/>
      <c r="M898" s="94"/>
      <c r="N898" s="94"/>
      <c r="O898" s="94"/>
      <c r="P898" s="94"/>
      <c r="Q898" s="94"/>
      <c r="R898" s="94"/>
      <c r="S898" s="94"/>
      <c r="T898" s="94"/>
      <c r="U898" s="94"/>
      <c r="V898" s="94"/>
    </row>
    <row r="899" ht="24.0" customHeight="1">
      <c r="A899" s="149"/>
      <c r="B899" s="150"/>
      <c r="C899" s="197"/>
      <c r="D899" s="198"/>
      <c r="E899" s="198"/>
      <c r="F899" s="199"/>
      <c r="G899" s="200"/>
      <c r="H899" s="201"/>
      <c r="I899" s="202"/>
      <c r="J899" s="201"/>
      <c r="K899" s="170"/>
      <c r="L899" s="171"/>
      <c r="M899" s="94"/>
      <c r="N899" s="94"/>
      <c r="O899" s="94"/>
      <c r="P899" s="94"/>
      <c r="Q899" s="94"/>
      <c r="R899" s="94"/>
      <c r="S899" s="94"/>
      <c r="T899" s="94"/>
      <c r="U899" s="94"/>
      <c r="V899" s="94"/>
    </row>
    <row r="900" ht="24.0" customHeight="1">
      <c r="A900" s="149"/>
      <c r="B900" s="150"/>
      <c r="C900" s="197"/>
      <c r="D900" s="198"/>
      <c r="E900" s="198"/>
      <c r="F900" s="199"/>
      <c r="G900" s="200"/>
      <c r="H900" s="201"/>
      <c r="I900" s="202"/>
      <c r="J900" s="201"/>
      <c r="K900" s="170"/>
      <c r="L900" s="171"/>
      <c r="M900" s="94"/>
      <c r="N900" s="94"/>
      <c r="O900" s="94"/>
      <c r="P900" s="94"/>
      <c r="Q900" s="94"/>
      <c r="R900" s="94"/>
      <c r="S900" s="94"/>
      <c r="T900" s="94"/>
      <c r="U900" s="94"/>
      <c r="V900" s="94"/>
    </row>
    <row r="901" ht="24.0" customHeight="1">
      <c r="A901" s="149"/>
      <c r="B901" s="150"/>
      <c r="C901" s="197"/>
      <c r="D901" s="198"/>
      <c r="E901" s="198"/>
      <c r="F901" s="199"/>
      <c r="G901" s="200"/>
      <c r="H901" s="201"/>
      <c r="I901" s="202"/>
      <c r="J901" s="201"/>
      <c r="K901" s="170"/>
      <c r="L901" s="171"/>
      <c r="M901" s="94"/>
      <c r="N901" s="94"/>
      <c r="O901" s="94"/>
      <c r="P901" s="94"/>
      <c r="Q901" s="94"/>
      <c r="R901" s="94"/>
      <c r="S901" s="94"/>
      <c r="T901" s="94"/>
      <c r="U901" s="94"/>
      <c r="V901" s="94"/>
    </row>
    <row r="902" ht="24.0" customHeight="1">
      <c r="A902" s="149"/>
      <c r="B902" s="150"/>
      <c r="C902" s="197"/>
      <c r="D902" s="198"/>
      <c r="E902" s="198"/>
      <c r="F902" s="199"/>
      <c r="G902" s="200"/>
      <c r="H902" s="201"/>
      <c r="I902" s="202"/>
      <c r="J902" s="201"/>
      <c r="K902" s="170"/>
      <c r="L902" s="171"/>
      <c r="M902" s="94"/>
      <c r="N902" s="94"/>
      <c r="O902" s="94"/>
      <c r="P902" s="94"/>
      <c r="Q902" s="94"/>
      <c r="R902" s="94"/>
      <c r="S902" s="94"/>
      <c r="T902" s="94"/>
      <c r="U902" s="94"/>
      <c r="V902" s="94"/>
    </row>
    <row r="903" ht="24.0" customHeight="1">
      <c r="A903" s="149"/>
      <c r="B903" s="150"/>
      <c r="C903" s="197"/>
      <c r="D903" s="198"/>
      <c r="E903" s="198"/>
      <c r="F903" s="199"/>
      <c r="G903" s="200"/>
      <c r="H903" s="201"/>
      <c r="I903" s="202"/>
      <c r="J903" s="201"/>
      <c r="K903" s="170"/>
      <c r="L903" s="171"/>
      <c r="M903" s="94"/>
      <c r="N903" s="94"/>
      <c r="O903" s="94"/>
      <c r="P903" s="94"/>
      <c r="Q903" s="94"/>
      <c r="R903" s="94"/>
      <c r="S903" s="94"/>
      <c r="T903" s="94"/>
      <c r="U903" s="94"/>
      <c r="V903" s="94"/>
    </row>
    <row r="904" ht="24.0" customHeight="1">
      <c r="A904" s="149"/>
      <c r="B904" s="150"/>
      <c r="C904" s="197"/>
      <c r="D904" s="198"/>
      <c r="E904" s="198"/>
      <c r="F904" s="199"/>
      <c r="G904" s="200"/>
      <c r="H904" s="201"/>
      <c r="I904" s="202"/>
      <c r="J904" s="201"/>
      <c r="K904" s="170"/>
      <c r="L904" s="171"/>
      <c r="M904" s="94"/>
      <c r="N904" s="94"/>
      <c r="O904" s="94"/>
      <c r="P904" s="94"/>
      <c r="Q904" s="94"/>
      <c r="R904" s="94"/>
      <c r="S904" s="94"/>
      <c r="T904" s="94"/>
      <c r="U904" s="94"/>
      <c r="V904" s="94"/>
    </row>
    <row r="905" ht="24.0" customHeight="1">
      <c r="A905" s="149"/>
      <c r="B905" s="150"/>
      <c r="C905" s="197"/>
      <c r="D905" s="198"/>
      <c r="E905" s="198"/>
      <c r="F905" s="199"/>
      <c r="G905" s="200"/>
      <c r="H905" s="201"/>
      <c r="I905" s="202"/>
      <c r="J905" s="201"/>
      <c r="K905" s="170"/>
      <c r="L905" s="171"/>
      <c r="M905" s="94"/>
      <c r="N905" s="94"/>
      <c r="O905" s="94"/>
      <c r="P905" s="94"/>
      <c r="Q905" s="94"/>
      <c r="R905" s="94"/>
      <c r="S905" s="94"/>
      <c r="T905" s="94"/>
      <c r="U905" s="94"/>
      <c r="V905" s="94"/>
    </row>
    <row r="906" ht="24.0" customHeight="1">
      <c r="A906" s="149"/>
      <c r="B906" s="150"/>
      <c r="C906" s="197"/>
      <c r="D906" s="198"/>
      <c r="E906" s="198"/>
      <c r="F906" s="199"/>
      <c r="G906" s="200"/>
      <c r="H906" s="201"/>
      <c r="I906" s="202"/>
      <c r="J906" s="201"/>
      <c r="K906" s="170"/>
      <c r="L906" s="171"/>
      <c r="M906" s="94"/>
      <c r="N906" s="94"/>
      <c r="O906" s="94"/>
      <c r="P906" s="94"/>
      <c r="Q906" s="94"/>
      <c r="R906" s="94"/>
      <c r="S906" s="94"/>
      <c r="T906" s="94"/>
      <c r="U906" s="94"/>
      <c r="V906" s="94"/>
    </row>
    <row r="907" ht="24.0" customHeight="1">
      <c r="A907" s="149"/>
      <c r="B907" s="150"/>
      <c r="C907" s="197"/>
      <c r="D907" s="198"/>
      <c r="E907" s="198"/>
      <c r="F907" s="199"/>
      <c r="G907" s="200"/>
      <c r="H907" s="201"/>
      <c r="I907" s="202"/>
      <c r="J907" s="201"/>
      <c r="K907" s="170"/>
      <c r="L907" s="171"/>
      <c r="M907" s="94"/>
      <c r="N907" s="94"/>
      <c r="O907" s="94"/>
      <c r="P907" s="94"/>
      <c r="Q907" s="94"/>
      <c r="R907" s="94"/>
      <c r="S907" s="94"/>
      <c r="T907" s="94"/>
      <c r="U907" s="94"/>
      <c r="V907" s="94"/>
    </row>
    <row r="908" ht="24.0" customHeight="1">
      <c r="A908" s="149"/>
      <c r="B908" s="150"/>
      <c r="C908" s="197"/>
      <c r="D908" s="198"/>
      <c r="E908" s="198"/>
      <c r="F908" s="199"/>
      <c r="G908" s="200"/>
      <c r="H908" s="201"/>
      <c r="I908" s="202"/>
      <c r="J908" s="201"/>
      <c r="K908" s="170"/>
      <c r="L908" s="171"/>
      <c r="M908" s="94"/>
      <c r="N908" s="94"/>
      <c r="O908" s="94"/>
      <c r="P908" s="94"/>
      <c r="Q908" s="94"/>
      <c r="R908" s="94"/>
      <c r="S908" s="94"/>
      <c r="T908" s="94"/>
      <c r="U908" s="94"/>
      <c r="V908" s="94"/>
    </row>
    <row r="909" ht="24.0" customHeight="1">
      <c r="A909" s="149"/>
      <c r="B909" s="150"/>
      <c r="C909" s="197"/>
      <c r="D909" s="198"/>
      <c r="E909" s="198"/>
      <c r="F909" s="199"/>
      <c r="G909" s="200"/>
      <c r="H909" s="201"/>
      <c r="I909" s="202"/>
      <c r="J909" s="201"/>
      <c r="K909" s="170"/>
      <c r="L909" s="171"/>
      <c r="M909" s="94"/>
      <c r="N909" s="94"/>
      <c r="O909" s="94"/>
      <c r="P909" s="94"/>
      <c r="Q909" s="94"/>
      <c r="R909" s="94"/>
      <c r="S909" s="94"/>
      <c r="T909" s="94"/>
      <c r="U909" s="94"/>
      <c r="V909" s="94"/>
    </row>
    <row r="910" ht="24.0" customHeight="1">
      <c r="A910" s="149"/>
      <c r="B910" s="150"/>
      <c r="C910" s="197"/>
      <c r="D910" s="198"/>
      <c r="E910" s="198"/>
      <c r="F910" s="199"/>
      <c r="G910" s="200"/>
      <c r="H910" s="201"/>
      <c r="I910" s="202"/>
      <c r="J910" s="201"/>
      <c r="K910" s="170"/>
      <c r="L910" s="171"/>
      <c r="M910" s="94"/>
      <c r="N910" s="94"/>
      <c r="O910" s="94"/>
      <c r="P910" s="94"/>
      <c r="Q910" s="94"/>
      <c r="R910" s="94"/>
      <c r="S910" s="94"/>
      <c r="T910" s="94"/>
      <c r="U910" s="94"/>
      <c r="V910" s="94"/>
    </row>
    <row r="911" ht="24.0" customHeight="1">
      <c r="A911" s="149"/>
      <c r="B911" s="150"/>
      <c r="C911" s="197"/>
      <c r="D911" s="198"/>
      <c r="E911" s="198"/>
      <c r="F911" s="199"/>
      <c r="G911" s="200"/>
      <c r="H911" s="201"/>
      <c r="I911" s="202"/>
      <c r="J911" s="201"/>
      <c r="K911" s="170"/>
      <c r="L911" s="171"/>
      <c r="M911" s="94"/>
      <c r="N911" s="94"/>
      <c r="O911" s="94"/>
      <c r="P911" s="94"/>
      <c r="Q911" s="94"/>
      <c r="R911" s="94"/>
      <c r="S911" s="94"/>
      <c r="T911" s="94"/>
      <c r="U911" s="94"/>
      <c r="V911" s="94"/>
    </row>
    <row r="912" ht="24.0" customHeight="1">
      <c r="A912" s="149"/>
      <c r="B912" s="150"/>
      <c r="C912" s="197"/>
      <c r="D912" s="198"/>
      <c r="E912" s="198"/>
      <c r="F912" s="199"/>
      <c r="G912" s="200"/>
      <c r="H912" s="201"/>
      <c r="I912" s="202"/>
      <c r="J912" s="201"/>
      <c r="K912" s="170"/>
      <c r="L912" s="171"/>
      <c r="M912" s="94"/>
      <c r="N912" s="94"/>
      <c r="O912" s="94"/>
      <c r="P912" s="94"/>
      <c r="Q912" s="94"/>
      <c r="R912" s="94"/>
      <c r="S912" s="94"/>
      <c r="T912" s="94"/>
      <c r="U912" s="94"/>
      <c r="V912" s="94"/>
    </row>
    <row r="913" ht="24.0" customHeight="1">
      <c r="A913" s="149"/>
      <c r="B913" s="150"/>
      <c r="C913" s="197"/>
      <c r="D913" s="198"/>
      <c r="E913" s="198"/>
      <c r="F913" s="199"/>
      <c r="G913" s="200"/>
      <c r="H913" s="201"/>
      <c r="I913" s="202"/>
      <c r="J913" s="201"/>
      <c r="K913" s="170"/>
      <c r="L913" s="171"/>
      <c r="M913" s="94"/>
      <c r="N913" s="94"/>
      <c r="O913" s="94"/>
      <c r="P913" s="94"/>
      <c r="Q913" s="94"/>
      <c r="R913" s="94"/>
      <c r="S913" s="94"/>
      <c r="T913" s="94"/>
      <c r="U913" s="94"/>
      <c r="V913" s="94"/>
    </row>
    <row r="914" ht="24.0" customHeight="1">
      <c r="A914" s="149"/>
      <c r="B914" s="150"/>
      <c r="C914" s="197"/>
      <c r="D914" s="198"/>
      <c r="E914" s="198"/>
      <c r="F914" s="199"/>
      <c r="G914" s="200"/>
      <c r="H914" s="201"/>
      <c r="I914" s="202"/>
      <c r="J914" s="201"/>
      <c r="K914" s="170"/>
      <c r="L914" s="171"/>
      <c r="M914" s="94"/>
      <c r="N914" s="94"/>
      <c r="O914" s="94"/>
      <c r="P914" s="94"/>
      <c r="Q914" s="94"/>
      <c r="R914" s="94"/>
      <c r="S914" s="94"/>
      <c r="T914" s="94"/>
      <c r="U914" s="94"/>
      <c r="V914" s="94"/>
    </row>
    <row r="915" ht="24.0" customHeight="1">
      <c r="A915" s="149"/>
      <c r="B915" s="150"/>
      <c r="C915" s="197"/>
      <c r="D915" s="198"/>
      <c r="E915" s="198"/>
      <c r="F915" s="199"/>
      <c r="G915" s="200"/>
      <c r="H915" s="201"/>
      <c r="I915" s="202"/>
      <c r="J915" s="201"/>
      <c r="K915" s="170"/>
      <c r="L915" s="171"/>
      <c r="M915" s="94"/>
      <c r="N915" s="94"/>
      <c r="O915" s="94"/>
      <c r="P915" s="94"/>
      <c r="Q915" s="94"/>
      <c r="R915" s="94"/>
      <c r="S915" s="94"/>
      <c r="T915" s="94"/>
      <c r="U915" s="94"/>
      <c r="V915" s="94"/>
    </row>
    <row r="916" ht="24.0" customHeight="1">
      <c r="A916" s="149"/>
      <c r="B916" s="150"/>
      <c r="C916" s="197"/>
      <c r="D916" s="198"/>
      <c r="E916" s="198"/>
      <c r="F916" s="199"/>
      <c r="G916" s="200"/>
      <c r="H916" s="201"/>
      <c r="I916" s="202"/>
      <c r="J916" s="201"/>
      <c r="K916" s="170"/>
      <c r="L916" s="171"/>
      <c r="M916" s="94"/>
      <c r="N916" s="94"/>
      <c r="O916" s="94"/>
      <c r="P916" s="94"/>
      <c r="Q916" s="94"/>
      <c r="R916" s="94"/>
      <c r="S916" s="94"/>
      <c r="T916" s="94"/>
      <c r="U916" s="94"/>
      <c r="V916" s="94"/>
    </row>
    <row r="917" ht="24.0" customHeight="1">
      <c r="A917" s="149"/>
      <c r="B917" s="150"/>
      <c r="C917" s="197"/>
      <c r="D917" s="198"/>
      <c r="E917" s="198"/>
      <c r="F917" s="199"/>
      <c r="G917" s="200"/>
      <c r="H917" s="201"/>
      <c r="I917" s="202"/>
      <c r="J917" s="201"/>
      <c r="K917" s="170"/>
      <c r="L917" s="171"/>
      <c r="M917" s="94"/>
      <c r="N917" s="94"/>
      <c r="O917" s="94"/>
      <c r="P917" s="94"/>
      <c r="Q917" s="94"/>
      <c r="R917" s="94"/>
      <c r="S917" s="94"/>
      <c r="T917" s="94"/>
      <c r="U917" s="94"/>
      <c r="V917" s="94"/>
    </row>
    <row r="918" ht="24.0" customHeight="1">
      <c r="A918" s="149"/>
      <c r="B918" s="150"/>
      <c r="C918" s="197"/>
      <c r="D918" s="198"/>
      <c r="E918" s="198"/>
      <c r="F918" s="199"/>
      <c r="G918" s="200"/>
      <c r="H918" s="201"/>
      <c r="I918" s="202"/>
      <c r="J918" s="201"/>
      <c r="K918" s="170"/>
      <c r="L918" s="171"/>
      <c r="M918" s="94"/>
      <c r="N918" s="94"/>
      <c r="O918" s="94"/>
      <c r="P918" s="94"/>
      <c r="Q918" s="94"/>
      <c r="R918" s="94"/>
      <c r="S918" s="94"/>
      <c r="T918" s="94"/>
      <c r="U918" s="94"/>
      <c r="V918" s="94"/>
    </row>
    <row r="919" ht="24.0" customHeight="1">
      <c r="A919" s="149"/>
      <c r="B919" s="150"/>
      <c r="C919" s="197"/>
      <c r="D919" s="198"/>
      <c r="E919" s="198"/>
      <c r="F919" s="199"/>
      <c r="G919" s="200"/>
      <c r="H919" s="201"/>
      <c r="I919" s="202"/>
      <c r="J919" s="201"/>
      <c r="K919" s="170"/>
      <c r="L919" s="171"/>
      <c r="M919" s="94"/>
      <c r="N919" s="94"/>
      <c r="O919" s="94"/>
      <c r="P919" s="94"/>
      <c r="Q919" s="94"/>
      <c r="R919" s="94"/>
      <c r="S919" s="94"/>
      <c r="T919" s="94"/>
      <c r="U919" s="94"/>
      <c r="V919" s="94"/>
    </row>
    <row r="920" ht="24.0" customHeight="1">
      <c r="A920" s="149"/>
      <c r="B920" s="150"/>
      <c r="C920" s="197"/>
      <c r="D920" s="198"/>
      <c r="E920" s="198"/>
      <c r="F920" s="199"/>
      <c r="G920" s="200"/>
      <c r="H920" s="201"/>
      <c r="I920" s="202"/>
      <c r="J920" s="201"/>
      <c r="K920" s="170"/>
      <c r="L920" s="171"/>
      <c r="M920" s="94"/>
      <c r="N920" s="94"/>
      <c r="O920" s="94"/>
      <c r="P920" s="94"/>
      <c r="Q920" s="94"/>
      <c r="R920" s="94"/>
      <c r="S920" s="94"/>
      <c r="T920" s="94"/>
      <c r="U920" s="94"/>
      <c r="V920" s="94"/>
    </row>
    <row r="921" ht="24.0" customHeight="1">
      <c r="A921" s="149"/>
      <c r="B921" s="150"/>
      <c r="C921" s="197"/>
      <c r="D921" s="198"/>
      <c r="E921" s="198"/>
      <c r="F921" s="199"/>
      <c r="G921" s="200"/>
      <c r="H921" s="201"/>
      <c r="I921" s="202"/>
      <c r="J921" s="201"/>
      <c r="K921" s="170"/>
      <c r="L921" s="171"/>
      <c r="M921" s="94"/>
      <c r="N921" s="94"/>
      <c r="O921" s="94"/>
      <c r="P921" s="94"/>
      <c r="Q921" s="94"/>
      <c r="R921" s="94"/>
      <c r="S921" s="94"/>
      <c r="T921" s="94"/>
      <c r="U921" s="94"/>
      <c r="V921" s="94"/>
    </row>
    <row r="922" ht="24.0" customHeight="1">
      <c r="A922" s="149"/>
      <c r="B922" s="150"/>
      <c r="C922" s="197"/>
      <c r="D922" s="198"/>
      <c r="E922" s="198"/>
      <c r="F922" s="199"/>
      <c r="G922" s="200"/>
      <c r="H922" s="201"/>
      <c r="I922" s="202"/>
      <c r="J922" s="201"/>
      <c r="K922" s="170"/>
      <c r="L922" s="171"/>
      <c r="M922" s="94"/>
      <c r="N922" s="94"/>
      <c r="O922" s="94"/>
      <c r="P922" s="94"/>
      <c r="Q922" s="94"/>
      <c r="R922" s="94"/>
      <c r="S922" s="94"/>
      <c r="T922" s="94"/>
      <c r="U922" s="94"/>
      <c r="V922" s="94"/>
    </row>
    <row r="923" ht="24.0" customHeight="1">
      <c r="A923" s="149"/>
      <c r="B923" s="150"/>
      <c r="C923" s="197"/>
      <c r="D923" s="198"/>
      <c r="E923" s="198"/>
      <c r="F923" s="199"/>
      <c r="G923" s="200"/>
      <c r="H923" s="201"/>
      <c r="I923" s="202"/>
      <c r="J923" s="201"/>
      <c r="K923" s="170"/>
      <c r="L923" s="171"/>
      <c r="M923" s="94"/>
      <c r="N923" s="94"/>
      <c r="O923" s="94"/>
      <c r="P923" s="94"/>
      <c r="Q923" s="94"/>
      <c r="R923" s="94"/>
      <c r="S923" s="94"/>
      <c r="T923" s="94"/>
      <c r="U923" s="94"/>
      <c r="V923" s="94"/>
    </row>
    <row r="924" ht="24.0" customHeight="1">
      <c r="A924" s="149"/>
      <c r="B924" s="150"/>
      <c r="C924" s="197"/>
      <c r="D924" s="198"/>
      <c r="E924" s="198"/>
      <c r="F924" s="199"/>
      <c r="G924" s="200"/>
      <c r="H924" s="201"/>
      <c r="I924" s="202"/>
      <c r="J924" s="201"/>
      <c r="K924" s="170"/>
      <c r="L924" s="171"/>
      <c r="M924" s="94"/>
      <c r="N924" s="94"/>
      <c r="O924" s="94"/>
      <c r="P924" s="94"/>
      <c r="Q924" s="94"/>
      <c r="R924" s="94"/>
      <c r="S924" s="94"/>
      <c r="T924" s="94"/>
      <c r="U924" s="94"/>
      <c r="V924" s="94"/>
    </row>
    <row r="925" ht="24.0" customHeight="1">
      <c r="A925" s="149"/>
      <c r="B925" s="150"/>
      <c r="C925" s="197"/>
      <c r="D925" s="198"/>
      <c r="E925" s="198"/>
      <c r="F925" s="199"/>
      <c r="G925" s="200"/>
      <c r="H925" s="201"/>
      <c r="I925" s="202"/>
      <c r="J925" s="201"/>
      <c r="K925" s="170"/>
      <c r="L925" s="171"/>
      <c r="M925" s="94"/>
      <c r="N925" s="94"/>
      <c r="O925" s="94"/>
      <c r="P925" s="94"/>
      <c r="Q925" s="94"/>
      <c r="R925" s="94"/>
      <c r="S925" s="94"/>
      <c r="T925" s="94"/>
      <c r="U925" s="94"/>
      <c r="V925" s="94"/>
    </row>
    <row r="926" ht="24.0" customHeight="1">
      <c r="A926" s="149"/>
      <c r="B926" s="150"/>
      <c r="C926" s="197"/>
      <c r="D926" s="198"/>
      <c r="E926" s="198"/>
      <c r="F926" s="199"/>
      <c r="G926" s="200"/>
      <c r="H926" s="201"/>
      <c r="I926" s="202"/>
      <c r="J926" s="201"/>
      <c r="K926" s="170"/>
      <c r="L926" s="171"/>
      <c r="M926" s="94"/>
      <c r="N926" s="94"/>
      <c r="O926" s="94"/>
      <c r="P926" s="94"/>
      <c r="Q926" s="94"/>
      <c r="R926" s="94"/>
      <c r="S926" s="94"/>
      <c r="T926" s="94"/>
      <c r="U926" s="94"/>
      <c r="V926" s="94"/>
    </row>
    <row r="927" ht="24.0" customHeight="1">
      <c r="A927" s="149"/>
      <c r="B927" s="150"/>
      <c r="C927" s="197"/>
      <c r="D927" s="198"/>
      <c r="E927" s="198"/>
      <c r="F927" s="199"/>
      <c r="G927" s="200"/>
      <c r="H927" s="201"/>
      <c r="I927" s="202"/>
      <c r="J927" s="201"/>
      <c r="K927" s="170"/>
      <c r="L927" s="171"/>
      <c r="M927" s="94"/>
      <c r="N927" s="94"/>
      <c r="O927" s="94"/>
      <c r="P927" s="94"/>
      <c r="Q927" s="94"/>
      <c r="R927" s="94"/>
      <c r="S927" s="94"/>
      <c r="T927" s="94"/>
      <c r="U927" s="94"/>
      <c r="V927" s="94"/>
    </row>
    <row r="928" ht="24.0" customHeight="1">
      <c r="A928" s="149"/>
      <c r="B928" s="150"/>
      <c r="C928" s="197"/>
      <c r="D928" s="198"/>
      <c r="E928" s="198"/>
      <c r="F928" s="199"/>
      <c r="G928" s="200"/>
      <c r="H928" s="201"/>
      <c r="I928" s="202"/>
      <c r="J928" s="201"/>
      <c r="K928" s="170"/>
      <c r="L928" s="171"/>
      <c r="M928" s="94"/>
      <c r="N928" s="94"/>
      <c r="O928" s="94"/>
      <c r="P928" s="94"/>
      <c r="Q928" s="94"/>
      <c r="R928" s="94"/>
      <c r="S928" s="94"/>
      <c r="T928" s="94"/>
      <c r="U928" s="94"/>
      <c r="V928" s="94"/>
    </row>
    <row r="929" ht="24.0" customHeight="1">
      <c r="A929" s="149"/>
      <c r="B929" s="150"/>
      <c r="C929" s="197"/>
      <c r="D929" s="198"/>
      <c r="E929" s="198"/>
      <c r="F929" s="199"/>
      <c r="G929" s="200"/>
      <c r="H929" s="201"/>
      <c r="I929" s="202"/>
      <c r="J929" s="201"/>
      <c r="K929" s="170"/>
      <c r="L929" s="171"/>
      <c r="M929" s="94"/>
      <c r="N929" s="94"/>
      <c r="O929" s="94"/>
      <c r="P929" s="94"/>
      <c r="Q929" s="94"/>
      <c r="R929" s="94"/>
      <c r="S929" s="94"/>
      <c r="T929" s="94"/>
      <c r="U929" s="94"/>
      <c r="V929" s="94"/>
    </row>
    <row r="930" ht="24.0" customHeight="1">
      <c r="A930" s="149"/>
      <c r="B930" s="150"/>
      <c r="C930" s="197"/>
      <c r="D930" s="198"/>
      <c r="E930" s="198"/>
      <c r="F930" s="199"/>
      <c r="G930" s="200"/>
      <c r="H930" s="201"/>
      <c r="I930" s="202"/>
      <c r="J930" s="201"/>
      <c r="K930" s="170"/>
      <c r="L930" s="171"/>
      <c r="M930" s="94"/>
      <c r="N930" s="94"/>
      <c r="O930" s="94"/>
      <c r="P930" s="94"/>
      <c r="Q930" s="94"/>
      <c r="R930" s="94"/>
      <c r="S930" s="94"/>
      <c r="T930" s="94"/>
      <c r="U930" s="94"/>
      <c r="V930" s="94"/>
    </row>
    <row r="931" ht="24.0" customHeight="1">
      <c r="A931" s="149"/>
      <c r="B931" s="150"/>
      <c r="C931" s="197"/>
      <c r="D931" s="198"/>
      <c r="E931" s="198"/>
      <c r="F931" s="199"/>
      <c r="G931" s="200"/>
      <c r="H931" s="201"/>
      <c r="I931" s="202"/>
      <c r="J931" s="201"/>
      <c r="K931" s="170"/>
      <c r="L931" s="171"/>
      <c r="M931" s="94"/>
      <c r="N931" s="94"/>
      <c r="O931" s="94"/>
      <c r="P931" s="94"/>
      <c r="Q931" s="94"/>
      <c r="R931" s="94"/>
      <c r="S931" s="94"/>
      <c r="T931" s="94"/>
      <c r="U931" s="94"/>
      <c r="V931" s="94"/>
    </row>
    <row r="932" ht="24.0" customHeight="1">
      <c r="A932" s="149"/>
      <c r="B932" s="150"/>
      <c r="C932" s="197"/>
      <c r="D932" s="198"/>
      <c r="E932" s="198"/>
      <c r="F932" s="199"/>
      <c r="G932" s="200"/>
      <c r="H932" s="201"/>
      <c r="I932" s="202"/>
      <c r="J932" s="201"/>
      <c r="K932" s="170"/>
      <c r="L932" s="171"/>
      <c r="M932" s="94"/>
      <c r="N932" s="94"/>
      <c r="O932" s="94"/>
      <c r="P932" s="94"/>
      <c r="Q932" s="94"/>
      <c r="R932" s="94"/>
      <c r="S932" s="94"/>
      <c r="T932" s="94"/>
      <c r="U932" s="94"/>
      <c r="V932" s="94"/>
    </row>
    <row r="933" ht="24.0" customHeight="1">
      <c r="A933" s="149"/>
      <c r="B933" s="150"/>
      <c r="C933" s="197"/>
      <c r="D933" s="198"/>
      <c r="E933" s="198"/>
      <c r="F933" s="199"/>
      <c r="G933" s="200"/>
      <c r="H933" s="201"/>
      <c r="I933" s="202"/>
      <c r="J933" s="201"/>
      <c r="K933" s="170"/>
      <c r="L933" s="171"/>
      <c r="M933" s="94"/>
      <c r="N933" s="94"/>
      <c r="O933" s="94"/>
      <c r="P933" s="94"/>
      <c r="Q933" s="94"/>
      <c r="R933" s="94"/>
      <c r="S933" s="94"/>
      <c r="T933" s="94"/>
      <c r="U933" s="94"/>
      <c r="V933" s="94"/>
    </row>
    <row r="934" ht="24.0" customHeight="1">
      <c r="A934" s="149"/>
      <c r="B934" s="150"/>
      <c r="C934" s="197"/>
      <c r="D934" s="198"/>
      <c r="E934" s="198"/>
      <c r="F934" s="199"/>
      <c r="G934" s="200"/>
      <c r="H934" s="201"/>
      <c r="I934" s="202"/>
      <c r="J934" s="201"/>
      <c r="K934" s="170"/>
      <c r="L934" s="171"/>
      <c r="M934" s="94"/>
      <c r="N934" s="94"/>
      <c r="O934" s="94"/>
      <c r="P934" s="94"/>
      <c r="Q934" s="94"/>
      <c r="R934" s="94"/>
      <c r="S934" s="94"/>
      <c r="T934" s="94"/>
      <c r="U934" s="94"/>
      <c r="V934" s="94"/>
    </row>
    <row r="935" ht="24.0" customHeight="1">
      <c r="A935" s="149"/>
      <c r="B935" s="150"/>
      <c r="C935" s="197"/>
      <c r="D935" s="198"/>
      <c r="E935" s="198"/>
      <c r="F935" s="199"/>
      <c r="G935" s="200"/>
      <c r="H935" s="201"/>
      <c r="I935" s="202"/>
      <c r="J935" s="201"/>
      <c r="K935" s="170"/>
      <c r="L935" s="171"/>
      <c r="M935" s="94"/>
      <c r="N935" s="94"/>
      <c r="O935" s="94"/>
      <c r="P935" s="94"/>
      <c r="Q935" s="94"/>
      <c r="R935" s="94"/>
      <c r="S935" s="94"/>
      <c r="T935" s="94"/>
      <c r="U935" s="94"/>
      <c r="V935" s="94"/>
    </row>
    <row r="936" ht="24.0" customHeight="1">
      <c r="A936" s="149"/>
      <c r="B936" s="150"/>
      <c r="C936" s="197"/>
      <c r="D936" s="198"/>
      <c r="E936" s="198"/>
      <c r="F936" s="199"/>
      <c r="G936" s="200"/>
      <c r="H936" s="201"/>
      <c r="I936" s="202"/>
      <c r="J936" s="201"/>
      <c r="K936" s="170"/>
      <c r="L936" s="171"/>
      <c r="M936" s="94"/>
      <c r="N936" s="94"/>
      <c r="O936" s="94"/>
      <c r="P936" s="94"/>
      <c r="Q936" s="94"/>
      <c r="R936" s="94"/>
      <c r="S936" s="94"/>
      <c r="T936" s="94"/>
      <c r="U936" s="94"/>
      <c r="V936" s="94"/>
    </row>
    <row r="937" ht="24.0" customHeight="1">
      <c r="A937" s="149"/>
      <c r="B937" s="150"/>
      <c r="C937" s="197"/>
      <c r="D937" s="198"/>
      <c r="E937" s="198"/>
      <c r="F937" s="199"/>
      <c r="G937" s="200"/>
      <c r="H937" s="201"/>
      <c r="I937" s="202"/>
      <c r="J937" s="201"/>
      <c r="K937" s="170"/>
      <c r="L937" s="171"/>
      <c r="M937" s="94"/>
      <c r="N937" s="94"/>
      <c r="O937" s="94"/>
      <c r="P937" s="94"/>
      <c r="Q937" s="94"/>
      <c r="R937" s="94"/>
      <c r="S937" s="94"/>
      <c r="T937" s="94"/>
      <c r="U937" s="94"/>
      <c r="V937" s="94"/>
    </row>
    <row r="938" ht="24.0" customHeight="1">
      <c r="A938" s="149"/>
      <c r="B938" s="150"/>
      <c r="C938" s="197"/>
      <c r="D938" s="198"/>
      <c r="E938" s="198"/>
      <c r="F938" s="199"/>
      <c r="G938" s="200"/>
      <c r="H938" s="201"/>
      <c r="I938" s="202"/>
      <c r="J938" s="201"/>
      <c r="K938" s="170"/>
      <c r="L938" s="171"/>
      <c r="M938" s="94"/>
      <c r="N938" s="94"/>
      <c r="O938" s="94"/>
      <c r="P938" s="94"/>
      <c r="Q938" s="94"/>
      <c r="R938" s="94"/>
      <c r="S938" s="94"/>
      <c r="T938" s="94"/>
      <c r="U938" s="94"/>
      <c r="V938" s="94"/>
    </row>
    <row r="939" ht="24.0" customHeight="1">
      <c r="A939" s="149"/>
      <c r="B939" s="150"/>
      <c r="C939" s="197"/>
      <c r="D939" s="198"/>
      <c r="E939" s="198"/>
      <c r="F939" s="199"/>
      <c r="G939" s="200"/>
      <c r="H939" s="201"/>
      <c r="I939" s="202"/>
      <c r="J939" s="201"/>
      <c r="K939" s="170"/>
      <c r="L939" s="171"/>
      <c r="M939" s="94"/>
      <c r="N939" s="94"/>
      <c r="O939" s="94"/>
      <c r="P939" s="94"/>
      <c r="Q939" s="94"/>
      <c r="R939" s="94"/>
      <c r="S939" s="94"/>
      <c r="T939" s="94"/>
      <c r="U939" s="94"/>
      <c r="V939" s="94"/>
    </row>
    <row r="940" ht="24.0" customHeight="1">
      <c r="A940" s="149"/>
      <c r="B940" s="150"/>
      <c r="C940" s="197"/>
      <c r="D940" s="198"/>
      <c r="E940" s="198"/>
      <c r="F940" s="199"/>
      <c r="G940" s="200"/>
      <c r="H940" s="201"/>
      <c r="I940" s="202"/>
      <c r="J940" s="201"/>
      <c r="K940" s="170"/>
      <c r="L940" s="171"/>
      <c r="M940" s="94"/>
      <c r="N940" s="94"/>
      <c r="O940" s="94"/>
      <c r="P940" s="94"/>
      <c r="Q940" s="94"/>
      <c r="R940" s="94"/>
      <c r="S940" s="94"/>
      <c r="T940" s="94"/>
      <c r="U940" s="94"/>
      <c r="V940" s="94"/>
    </row>
    <row r="941" ht="24.0" customHeight="1">
      <c r="A941" s="149"/>
      <c r="B941" s="150"/>
      <c r="C941" s="197"/>
      <c r="D941" s="198"/>
      <c r="E941" s="198"/>
      <c r="F941" s="199"/>
      <c r="G941" s="200"/>
      <c r="H941" s="201"/>
      <c r="I941" s="202"/>
      <c r="J941" s="201"/>
      <c r="K941" s="170"/>
      <c r="L941" s="171"/>
      <c r="M941" s="94"/>
      <c r="N941" s="94"/>
      <c r="O941" s="94"/>
      <c r="P941" s="94"/>
      <c r="Q941" s="94"/>
      <c r="R941" s="94"/>
      <c r="S941" s="94"/>
      <c r="T941" s="94"/>
      <c r="U941" s="94"/>
      <c r="V941" s="94"/>
    </row>
    <row r="942" ht="24.0" customHeight="1">
      <c r="A942" s="149"/>
      <c r="B942" s="150"/>
      <c r="C942" s="197"/>
      <c r="D942" s="198"/>
      <c r="E942" s="198"/>
      <c r="F942" s="199"/>
      <c r="G942" s="200"/>
      <c r="H942" s="201"/>
      <c r="I942" s="202"/>
      <c r="J942" s="201"/>
      <c r="K942" s="170"/>
      <c r="L942" s="171"/>
      <c r="M942" s="94"/>
      <c r="N942" s="94"/>
      <c r="O942" s="94"/>
      <c r="P942" s="94"/>
      <c r="Q942" s="94"/>
      <c r="R942" s="94"/>
      <c r="S942" s="94"/>
      <c r="T942" s="94"/>
      <c r="U942" s="94"/>
      <c r="V942" s="94"/>
    </row>
    <row r="943" ht="24.0" customHeight="1">
      <c r="A943" s="149"/>
      <c r="B943" s="150"/>
      <c r="C943" s="197"/>
      <c r="D943" s="198"/>
      <c r="E943" s="198"/>
      <c r="F943" s="199"/>
      <c r="G943" s="200"/>
      <c r="H943" s="201"/>
      <c r="I943" s="202"/>
      <c r="J943" s="201"/>
      <c r="K943" s="170"/>
      <c r="L943" s="171"/>
      <c r="M943" s="94"/>
      <c r="N943" s="94"/>
      <c r="O943" s="94"/>
      <c r="P943" s="94"/>
      <c r="Q943" s="94"/>
      <c r="R943" s="94"/>
      <c r="S943" s="94"/>
      <c r="T943" s="94"/>
      <c r="U943" s="94"/>
      <c r="V943" s="94"/>
    </row>
    <row r="944" ht="24.0" customHeight="1">
      <c r="A944" s="149"/>
      <c r="B944" s="150"/>
      <c r="C944" s="197"/>
      <c r="D944" s="198"/>
      <c r="E944" s="198"/>
      <c r="F944" s="199"/>
      <c r="G944" s="200"/>
      <c r="H944" s="201"/>
      <c r="I944" s="202"/>
      <c r="J944" s="201"/>
      <c r="K944" s="170"/>
      <c r="L944" s="171"/>
      <c r="M944" s="94"/>
      <c r="N944" s="94"/>
      <c r="O944" s="94"/>
      <c r="P944" s="94"/>
      <c r="Q944" s="94"/>
      <c r="R944" s="94"/>
      <c r="S944" s="94"/>
      <c r="T944" s="94"/>
      <c r="U944" s="94"/>
      <c r="V944" s="94"/>
    </row>
    <row r="945" ht="24.0" customHeight="1">
      <c r="A945" s="149"/>
      <c r="B945" s="150"/>
      <c r="C945" s="197"/>
      <c r="D945" s="198"/>
      <c r="E945" s="198"/>
      <c r="F945" s="199"/>
      <c r="G945" s="200"/>
      <c r="H945" s="201"/>
      <c r="I945" s="202"/>
      <c r="J945" s="201"/>
      <c r="K945" s="170"/>
      <c r="L945" s="171"/>
      <c r="M945" s="94"/>
      <c r="N945" s="94"/>
      <c r="O945" s="94"/>
      <c r="P945" s="94"/>
      <c r="Q945" s="94"/>
      <c r="R945" s="94"/>
      <c r="S945" s="94"/>
      <c r="T945" s="94"/>
      <c r="U945" s="94"/>
      <c r="V945" s="94"/>
    </row>
    <row r="946" ht="24.0" customHeight="1">
      <c r="A946" s="149"/>
      <c r="B946" s="150"/>
      <c r="C946" s="197"/>
      <c r="D946" s="198"/>
      <c r="E946" s="198"/>
      <c r="F946" s="199"/>
      <c r="G946" s="200"/>
      <c r="H946" s="201"/>
      <c r="I946" s="202"/>
      <c r="J946" s="201"/>
      <c r="K946" s="170"/>
      <c r="L946" s="171"/>
      <c r="M946" s="94"/>
      <c r="N946" s="94"/>
      <c r="O946" s="94"/>
      <c r="P946" s="94"/>
      <c r="Q946" s="94"/>
      <c r="R946" s="94"/>
      <c r="S946" s="94"/>
      <c r="T946" s="94"/>
      <c r="U946" s="94"/>
      <c r="V946" s="94"/>
    </row>
    <row r="947" ht="24.0" customHeight="1">
      <c r="A947" s="149"/>
      <c r="B947" s="150"/>
      <c r="C947" s="197"/>
      <c r="D947" s="198"/>
      <c r="E947" s="198"/>
      <c r="F947" s="199"/>
      <c r="G947" s="200"/>
      <c r="H947" s="201"/>
      <c r="I947" s="202"/>
      <c r="J947" s="201"/>
      <c r="K947" s="170"/>
      <c r="L947" s="171"/>
      <c r="M947" s="94"/>
      <c r="N947" s="94"/>
      <c r="O947" s="94"/>
      <c r="P947" s="94"/>
      <c r="Q947" s="94"/>
      <c r="R947" s="94"/>
      <c r="S947" s="94"/>
      <c r="T947" s="94"/>
      <c r="U947" s="94"/>
      <c r="V947" s="94"/>
    </row>
    <row r="948" ht="24.0" customHeight="1">
      <c r="A948" s="149"/>
      <c r="B948" s="150"/>
      <c r="C948" s="197"/>
      <c r="D948" s="198"/>
      <c r="E948" s="198"/>
      <c r="F948" s="199"/>
      <c r="G948" s="200"/>
      <c r="H948" s="201"/>
      <c r="I948" s="202"/>
      <c r="J948" s="201"/>
      <c r="K948" s="170"/>
      <c r="L948" s="171"/>
      <c r="M948" s="94"/>
      <c r="N948" s="94"/>
      <c r="O948" s="94"/>
      <c r="P948" s="94"/>
      <c r="Q948" s="94"/>
      <c r="R948" s="94"/>
      <c r="S948" s="94"/>
      <c r="T948" s="94"/>
      <c r="U948" s="94"/>
      <c r="V948" s="94"/>
    </row>
    <row r="949" ht="24.0" customHeight="1">
      <c r="A949" s="149"/>
      <c r="B949" s="150"/>
      <c r="C949" s="197"/>
      <c r="D949" s="198"/>
      <c r="E949" s="198"/>
      <c r="F949" s="199"/>
      <c r="G949" s="200"/>
      <c r="H949" s="201"/>
      <c r="I949" s="202"/>
      <c r="J949" s="201"/>
      <c r="K949" s="170"/>
      <c r="L949" s="171"/>
      <c r="M949" s="94"/>
      <c r="N949" s="94"/>
      <c r="O949" s="94"/>
      <c r="P949" s="94"/>
      <c r="Q949" s="94"/>
      <c r="R949" s="94"/>
      <c r="S949" s="94"/>
      <c r="T949" s="94"/>
      <c r="U949" s="94"/>
      <c r="V949" s="94"/>
    </row>
    <row r="950" ht="24.0" customHeight="1">
      <c r="A950" s="149"/>
      <c r="B950" s="150"/>
      <c r="C950" s="197"/>
      <c r="D950" s="198"/>
      <c r="E950" s="198"/>
      <c r="F950" s="199"/>
      <c r="G950" s="200"/>
      <c r="H950" s="201"/>
      <c r="I950" s="202"/>
      <c r="J950" s="201"/>
      <c r="K950" s="170"/>
      <c r="L950" s="171"/>
      <c r="M950" s="94"/>
      <c r="N950" s="94"/>
      <c r="O950" s="94"/>
      <c r="P950" s="94"/>
      <c r="Q950" s="94"/>
      <c r="R950" s="94"/>
      <c r="S950" s="94"/>
      <c r="T950" s="94"/>
      <c r="U950" s="94"/>
      <c r="V950" s="94"/>
    </row>
    <row r="951" ht="24.0" customHeight="1">
      <c r="A951" s="149"/>
      <c r="B951" s="150"/>
      <c r="C951" s="197"/>
      <c r="D951" s="198"/>
      <c r="E951" s="198"/>
      <c r="F951" s="199"/>
      <c r="G951" s="200"/>
      <c r="H951" s="201"/>
      <c r="I951" s="202"/>
      <c r="J951" s="201"/>
      <c r="K951" s="170"/>
      <c r="L951" s="171"/>
      <c r="M951" s="94"/>
      <c r="N951" s="94"/>
      <c r="O951" s="94"/>
      <c r="P951" s="94"/>
      <c r="Q951" s="94"/>
      <c r="R951" s="94"/>
      <c r="S951" s="94"/>
      <c r="T951" s="94"/>
      <c r="U951" s="94"/>
      <c r="V951" s="94"/>
    </row>
    <row r="952" ht="24.0" customHeight="1">
      <c r="A952" s="149"/>
      <c r="B952" s="150"/>
      <c r="C952" s="197"/>
      <c r="D952" s="198"/>
      <c r="E952" s="198"/>
      <c r="F952" s="199"/>
      <c r="G952" s="200"/>
      <c r="H952" s="201"/>
      <c r="I952" s="202"/>
      <c r="J952" s="201"/>
      <c r="K952" s="170"/>
      <c r="L952" s="171"/>
      <c r="M952" s="94"/>
      <c r="N952" s="94"/>
      <c r="O952" s="94"/>
      <c r="P952" s="94"/>
      <c r="Q952" s="94"/>
      <c r="R952" s="94"/>
      <c r="S952" s="94"/>
      <c r="T952" s="94"/>
      <c r="U952" s="94"/>
      <c r="V952" s="94"/>
    </row>
    <row r="953" ht="24.0" customHeight="1">
      <c r="A953" s="149"/>
      <c r="B953" s="150"/>
      <c r="C953" s="197"/>
      <c r="D953" s="198"/>
      <c r="E953" s="198"/>
      <c r="F953" s="199"/>
      <c r="G953" s="200"/>
      <c r="H953" s="201"/>
      <c r="I953" s="202"/>
      <c r="J953" s="201"/>
      <c r="K953" s="170"/>
      <c r="L953" s="171"/>
      <c r="M953" s="94"/>
      <c r="N953" s="94"/>
      <c r="O953" s="94"/>
      <c r="P953" s="94"/>
      <c r="Q953" s="94"/>
      <c r="R953" s="94"/>
      <c r="S953" s="94"/>
      <c r="T953" s="94"/>
      <c r="U953" s="94"/>
      <c r="V953" s="94"/>
    </row>
    <row r="954" ht="24.0" customHeight="1">
      <c r="A954" s="149"/>
      <c r="B954" s="150"/>
      <c r="C954" s="197"/>
      <c r="D954" s="198"/>
      <c r="E954" s="198"/>
      <c r="F954" s="199"/>
      <c r="G954" s="200"/>
      <c r="H954" s="201"/>
      <c r="I954" s="202"/>
      <c r="J954" s="201"/>
      <c r="K954" s="170"/>
      <c r="L954" s="171"/>
      <c r="M954" s="94"/>
      <c r="N954" s="94"/>
      <c r="O954" s="94"/>
      <c r="P954" s="94"/>
      <c r="Q954" s="94"/>
      <c r="R954" s="94"/>
      <c r="S954" s="94"/>
      <c r="T954" s="94"/>
      <c r="U954" s="94"/>
      <c r="V954" s="94"/>
    </row>
    <row r="955" ht="24.0" customHeight="1">
      <c r="A955" s="149"/>
      <c r="B955" s="150"/>
      <c r="C955" s="197"/>
      <c r="D955" s="198"/>
      <c r="E955" s="198"/>
      <c r="F955" s="199"/>
      <c r="G955" s="200"/>
      <c r="H955" s="201"/>
      <c r="I955" s="202"/>
      <c r="J955" s="201"/>
      <c r="K955" s="170"/>
      <c r="L955" s="171"/>
      <c r="M955" s="94"/>
      <c r="N955" s="94"/>
      <c r="O955" s="94"/>
      <c r="P955" s="94"/>
      <c r="Q955" s="94"/>
      <c r="R955" s="94"/>
      <c r="S955" s="94"/>
      <c r="T955" s="94"/>
      <c r="U955" s="94"/>
      <c r="V955" s="94"/>
    </row>
    <row r="956" ht="24.0" customHeight="1">
      <c r="A956" s="149"/>
      <c r="B956" s="150"/>
      <c r="C956" s="197"/>
      <c r="D956" s="198"/>
      <c r="E956" s="198"/>
      <c r="F956" s="199"/>
      <c r="G956" s="200"/>
      <c r="H956" s="201"/>
      <c r="I956" s="202"/>
      <c r="J956" s="201"/>
      <c r="K956" s="170"/>
      <c r="L956" s="171"/>
      <c r="M956" s="94"/>
      <c r="N956" s="94"/>
      <c r="O956" s="94"/>
      <c r="P956" s="94"/>
      <c r="Q956" s="94"/>
      <c r="R956" s="94"/>
      <c r="S956" s="94"/>
      <c r="T956" s="94"/>
      <c r="U956" s="94"/>
      <c r="V956" s="94"/>
    </row>
    <row r="957" ht="24.0" customHeight="1">
      <c r="A957" s="149"/>
      <c r="B957" s="150"/>
      <c r="C957" s="197"/>
      <c r="D957" s="198"/>
      <c r="E957" s="198"/>
      <c r="F957" s="199"/>
      <c r="G957" s="200"/>
      <c r="H957" s="201"/>
      <c r="I957" s="202"/>
      <c r="J957" s="201"/>
      <c r="K957" s="170"/>
      <c r="L957" s="171"/>
      <c r="M957" s="94"/>
      <c r="N957" s="94"/>
      <c r="O957" s="94"/>
      <c r="P957" s="94"/>
      <c r="Q957" s="94"/>
      <c r="R957" s="94"/>
      <c r="S957" s="94"/>
      <c r="T957" s="94"/>
      <c r="U957" s="94"/>
      <c r="V957" s="94"/>
    </row>
    <row r="958" ht="24.0" customHeight="1">
      <c r="A958" s="149"/>
      <c r="B958" s="150"/>
      <c r="C958" s="197"/>
      <c r="D958" s="198"/>
      <c r="E958" s="198"/>
      <c r="F958" s="199"/>
      <c r="G958" s="200"/>
      <c r="H958" s="201"/>
      <c r="I958" s="202"/>
      <c r="J958" s="201"/>
      <c r="K958" s="170"/>
      <c r="L958" s="171"/>
      <c r="M958" s="94"/>
      <c r="N958" s="94"/>
      <c r="O958" s="94"/>
      <c r="P958" s="94"/>
      <c r="Q958" s="94"/>
      <c r="R958" s="94"/>
      <c r="S958" s="94"/>
      <c r="T958" s="94"/>
      <c r="U958" s="94"/>
      <c r="V958" s="94"/>
    </row>
    <row r="959" ht="24.0" customHeight="1">
      <c r="A959" s="149"/>
      <c r="B959" s="150"/>
      <c r="C959" s="197"/>
      <c r="D959" s="198"/>
      <c r="E959" s="198"/>
      <c r="F959" s="199"/>
      <c r="G959" s="200"/>
      <c r="H959" s="201"/>
      <c r="I959" s="202"/>
      <c r="J959" s="201"/>
      <c r="K959" s="170"/>
      <c r="L959" s="171"/>
      <c r="M959" s="94"/>
      <c r="N959" s="94"/>
      <c r="O959" s="94"/>
      <c r="P959" s="94"/>
      <c r="Q959" s="94"/>
      <c r="R959" s="94"/>
      <c r="S959" s="94"/>
      <c r="T959" s="94"/>
      <c r="U959" s="94"/>
      <c r="V959" s="94"/>
    </row>
    <row r="960" ht="24.0" customHeight="1">
      <c r="A960" s="149"/>
      <c r="B960" s="150"/>
      <c r="C960" s="197"/>
      <c r="D960" s="198"/>
      <c r="E960" s="198"/>
      <c r="F960" s="199"/>
      <c r="G960" s="200"/>
      <c r="H960" s="201"/>
      <c r="I960" s="202"/>
      <c r="J960" s="201"/>
      <c r="K960" s="170"/>
      <c r="L960" s="171"/>
      <c r="M960" s="94"/>
      <c r="N960" s="94"/>
      <c r="O960" s="94"/>
      <c r="P960" s="94"/>
      <c r="Q960" s="94"/>
      <c r="R960" s="94"/>
      <c r="S960" s="94"/>
      <c r="T960" s="94"/>
      <c r="U960" s="94"/>
      <c r="V960" s="94"/>
    </row>
    <row r="961" ht="24.0" customHeight="1">
      <c r="A961" s="149"/>
      <c r="B961" s="150"/>
      <c r="C961" s="197"/>
      <c r="D961" s="198"/>
      <c r="E961" s="198"/>
      <c r="F961" s="199"/>
      <c r="G961" s="200"/>
      <c r="H961" s="201"/>
      <c r="I961" s="202"/>
      <c r="J961" s="201"/>
      <c r="K961" s="170"/>
      <c r="L961" s="171"/>
      <c r="M961" s="94"/>
      <c r="N961" s="94"/>
      <c r="O961" s="94"/>
      <c r="P961" s="94"/>
      <c r="Q961" s="94"/>
      <c r="R961" s="94"/>
      <c r="S961" s="94"/>
      <c r="T961" s="94"/>
      <c r="U961" s="94"/>
      <c r="V961" s="94"/>
    </row>
    <row r="962" ht="24.0" customHeight="1">
      <c r="A962" s="149"/>
      <c r="B962" s="150"/>
      <c r="C962" s="197"/>
      <c r="D962" s="198"/>
      <c r="E962" s="198"/>
      <c r="F962" s="199"/>
      <c r="G962" s="200"/>
      <c r="H962" s="201"/>
      <c r="I962" s="202"/>
      <c r="J962" s="201"/>
      <c r="K962" s="170"/>
      <c r="L962" s="171"/>
      <c r="M962" s="94"/>
      <c r="N962" s="94"/>
      <c r="O962" s="94"/>
      <c r="P962" s="94"/>
      <c r="Q962" s="94"/>
      <c r="R962" s="94"/>
      <c r="S962" s="94"/>
      <c r="T962" s="94"/>
      <c r="U962" s="94"/>
      <c r="V962" s="94"/>
    </row>
    <row r="963" ht="24.0" customHeight="1">
      <c r="A963" s="149"/>
      <c r="B963" s="150"/>
      <c r="C963" s="197"/>
      <c r="D963" s="198"/>
      <c r="E963" s="198"/>
      <c r="F963" s="199"/>
      <c r="G963" s="200"/>
      <c r="H963" s="201"/>
      <c r="I963" s="202"/>
      <c r="J963" s="201"/>
      <c r="K963" s="170"/>
      <c r="L963" s="171"/>
      <c r="M963" s="94"/>
      <c r="N963" s="94"/>
      <c r="O963" s="94"/>
      <c r="P963" s="94"/>
      <c r="Q963" s="94"/>
      <c r="R963" s="94"/>
      <c r="S963" s="94"/>
      <c r="T963" s="94"/>
      <c r="U963" s="94"/>
      <c r="V963" s="94"/>
    </row>
    <row r="964" ht="24.0" customHeight="1">
      <c r="A964" s="149"/>
      <c r="B964" s="150"/>
      <c r="C964" s="197"/>
      <c r="D964" s="198"/>
      <c r="E964" s="198"/>
      <c r="F964" s="199"/>
      <c r="G964" s="200"/>
      <c r="H964" s="201"/>
      <c r="I964" s="202"/>
      <c r="J964" s="201"/>
      <c r="K964" s="170"/>
      <c r="L964" s="171"/>
      <c r="M964" s="94"/>
      <c r="N964" s="94"/>
      <c r="O964" s="94"/>
      <c r="P964" s="94"/>
      <c r="Q964" s="94"/>
      <c r="R964" s="94"/>
      <c r="S964" s="94"/>
      <c r="T964" s="94"/>
      <c r="U964" s="94"/>
      <c r="V964" s="94"/>
    </row>
    <row r="965" ht="24.0" customHeight="1">
      <c r="A965" s="149"/>
      <c r="B965" s="150"/>
      <c r="C965" s="197"/>
      <c r="D965" s="198"/>
      <c r="E965" s="198"/>
      <c r="F965" s="199"/>
      <c r="G965" s="200"/>
      <c r="H965" s="201"/>
      <c r="I965" s="202"/>
      <c r="J965" s="201"/>
      <c r="K965" s="170"/>
      <c r="L965" s="171"/>
      <c r="M965" s="94"/>
      <c r="N965" s="94"/>
      <c r="O965" s="94"/>
      <c r="P965" s="94"/>
      <c r="Q965" s="94"/>
      <c r="R965" s="94"/>
      <c r="S965" s="94"/>
      <c r="T965" s="94"/>
      <c r="U965" s="94"/>
      <c r="V965" s="94"/>
    </row>
    <row r="966" ht="24.0" customHeight="1">
      <c r="A966" s="149"/>
      <c r="B966" s="150"/>
      <c r="C966" s="197"/>
      <c r="D966" s="198"/>
      <c r="E966" s="198"/>
      <c r="F966" s="199"/>
      <c r="G966" s="200"/>
      <c r="H966" s="201"/>
      <c r="I966" s="202"/>
      <c r="J966" s="201"/>
      <c r="K966" s="170"/>
      <c r="L966" s="171"/>
      <c r="M966" s="94"/>
      <c r="N966" s="94"/>
      <c r="O966" s="94"/>
      <c r="P966" s="94"/>
      <c r="Q966" s="94"/>
      <c r="R966" s="94"/>
      <c r="S966" s="94"/>
      <c r="T966" s="94"/>
      <c r="U966" s="94"/>
      <c r="V966" s="94"/>
    </row>
    <row r="967" ht="24.0" customHeight="1">
      <c r="A967" s="149"/>
      <c r="B967" s="150"/>
      <c r="C967" s="197"/>
      <c r="D967" s="198"/>
      <c r="E967" s="198"/>
      <c r="F967" s="199"/>
      <c r="G967" s="200"/>
      <c r="H967" s="201"/>
      <c r="I967" s="202"/>
      <c r="J967" s="201"/>
      <c r="K967" s="170"/>
      <c r="L967" s="171"/>
      <c r="M967" s="94"/>
      <c r="N967" s="94"/>
      <c r="O967" s="94"/>
      <c r="P967" s="94"/>
      <c r="Q967" s="94"/>
      <c r="R967" s="94"/>
      <c r="S967" s="94"/>
      <c r="T967" s="94"/>
      <c r="U967" s="94"/>
      <c r="V967" s="94"/>
    </row>
    <row r="968" ht="24.0" customHeight="1">
      <c r="A968" s="149"/>
      <c r="B968" s="150"/>
      <c r="C968" s="197"/>
      <c r="D968" s="198"/>
      <c r="E968" s="198"/>
      <c r="F968" s="199"/>
      <c r="G968" s="200"/>
      <c r="H968" s="201"/>
      <c r="I968" s="202"/>
      <c r="J968" s="201"/>
      <c r="K968" s="170"/>
      <c r="L968" s="171"/>
      <c r="M968" s="94"/>
      <c r="N968" s="94"/>
      <c r="O968" s="94"/>
      <c r="P968" s="94"/>
      <c r="Q968" s="94"/>
      <c r="R968" s="94"/>
      <c r="S968" s="94"/>
      <c r="T968" s="94"/>
      <c r="U968" s="94"/>
      <c r="V968" s="94"/>
    </row>
    <row r="969" ht="24.0" customHeight="1">
      <c r="A969" s="149"/>
      <c r="B969" s="150"/>
      <c r="C969" s="197"/>
      <c r="D969" s="198"/>
      <c r="E969" s="198"/>
      <c r="F969" s="199"/>
      <c r="G969" s="200"/>
      <c r="H969" s="201"/>
      <c r="I969" s="202"/>
      <c r="J969" s="201"/>
      <c r="K969" s="170"/>
      <c r="L969" s="171"/>
      <c r="M969" s="94"/>
      <c r="N969" s="94"/>
      <c r="O969" s="94"/>
      <c r="P969" s="94"/>
      <c r="Q969" s="94"/>
      <c r="R969" s="94"/>
      <c r="S969" s="94"/>
      <c r="T969" s="94"/>
      <c r="U969" s="94"/>
      <c r="V969" s="94"/>
    </row>
    <row r="970" ht="24.0" customHeight="1">
      <c r="A970" s="149"/>
      <c r="B970" s="150"/>
      <c r="C970" s="197"/>
      <c r="D970" s="198"/>
      <c r="E970" s="198"/>
      <c r="F970" s="199"/>
      <c r="G970" s="200"/>
      <c r="H970" s="201"/>
      <c r="I970" s="202"/>
      <c r="J970" s="201"/>
      <c r="K970" s="170"/>
      <c r="L970" s="171"/>
      <c r="M970" s="94"/>
      <c r="N970" s="94"/>
      <c r="O970" s="94"/>
      <c r="P970" s="94"/>
      <c r="Q970" s="94"/>
      <c r="R970" s="94"/>
      <c r="S970" s="94"/>
      <c r="T970" s="94"/>
      <c r="U970" s="94"/>
      <c r="V970" s="94"/>
    </row>
    <row r="971" ht="24.0" customHeight="1">
      <c r="A971" s="149"/>
      <c r="B971" s="150"/>
      <c r="C971" s="197"/>
      <c r="D971" s="198"/>
      <c r="E971" s="198"/>
      <c r="F971" s="199"/>
      <c r="G971" s="200"/>
      <c r="H971" s="201"/>
      <c r="I971" s="202"/>
      <c r="J971" s="201"/>
      <c r="K971" s="170"/>
      <c r="L971" s="171"/>
      <c r="M971" s="94"/>
      <c r="N971" s="94"/>
      <c r="O971" s="94"/>
      <c r="P971" s="94"/>
      <c r="Q971" s="94"/>
      <c r="R971" s="94"/>
      <c r="S971" s="94"/>
      <c r="T971" s="94"/>
      <c r="U971" s="94"/>
      <c r="V971" s="94"/>
    </row>
    <row r="972" ht="24.0" customHeight="1">
      <c r="A972" s="149"/>
      <c r="B972" s="150"/>
      <c r="C972" s="197"/>
      <c r="D972" s="198"/>
      <c r="E972" s="198"/>
      <c r="F972" s="199"/>
      <c r="G972" s="200"/>
      <c r="H972" s="201"/>
      <c r="I972" s="202"/>
      <c r="J972" s="201"/>
      <c r="K972" s="170"/>
      <c r="L972" s="171"/>
      <c r="M972" s="94"/>
      <c r="N972" s="94"/>
      <c r="O972" s="94"/>
      <c r="P972" s="94"/>
      <c r="Q972" s="94"/>
      <c r="R972" s="94"/>
      <c r="S972" s="94"/>
      <c r="T972" s="94"/>
      <c r="U972" s="94"/>
      <c r="V972" s="94"/>
    </row>
    <row r="973" ht="24.0" customHeight="1">
      <c r="A973" s="149"/>
      <c r="B973" s="150"/>
      <c r="C973" s="197"/>
      <c r="D973" s="198"/>
      <c r="E973" s="198"/>
      <c r="F973" s="199"/>
      <c r="G973" s="200"/>
      <c r="H973" s="201"/>
      <c r="I973" s="202"/>
      <c r="J973" s="201"/>
      <c r="K973" s="170"/>
      <c r="L973" s="171"/>
      <c r="M973" s="94"/>
      <c r="N973" s="94"/>
      <c r="O973" s="94"/>
      <c r="P973" s="94"/>
      <c r="Q973" s="94"/>
      <c r="R973" s="94"/>
      <c r="S973" s="94"/>
      <c r="T973" s="94"/>
      <c r="U973" s="94"/>
      <c r="V973" s="94"/>
    </row>
    <row r="974" ht="24.0" customHeight="1">
      <c r="A974" s="149"/>
      <c r="B974" s="150"/>
      <c r="C974" s="197"/>
      <c r="D974" s="198"/>
      <c r="E974" s="198"/>
      <c r="F974" s="199"/>
      <c r="G974" s="200"/>
      <c r="H974" s="201"/>
      <c r="I974" s="202"/>
      <c r="J974" s="201"/>
      <c r="K974" s="170"/>
      <c r="L974" s="171"/>
      <c r="M974" s="94"/>
      <c r="N974" s="94"/>
      <c r="O974" s="94"/>
      <c r="P974" s="94"/>
      <c r="Q974" s="94"/>
      <c r="R974" s="94"/>
      <c r="S974" s="94"/>
      <c r="T974" s="94"/>
      <c r="U974" s="94"/>
      <c r="V974" s="94"/>
    </row>
    <row r="975" ht="24.0" customHeight="1">
      <c r="A975" s="149"/>
      <c r="B975" s="150"/>
      <c r="C975" s="197"/>
      <c r="D975" s="198"/>
      <c r="E975" s="198"/>
      <c r="F975" s="199"/>
      <c r="G975" s="200"/>
      <c r="H975" s="201"/>
      <c r="I975" s="202"/>
      <c r="J975" s="201"/>
      <c r="K975" s="170"/>
      <c r="L975" s="171"/>
      <c r="M975" s="94"/>
      <c r="N975" s="94"/>
      <c r="O975" s="94"/>
      <c r="P975" s="94"/>
      <c r="Q975" s="94"/>
      <c r="R975" s="94"/>
      <c r="S975" s="94"/>
      <c r="T975" s="94"/>
      <c r="U975" s="94"/>
      <c r="V975" s="94"/>
    </row>
    <row r="976" ht="24.0" customHeight="1">
      <c r="A976" s="149"/>
      <c r="B976" s="150"/>
      <c r="C976" s="197"/>
      <c r="D976" s="198"/>
      <c r="E976" s="198"/>
      <c r="F976" s="199"/>
      <c r="G976" s="200"/>
      <c r="H976" s="201"/>
      <c r="I976" s="202"/>
      <c r="J976" s="201"/>
      <c r="K976" s="170"/>
      <c r="L976" s="171"/>
      <c r="M976" s="94"/>
      <c r="N976" s="94"/>
      <c r="O976" s="94"/>
      <c r="P976" s="94"/>
      <c r="Q976" s="94"/>
      <c r="R976" s="94"/>
      <c r="S976" s="94"/>
      <c r="T976" s="94"/>
      <c r="U976" s="94"/>
      <c r="V976" s="94"/>
    </row>
    <row r="977" ht="24.0" customHeight="1">
      <c r="A977" s="149"/>
      <c r="B977" s="150"/>
      <c r="C977" s="197"/>
      <c r="D977" s="198"/>
      <c r="E977" s="198"/>
      <c r="F977" s="199"/>
      <c r="G977" s="200"/>
      <c r="H977" s="201"/>
      <c r="I977" s="202"/>
      <c r="J977" s="201"/>
      <c r="K977" s="170"/>
      <c r="L977" s="171"/>
      <c r="M977" s="94"/>
      <c r="N977" s="94"/>
      <c r="O977" s="94"/>
      <c r="P977" s="94"/>
      <c r="Q977" s="94"/>
      <c r="R977" s="94"/>
      <c r="S977" s="94"/>
      <c r="T977" s="94"/>
      <c r="U977" s="94"/>
      <c r="V977" s="94"/>
    </row>
    <row r="978" ht="24.0" customHeight="1">
      <c r="A978" s="149"/>
      <c r="B978" s="150"/>
      <c r="C978" s="197"/>
      <c r="D978" s="198"/>
      <c r="E978" s="198"/>
      <c r="F978" s="199"/>
      <c r="G978" s="200"/>
      <c r="H978" s="201"/>
      <c r="I978" s="202"/>
      <c r="J978" s="201"/>
      <c r="K978" s="170"/>
      <c r="L978" s="171"/>
      <c r="M978" s="94"/>
      <c r="N978" s="94"/>
      <c r="O978" s="94"/>
      <c r="P978" s="94"/>
      <c r="Q978" s="94"/>
      <c r="R978" s="94"/>
      <c r="S978" s="94"/>
      <c r="T978" s="94"/>
      <c r="U978" s="94"/>
      <c r="V978" s="94"/>
    </row>
    <row r="979" ht="24.0" customHeight="1">
      <c r="A979" s="149"/>
      <c r="B979" s="150"/>
      <c r="C979" s="197"/>
      <c r="D979" s="198"/>
      <c r="E979" s="198"/>
      <c r="F979" s="199"/>
      <c r="G979" s="200"/>
      <c r="H979" s="201"/>
      <c r="I979" s="202"/>
      <c r="J979" s="201"/>
      <c r="K979" s="170"/>
      <c r="L979" s="171"/>
      <c r="M979" s="94"/>
      <c r="N979" s="94"/>
      <c r="O979" s="94"/>
      <c r="P979" s="94"/>
      <c r="Q979" s="94"/>
      <c r="R979" s="94"/>
      <c r="S979" s="94"/>
      <c r="T979" s="94"/>
      <c r="U979" s="94"/>
      <c r="V979" s="94"/>
    </row>
    <row r="980" ht="24.0" customHeight="1">
      <c r="A980" s="149"/>
      <c r="B980" s="150"/>
      <c r="C980" s="197"/>
      <c r="D980" s="198"/>
      <c r="E980" s="198"/>
      <c r="F980" s="199"/>
      <c r="G980" s="200"/>
      <c r="H980" s="201"/>
      <c r="I980" s="202"/>
      <c r="J980" s="201"/>
      <c r="K980" s="170"/>
      <c r="L980" s="171"/>
      <c r="M980" s="94"/>
      <c r="N980" s="94"/>
      <c r="O980" s="94"/>
      <c r="P980" s="94"/>
      <c r="Q980" s="94"/>
      <c r="R980" s="94"/>
      <c r="S980" s="94"/>
      <c r="T980" s="94"/>
      <c r="U980" s="94"/>
      <c r="V980" s="94"/>
    </row>
    <row r="981" ht="24.0" customHeight="1">
      <c r="A981" s="149"/>
      <c r="B981" s="150"/>
      <c r="C981" s="197"/>
      <c r="D981" s="198"/>
      <c r="E981" s="198"/>
      <c r="F981" s="199"/>
      <c r="G981" s="200"/>
      <c r="H981" s="201"/>
      <c r="I981" s="202"/>
      <c r="J981" s="201"/>
      <c r="K981" s="170"/>
      <c r="L981" s="171"/>
      <c r="M981" s="94"/>
      <c r="N981" s="94"/>
      <c r="O981" s="94"/>
      <c r="P981" s="94"/>
      <c r="Q981" s="94"/>
      <c r="R981" s="94"/>
      <c r="S981" s="94"/>
      <c r="T981" s="94"/>
      <c r="U981" s="94"/>
      <c r="V981" s="94"/>
    </row>
    <row r="982" ht="24.0" customHeight="1">
      <c r="A982" s="149"/>
      <c r="B982" s="150"/>
      <c r="C982" s="197"/>
      <c r="D982" s="198"/>
      <c r="E982" s="198"/>
      <c r="F982" s="199"/>
      <c r="G982" s="200"/>
      <c r="H982" s="201"/>
      <c r="I982" s="202"/>
      <c r="J982" s="201"/>
      <c r="K982" s="170"/>
      <c r="L982" s="171"/>
      <c r="M982" s="94"/>
      <c r="N982" s="94"/>
      <c r="O982" s="94"/>
      <c r="P982" s="94"/>
      <c r="Q982" s="94"/>
      <c r="R982" s="94"/>
      <c r="S982" s="94"/>
      <c r="T982" s="94"/>
      <c r="U982" s="94"/>
      <c r="V982" s="94"/>
    </row>
    <row r="983" ht="24.0" customHeight="1">
      <c r="A983" s="149"/>
      <c r="B983" s="150"/>
      <c r="C983" s="197"/>
      <c r="D983" s="198"/>
      <c r="E983" s="198"/>
      <c r="F983" s="199"/>
      <c r="G983" s="200"/>
      <c r="H983" s="201"/>
      <c r="I983" s="202"/>
      <c r="J983" s="201"/>
      <c r="K983" s="170"/>
      <c r="L983" s="171"/>
      <c r="M983" s="94"/>
      <c r="N983" s="94"/>
      <c r="O983" s="94"/>
      <c r="P983" s="94"/>
      <c r="Q983" s="94"/>
      <c r="R983" s="94"/>
      <c r="S983" s="94"/>
      <c r="T983" s="94"/>
      <c r="U983" s="94"/>
      <c r="V983" s="94"/>
    </row>
    <row r="984" ht="24.0" customHeight="1">
      <c r="A984" s="149"/>
      <c r="B984" s="150"/>
      <c r="C984" s="197"/>
      <c r="D984" s="198"/>
      <c r="E984" s="198"/>
      <c r="F984" s="199"/>
      <c r="G984" s="200"/>
      <c r="H984" s="201"/>
      <c r="I984" s="202"/>
      <c r="J984" s="201"/>
      <c r="K984" s="170"/>
      <c r="L984" s="171"/>
      <c r="M984" s="94"/>
      <c r="N984" s="94"/>
      <c r="O984" s="94"/>
      <c r="P984" s="94"/>
      <c r="Q984" s="94"/>
      <c r="R984" s="94"/>
      <c r="S984" s="94"/>
      <c r="T984" s="94"/>
      <c r="U984" s="94"/>
      <c r="V984" s="94"/>
    </row>
    <row r="985" ht="24.0" customHeight="1">
      <c r="A985" s="149"/>
      <c r="B985" s="150"/>
      <c r="C985" s="197"/>
      <c r="D985" s="198"/>
      <c r="E985" s="198"/>
      <c r="F985" s="199"/>
      <c r="G985" s="200"/>
      <c r="H985" s="201"/>
      <c r="I985" s="202"/>
      <c r="J985" s="201"/>
      <c r="K985" s="170"/>
      <c r="L985" s="171"/>
      <c r="M985" s="94"/>
      <c r="N985" s="94"/>
      <c r="O985" s="94"/>
      <c r="P985" s="94"/>
      <c r="Q985" s="94"/>
      <c r="R985" s="94"/>
      <c r="S985" s="94"/>
      <c r="T985" s="94"/>
      <c r="U985" s="94"/>
      <c r="V985" s="94"/>
    </row>
    <row r="986" ht="24.0" customHeight="1">
      <c r="A986" s="149"/>
      <c r="B986" s="150"/>
      <c r="C986" s="197"/>
      <c r="D986" s="198"/>
      <c r="E986" s="198"/>
      <c r="F986" s="199"/>
      <c r="G986" s="200"/>
      <c r="H986" s="201"/>
      <c r="I986" s="202"/>
      <c r="J986" s="201"/>
      <c r="K986" s="170"/>
      <c r="L986" s="171"/>
      <c r="M986" s="94"/>
      <c r="N986" s="94"/>
      <c r="O986" s="94"/>
      <c r="P986" s="94"/>
      <c r="Q986" s="94"/>
      <c r="R986" s="94"/>
      <c r="S986" s="94"/>
      <c r="T986" s="94"/>
      <c r="U986" s="94"/>
      <c r="V986" s="94"/>
    </row>
    <row r="987" ht="24.0" customHeight="1">
      <c r="A987" s="149"/>
      <c r="B987" s="150"/>
      <c r="C987" s="197"/>
      <c r="D987" s="198"/>
      <c r="E987" s="198"/>
      <c r="F987" s="199"/>
      <c r="G987" s="200"/>
      <c r="H987" s="201"/>
      <c r="I987" s="202"/>
      <c r="J987" s="201"/>
      <c r="K987" s="170"/>
      <c r="L987" s="171"/>
      <c r="M987" s="94"/>
      <c r="N987" s="94"/>
      <c r="O987" s="94"/>
      <c r="P987" s="94"/>
      <c r="Q987" s="94"/>
      <c r="R987" s="94"/>
      <c r="S987" s="94"/>
      <c r="T987" s="94"/>
      <c r="U987" s="94"/>
      <c r="V987" s="94"/>
    </row>
    <row r="988" ht="24.0" customHeight="1">
      <c r="A988" s="149"/>
      <c r="B988" s="150"/>
      <c r="C988" s="197"/>
      <c r="D988" s="198"/>
      <c r="E988" s="198"/>
      <c r="F988" s="199"/>
      <c r="G988" s="200"/>
      <c r="H988" s="201"/>
      <c r="I988" s="202"/>
      <c r="J988" s="201"/>
      <c r="K988" s="170"/>
      <c r="L988" s="171"/>
      <c r="M988" s="94"/>
      <c r="N988" s="94"/>
      <c r="O988" s="94"/>
      <c r="P988" s="94"/>
      <c r="Q988" s="94"/>
      <c r="R988" s="94"/>
      <c r="S988" s="94"/>
      <c r="T988" s="94"/>
      <c r="U988" s="94"/>
      <c r="V988" s="94"/>
    </row>
    <row r="989" ht="24.0" customHeight="1">
      <c r="A989" s="149"/>
      <c r="B989" s="150"/>
      <c r="C989" s="197"/>
      <c r="D989" s="198"/>
      <c r="E989" s="198"/>
      <c r="F989" s="199"/>
      <c r="G989" s="200"/>
      <c r="H989" s="201"/>
      <c r="I989" s="202"/>
      <c r="J989" s="201"/>
      <c r="K989" s="170"/>
      <c r="L989" s="171"/>
      <c r="M989" s="94"/>
      <c r="N989" s="94"/>
      <c r="O989" s="94"/>
      <c r="P989" s="94"/>
      <c r="Q989" s="94"/>
      <c r="R989" s="94"/>
      <c r="S989" s="94"/>
      <c r="T989" s="94"/>
      <c r="U989" s="94"/>
      <c r="V989" s="94"/>
    </row>
    <row r="990" ht="24.0" customHeight="1">
      <c r="A990" s="149"/>
      <c r="B990" s="150"/>
      <c r="C990" s="197"/>
      <c r="D990" s="198"/>
      <c r="E990" s="198"/>
      <c r="F990" s="199"/>
      <c r="G990" s="200"/>
      <c r="H990" s="201"/>
      <c r="I990" s="202"/>
      <c r="J990" s="201"/>
      <c r="K990" s="170"/>
      <c r="L990" s="171"/>
      <c r="M990" s="94"/>
      <c r="N990" s="94"/>
      <c r="O990" s="94"/>
      <c r="P990" s="94"/>
      <c r="Q990" s="94"/>
      <c r="R990" s="94"/>
      <c r="S990" s="94"/>
      <c r="T990" s="94"/>
      <c r="U990" s="94"/>
      <c r="V990" s="94"/>
    </row>
    <row r="991" ht="24.0" customHeight="1">
      <c r="A991" s="149"/>
      <c r="B991" s="150"/>
      <c r="C991" s="197"/>
      <c r="D991" s="198"/>
      <c r="E991" s="198"/>
      <c r="F991" s="199"/>
      <c r="G991" s="200"/>
      <c r="H991" s="201"/>
      <c r="I991" s="202"/>
      <c r="J991" s="201"/>
      <c r="K991" s="170"/>
      <c r="L991" s="171"/>
      <c r="M991" s="94"/>
      <c r="N991" s="94"/>
      <c r="O991" s="94"/>
      <c r="P991" s="94"/>
      <c r="Q991" s="94"/>
      <c r="R991" s="94"/>
      <c r="S991" s="94"/>
      <c r="T991" s="94"/>
      <c r="U991" s="94"/>
      <c r="V991" s="94"/>
    </row>
    <row r="992" ht="24.0" customHeight="1">
      <c r="A992" s="149"/>
      <c r="B992" s="150"/>
      <c r="C992" s="197"/>
      <c r="D992" s="198"/>
      <c r="E992" s="198"/>
      <c r="F992" s="199"/>
      <c r="G992" s="200"/>
      <c r="H992" s="201"/>
      <c r="I992" s="202"/>
      <c r="J992" s="201"/>
      <c r="K992" s="170"/>
      <c r="L992" s="171"/>
      <c r="M992" s="94"/>
      <c r="N992" s="94"/>
      <c r="O992" s="94"/>
      <c r="P992" s="94"/>
      <c r="Q992" s="94"/>
      <c r="R992" s="94"/>
      <c r="S992" s="94"/>
      <c r="T992" s="94"/>
      <c r="U992" s="94"/>
      <c r="V992" s="94"/>
    </row>
    <row r="993" ht="24.0" customHeight="1">
      <c r="A993" s="149"/>
      <c r="B993" s="150"/>
      <c r="C993" s="197"/>
      <c r="D993" s="198"/>
      <c r="E993" s="198"/>
      <c r="F993" s="199"/>
      <c r="G993" s="200"/>
      <c r="H993" s="201"/>
      <c r="I993" s="202"/>
      <c r="J993" s="201"/>
      <c r="K993" s="170"/>
      <c r="L993" s="171"/>
      <c r="M993" s="94"/>
      <c r="N993" s="94"/>
      <c r="O993" s="94"/>
      <c r="P993" s="94"/>
      <c r="Q993" s="94"/>
      <c r="R993" s="94"/>
      <c r="S993" s="94"/>
      <c r="T993" s="94"/>
      <c r="U993" s="94"/>
      <c r="V993" s="94"/>
    </row>
    <row r="994" ht="24.0" customHeight="1">
      <c r="A994" s="149"/>
      <c r="B994" s="150"/>
      <c r="C994" s="197"/>
      <c r="D994" s="198"/>
      <c r="E994" s="198"/>
      <c r="F994" s="199"/>
      <c r="G994" s="200"/>
      <c r="H994" s="201"/>
      <c r="I994" s="202"/>
      <c r="J994" s="201"/>
      <c r="K994" s="170"/>
      <c r="L994" s="171"/>
      <c r="M994" s="94"/>
      <c r="N994" s="94"/>
      <c r="O994" s="94"/>
      <c r="P994" s="94"/>
      <c r="Q994" s="94"/>
      <c r="R994" s="94"/>
      <c r="S994" s="94"/>
      <c r="T994" s="94"/>
      <c r="U994" s="94"/>
      <c r="V994" s="94"/>
    </row>
    <row r="995" ht="24.0" customHeight="1">
      <c r="A995" s="149"/>
      <c r="B995" s="150"/>
      <c r="C995" s="197"/>
      <c r="D995" s="198"/>
      <c r="E995" s="198"/>
      <c r="F995" s="199"/>
      <c r="G995" s="200"/>
      <c r="H995" s="201"/>
      <c r="I995" s="202"/>
      <c r="J995" s="201"/>
      <c r="K995" s="170"/>
      <c r="L995" s="171"/>
      <c r="M995" s="94"/>
      <c r="N995" s="94"/>
      <c r="O995" s="94"/>
      <c r="P995" s="94"/>
      <c r="Q995" s="94"/>
      <c r="R995" s="94"/>
      <c r="S995" s="94"/>
      <c r="T995" s="94"/>
      <c r="U995" s="94"/>
      <c r="V995" s="94"/>
    </row>
    <row r="996" ht="24.0" customHeight="1">
      <c r="A996" s="149"/>
      <c r="B996" s="150"/>
      <c r="C996" s="197"/>
      <c r="D996" s="198"/>
      <c r="E996" s="198"/>
      <c r="F996" s="199"/>
      <c r="G996" s="200"/>
      <c r="H996" s="201"/>
      <c r="I996" s="202"/>
      <c r="J996" s="201"/>
      <c r="K996" s="170"/>
      <c r="L996" s="171"/>
      <c r="M996" s="94"/>
      <c r="N996" s="94"/>
      <c r="O996" s="94"/>
      <c r="P996" s="94"/>
      <c r="Q996" s="94"/>
      <c r="R996" s="94"/>
      <c r="S996" s="94"/>
      <c r="T996" s="94"/>
      <c r="U996" s="94"/>
      <c r="V996" s="94"/>
    </row>
    <row r="997" ht="24.0" customHeight="1">
      <c r="A997" s="149"/>
      <c r="B997" s="150"/>
      <c r="C997" s="197"/>
      <c r="D997" s="198"/>
      <c r="E997" s="198"/>
      <c r="F997" s="199"/>
      <c r="G997" s="200"/>
      <c r="H997" s="201"/>
      <c r="I997" s="202"/>
      <c r="J997" s="201"/>
      <c r="K997" s="170"/>
      <c r="L997" s="171"/>
      <c r="M997" s="94"/>
      <c r="N997" s="94"/>
      <c r="O997" s="94"/>
      <c r="P997" s="94"/>
      <c r="Q997" s="94"/>
      <c r="R997" s="94"/>
      <c r="S997" s="94"/>
      <c r="T997" s="94"/>
      <c r="U997" s="94"/>
      <c r="V997" s="94"/>
    </row>
    <row r="998" ht="24.0" customHeight="1">
      <c r="A998" s="149"/>
      <c r="B998" s="150"/>
      <c r="C998" s="197"/>
      <c r="D998" s="198"/>
      <c r="E998" s="198"/>
      <c r="F998" s="199"/>
      <c r="G998" s="200"/>
      <c r="H998" s="201"/>
      <c r="I998" s="202"/>
      <c r="J998" s="201"/>
      <c r="K998" s="170"/>
      <c r="L998" s="171"/>
      <c r="M998" s="94"/>
      <c r="N998" s="94"/>
      <c r="O998" s="94"/>
      <c r="P998" s="94"/>
      <c r="Q998" s="94"/>
      <c r="R998" s="94"/>
      <c r="S998" s="94"/>
      <c r="T998" s="94"/>
      <c r="U998" s="94"/>
      <c r="V998" s="94"/>
    </row>
    <row r="999" ht="24.0" customHeight="1">
      <c r="A999" s="149"/>
      <c r="B999" s="150"/>
      <c r="C999" s="197"/>
      <c r="D999" s="198"/>
      <c r="E999" s="198"/>
      <c r="F999" s="199"/>
      <c r="G999" s="200"/>
      <c r="H999" s="201"/>
      <c r="I999" s="202"/>
      <c r="J999" s="201"/>
      <c r="K999" s="170"/>
      <c r="L999" s="171"/>
      <c r="M999" s="94"/>
      <c r="N999" s="94"/>
      <c r="O999" s="94"/>
      <c r="P999" s="94"/>
      <c r="Q999" s="94"/>
      <c r="R999" s="94"/>
      <c r="S999" s="94"/>
      <c r="T999" s="94"/>
      <c r="U999" s="94"/>
      <c r="V999" s="94"/>
    </row>
    <row r="1000" ht="24.0" customHeight="1">
      <c r="A1000" s="149"/>
      <c r="B1000" s="150"/>
      <c r="C1000" s="197"/>
      <c r="D1000" s="198"/>
      <c r="E1000" s="198"/>
      <c r="F1000" s="199"/>
      <c r="G1000" s="200"/>
      <c r="H1000" s="201"/>
      <c r="I1000" s="202"/>
      <c r="J1000" s="201"/>
      <c r="K1000" s="170"/>
      <c r="L1000" s="171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</row>
    <row r="1001" ht="24.0" customHeight="1">
      <c r="A1001" s="149"/>
      <c r="B1001" s="150"/>
      <c r="C1001" s="197"/>
      <c r="D1001" s="198"/>
      <c r="E1001" s="198"/>
      <c r="F1001" s="199"/>
      <c r="G1001" s="200"/>
      <c r="H1001" s="201"/>
      <c r="I1001" s="202"/>
      <c r="J1001" s="201"/>
      <c r="K1001" s="170"/>
      <c r="L1001" s="171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</row>
    <row r="1002" ht="24.0" customHeight="1">
      <c r="A1002" s="149"/>
      <c r="B1002" s="150"/>
      <c r="C1002" s="197"/>
      <c r="D1002" s="198"/>
      <c r="E1002" s="198"/>
      <c r="F1002" s="199"/>
      <c r="G1002" s="200"/>
      <c r="H1002" s="201"/>
      <c r="I1002" s="202"/>
      <c r="J1002" s="201"/>
      <c r="K1002" s="170"/>
      <c r="L1002" s="171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</row>
    <row r="1003" ht="24.0" customHeight="1">
      <c r="A1003" s="149"/>
      <c r="B1003" s="150"/>
      <c r="C1003" s="197"/>
      <c r="D1003" s="198"/>
      <c r="E1003" s="198"/>
      <c r="F1003" s="199"/>
      <c r="G1003" s="200"/>
      <c r="H1003" s="201"/>
      <c r="I1003" s="202"/>
      <c r="J1003" s="201"/>
      <c r="K1003" s="170"/>
      <c r="L1003" s="171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</row>
    <row r="1004" ht="24.0" customHeight="1">
      <c r="A1004" s="149"/>
      <c r="B1004" s="150"/>
      <c r="C1004" s="197"/>
      <c r="D1004" s="198"/>
      <c r="E1004" s="198"/>
      <c r="F1004" s="199"/>
      <c r="G1004" s="200"/>
      <c r="H1004" s="201"/>
      <c r="I1004" s="202"/>
      <c r="J1004" s="201"/>
      <c r="K1004" s="170"/>
      <c r="L1004" s="171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</row>
    <row r="1005" ht="24.0" customHeight="1">
      <c r="A1005" s="149"/>
      <c r="B1005" s="150"/>
      <c r="C1005" s="197"/>
      <c r="D1005" s="198"/>
      <c r="E1005" s="198"/>
      <c r="F1005" s="199"/>
      <c r="G1005" s="200"/>
      <c r="H1005" s="201"/>
      <c r="I1005" s="202"/>
      <c r="J1005" s="201"/>
      <c r="K1005" s="170"/>
      <c r="L1005" s="171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</row>
    <row r="1006" ht="24.0" customHeight="1">
      <c r="A1006" s="149"/>
      <c r="B1006" s="150"/>
      <c r="C1006" s="197"/>
      <c r="D1006" s="198"/>
      <c r="E1006" s="198"/>
      <c r="F1006" s="199"/>
      <c r="G1006" s="200"/>
      <c r="H1006" s="201"/>
      <c r="I1006" s="202"/>
      <c r="J1006" s="201"/>
      <c r="K1006" s="170"/>
      <c r="L1006" s="171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</row>
    <row r="1007" ht="24.0" customHeight="1">
      <c r="A1007" s="149"/>
      <c r="B1007" s="150"/>
      <c r="C1007" s="197"/>
      <c r="D1007" s="198"/>
      <c r="E1007" s="198"/>
      <c r="F1007" s="199"/>
      <c r="G1007" s="200"/>
      <c r="H1007" s="201"/>
      <c r="I1007" s="202"/>
      <c r="J1007" s="201"/>
      <c r="K1007" s="170"/>
      <c r="L1007" s="171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</row>
    <row r="1008" ht="24.0" customHeight="1">
      <c r="A1008" s="149"/>
      <c r="B1008" s="150"/>
      <c r="C1008" s="197"/>
      <c r="D1008" s="198"/>
      <c r="E1008" s="198"/>
      <c r="F1008" s="199"/>
      <c r="G1008" s="200"/>
      <c r="H1008" s="201"/>
      <c r="I1008" s="202"/>
      <c r="J1008" s="201"/>
      <c r="K1008" s="170"/>
      <c r="L1008" s="171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</row>
    <row r="1009" ht="24.0" customHeight="1">
      <c r="A1009" s="149"/>
      <c r="B1009" s="150"/>
      <c r="C1009" s="197"/>
      <c r="D1009" s="198"/>
      <c r="E1009" s="198"/>
      <c r="F1009" s="199"/>
      <c r="G1009" s="200"/>
      <c r="H1009" s="201"/>
      <c r="I1009" s="202"/>
      <c r="J1009" s="201"/>
      <c r="K1009" s="170"/>
      <c r="L1009" s="171"/>
      <c r="M1009" s="94"/>
      <c r="N1009" s="94"/>
      <c r="O1009" s="94"/>
      <c r="P1009" s="94"/>
      <c r="Q1009" s="94"/>
      <c r="R1009" s="94"/>
      <c r="S1009" s="94"/>
      <c r="T1009" s="94"/>
      <c r="U1009" s="94"/>
      <c r="V1009" s="94"/>
    </row>
    <row r="1010" ht="24.0" customHeight="1">
      <c r="A1010" s="149"/>
      <c r="B1010" s="150"/>
      <c r="C1010" s="197"/>
      <c r="D1010" s="198"/>
      <c r="E1010" s="198"/>
      <c r="F1010" s="199"/>
      <c r="G1010" s="200"/>
      <c r="H1010" s="201"/>
      <c r="I1010" s="202"/>
      <c r="J1010" s="201"/>
      <c r="K1010" s="170"/>
      <c r="L1010" s="171"/>
      <c r="M1010" s="94"/>
      <c r="N1010" s="94"/>
      <c r="O1010" s="94"/>
      <c r="P1010" s="94"/>
      <c r="Q1010" s="94"/>
      <c r="R1010" s="94"/>
      <c r="S1010" s="94"/>
      <c r="T1010" s="94"/>
      <c r="U1010" s="94"/>
      <c r="V1010" s="94"/>
    </row>
    <row r="1011" ht="24.0" customHeight="1">
      <c r="A1011" s="149"/>
      <c r="B1011" s="150"/>
      <c r="C1011" s="197"/>
      <c r="D1011" s="198"/>
      <c r="E1011" s="198"/>
      <c r="F1011" s="199"/>
      <c r="G1011" s="200"/>
      <c r="H1011" s="201"/>
      <c r="I1011" s="202"/>
      <c r="J1011" s="201"/>
      <c r="K1011" s="170"/>
      <c r="L1011" s="171"/>
      <c r="M1011" s="94"/>
      <c r="N1011" s="94"/>
      <c r="O1011" s="94"/>
      <c r="P1011" s="94"/>
      <c r="Q1011" s="94"/>
      <c r="R1011" s="94"/>
      <c r="S1011" s="94"/>
      <c r="T1011" s="94"/>
      <c r="U1011" s="94"/>
      <c r="V1011" s="94"/>
    </row>
    <row r="1012" ht="24.0" customHeight="1">
      <c r="A1012" s="149"/>
      <c r="B1012" s="150"/>
      <c r="C1012" s="197"/>
      <c r="D1012" s="198"/>
      <c r="E1012" s="198"/>
      <c r="F1012" s="199"/>
      <c r="G1012" s="200"/>
      <c r="H1012" s="201"/>
      <c r="I1012" s="202"/>
      <c r="J1012" s="201"/>
      <c r="K1012" s="170"/>
      <c r="L1012" s="171"/>
      <c r="M1012" s="94"/>
      <c r="N1012" s="94"/>
      <c r="O1012" s="94"/>
      <c r="P1012" s="94"/>
      <c r="Q1012" s="94"/>
      <c r="R1012" s="94"/>
      <c r="S1012" s="94"/>
      <c r="T1012" s="94"/>
      <c r="U1012" s="94"/>
      <c r="V1012" s="94"/>
    </row>
    <row r="1013" ht="24.0" customHeight="1">
      <c r="A1013" s="149"/>
      <c r="B1013" s="150"/>
      <c r="C1013" s="197"/>
      <c r="D1013" s="198"/>
      <c r="E1013" s="198"/>
      <c r="F1013" s="199"/>
      <c r="G1013" s="200"/>
      <c r="H1013" s="201"/>
      <c r="I1013" s="202"/>
      <c r="J1013" s="201"/>
      <c r="K1013" s="170"/>
      <c r="L1013" s="171"/>
      <c r="M1013" s="94"/>
      <c r="N1013" s="94"/>
      <c r="O1013" s="94"/>
      <c r="P1013" s="94"/>
      <c r="Q1013" s="94"/>
      <c r="R1013" s="94"/>
      <c r="S1013" s="94"/>
      <c r="T1013" s="94"/>
      <c r="U1013" s="94"/>
      <c r="V1013" s="94"/>
    </row>
    <row r="1014" ht="24.0" customHeight="1">
      <c r="A1014" s="149"/>
      <c r="B1014" s="150"/>
      <c r="C1014" s="197"/>
      <c r="D1014" s="198"/>
      <c r="E1014" s="198"/>
      <c r="F1014" s="199"/>
      <c r="G1014" s="200"/>
      <c r="H1014" s="201"/>
      <c r="I1014" s="202"/>
      <c r="J1014" s="201"/>
      <c r="K1014" s="170"/>
      <c r="L1014" s="171"/>
      <c r="M1014" s="94"/>
      <c r="N1014" s="94"/>
      <c r="O1014" s="94"/>
      <c r="P1014" s="94"/>
      <c r="Q1014" s="94"/>
      <c r="R1014" s="94"/>
      <c r="S1014" s="94"/>
      <c r="T1014" s="94"/>
      <c r="U1014" s="94"/>
      <c r="V1014" s="94"/>
    </row>
    <row r="1015" ht="24.0" customHeight="1">
      <c r="A1015" s="149"/>
      <c r="B1015" s="150"/>
      <c r="C1015" s="197"/>
      <c r="D1015" s="198"/>
      <c r="E1015" s="198"/>
      <c r="F1015" s="199"/>
      <c r="G1015" s="200"/>
      <c r="H1015" s="201"/>
      <c r="I1015" s="202"/>
      <c r="J1015" s="201"/>
      <c r="K1015" s="170"/>
      <c r="L1015" s="171"/>
      <c r="M1015" s="94"/>
      <c r="N1015" s="94"/>
      <c r="O1015" s="94"/>
      <c r="P1015" s="94"/>
      <c r="Q1015" s="94"/>
      <c r="R1015" s="94"/>
      <c r="S1015" s="94"/>
      <c r="T1015" s="94"/>
      <c r="U1015" s="94"/>
      <c r="V1015" s="94"/>
    </row>
    <row r="1016" ht="24.0" customHeight="1">
      <c r="A1016" s="149"/>
      <c r="B1016" s="150"/>
      <c r="C1016" s="197"/>
      <c r="D1016" s="198"/>
      <c r="E1016" s="198"/>
      <c r="F1016" s="199"/>
      <c r="G1016" s="200"/>
      <c r="H1016" s="201"/>
      <c r="I1016" s="202"/>
      <c r="J1016" s="201"/>
      <c r="K1016" s="170"/>
      <c r="L1016" s="171"/>
      <c r="M1016" s="94"/>
      <c r="N1016" s="94"/>
      <c r="O1016" s="94"/>
      <c r="P1016" s="94"/>
      <c r="Q1016" s="94"/>
      <c r="R1016" s="94"/>
      <c r="S1016" s="94"/>
      <c r="T1016" s="94"/>
      <c r="U1016" s="94"/>
      <c r="V1016" s="94"/>
    </row>
    <row r="1017" ht="24.0" customHeight="1">
      <c r="A1017" s="149"/>
      <c r="B1017" s="150"/>
      <c r="C1017" s="197"/>
      <c r="D1017" s="198"/>
      <c r="E1017" s="198"/>
      <c r="F1017" s="199"/>
      <c r="G1017" s="200"/>
      <c r="H1017" s="201"/>
      <c r="I1017" s="202"/>
      <c r="J1017" s="201"/>
      <c r="K1017" s="170"/>
      <c r="L1017" s="171"/>
      <c r="M1017" s="94"/>
      <c r="N1017" s="94"/>
      <c r="O1017" s="94"/>
      <c r="P1017" s="94"/>
      <c r="Q1017" s="94"/>
      <c r="R1017" s="94"/>
      <c r="S1017" s="94"/>
      <c r="T1017" s="94"/>
      <c r="U1017" s="94"/>
      <c r="V1017" s="94"/>
    </row>
    <row r="1018" ht="24.0" customHeight="1">
      <c r="A1018" s="149"/>
      <c r="B1018" s="150"/>
      <c r="C1018" s="197"/>
      <c r="D1018" s="198"/>
      <c r="E1018" s="198"/>
      <c r="F1018" s="199"/>
      <c r="G1018" s="200"/>
      <c r="H1018" s="201"/>
      <c r="I1018" s="202"/>
      <c r="J1018" s="201"/>
      <c r="K1018" s="170"/>
      <c r="L1018" s="171"/>
      <c r="M1018" s="94"/>
      <c r="N1018" s="94"/>
      <c r="O1018" s="94"/>
      <c r="P1018" s="94"/>
      <c r="Q1018" s="94"/>
      <c r="R1018" s="94"/>
      <c r="S1018" s="94"/>
      <c r="T1018" s="94"/>
      <c r="U1018" s="94"/>
      <c r="V1018" s="94"/>
    </row>
    <row r="1019" ht="24.0" customHeight="1">
      <c r="A1019" s="149"/>
      <c r="B1019" s="150"/>
      <c r="C1019" s="197"/>
      <c r="D1019" s="198"/>
      <c r="E1019" s="198"/>
      <c r="F1019" s="199"/>
      <c r="G1019" s="200"/>
      <c r="H1019" s="201"/>
      <c r="I1019" s="202"/>
      <c r="J1019" s="201"/>
      <c r="K1019" s="170"/>
      <c r="L1019" s="171"/>
      <c r="M1019" s="94"/>
      <c r="N1019" s="94"/>
      <c r="O1019" s="94"/>
      <c r="P1019" s="94"/>
      <c r="Q1019" s="94"/>
      <c r="R1019" s="94"/>
      <c r="S1019" s="94"/>
      <c r="T1019" s="94"/>
      <c r="U1019" s="94"/>
      <c r="V1019" s="94"/>
    </row>
    <row r="1020" ht="24.0" customHeight="1">
      <c r="A1020" s="149"/>
      <c r="B1020" s="150"/>
      <c r="C1020" s="197"/>
      <c r="D1020" s="198"/>
      <c r="E1020" s="198"/>
      <c r="F1020" s="199"/>
      <c r="G1020" s="200"/>
      <c r="H1020" s="201"/>
      <c r="I1020" s="202"/>
      <c r="J1020" s="201"/>
      <c r="K1020" s="170"/>
      <c r="L1020" s="171"/>
      <c r="M1020" s="94"/>
      <c r="N1020" s="94"/>
      <c r="O1020" s="94"/>
      <c r="P1020" s="94"/>
      <c r="Q1020" s="94"/>
      <c r="R1020" s="94"/>
      <c r="S1020" s="94"/>
      <c r="T1020" s="94"/>
      <c r="U1020" s="94"/>
      <c r="V1020" s="94"/>
    </row>
    <row r="1021" ht="24.0" customHeight="1">
      <c r="A1021" s="149"/>
      <c r="B1021" s="150"/>
      <c r="C1021" s="197"/>
      <c r="D1021" s="198"/>
      <c r="E1021" s="198"/>
      <c r="F1021" s="199"/>
      <c r="G1021" s="200"/>
      <c r="H1021" s="201"/>
      <c r="I1021" s="202"/>
      <c r="J1021" s="201"/>
      <c r="K1021" s="170"/>
      <c r="L1021" s="171"/>
      <c r="M1021" s="94"/>
      <c r="N1021" s="94"/>
      <c r="O1021" s="94"/>
      <c r="P1021" s="94"/>
      <c r="Q1021" s="94"/>
      <c r="R1021" s="94"/>
      <c r="S1021" s="94"/>
      <c r="T1021" s="94"/>
      <c r="U1021" s="94"/>
      <c r="V1021" s="94"/>
    </row>
    <row r="1022" ht="24.0" customHeight="1">
      <c r="A1022" s="149"/>
      <c r="B1022" s="150"/>
      <c r="C1022" s="197"/>
      <c r="D1022" s="198"/>
      <c r="E1022" s="198"/>
      <c r="F1022" s="199"/>
      <c r="G1022" s="200"/>
      <c r="H1022" s="201"/>
      <c r="I1022" s="202"/>
      <c r="J1022" s="201"/>
      <c r="K1022" s="170"/>
      <c r="L1022" s="171"/>
      <c r="M1022" s="94"/>
      <c r="N1022" s="94"/>
      <c r="O1022" s="94"/>
      <c r="P1022" s="94"/>
      <c r="Q1022" s="94"/>
      <c r="R1022" s="94"/>
      <c r="S1022" s="94"/>
      <c r="T1022" s="94"/>
      <c r="U1022" s="94"/>
      <c r="V1022" s="94"/>
    </row>
    <row r="1023" ht="24.0" customHeight="1">
      <c r="A1023" s="149"/>
      <c r="B1023" s="150"/>
      <c r="C1023" s="197"/>
      <c r="D1023" s="198"/>
      <c r="E1023" s="198"/>
      <c r="F1023" s="199"/>
      <c r="G1023" s="200"/>
      <c r="H1023" s="201"/>
      <c r="I1023" s="202"/>
      <c r="J1023" s="201"/>
      <c r="K1023" s="170"/>
      <c r="L1023" s="171"/>
      <c r="M1023" s="94"/>
      <c r="N1023" s="94"/>
      <c r="O1023" s="94"/>
      <c r="P1023" s="94"/>
      <c r="Q1023" s="94"/>
      <c r="R1023" s="94"/>
      <c r="S1023" s="94"/>
      <c r="T1023" s="94"/>
      <c r="U1023" s="94"/>
      <c r="V1023" s="94"/>
    </row>
    <row r="1024" ht="24.0" customHeight="1">
      <c r="A1024" s="149"/>
      <c r="B1024" s="150"/>
      <c r="C1024" s="197"/>
      <c r="D1024" s="198"/>
      <c r="E1024" s="198"/>
      <c r="F1024" s="199"/>
      <c r="G1024" s="200"/>
      <c r="H1024" s="201"/>
      <c r="I1024" s="202"/>
      <c r="J1024" s="201"/>
      <c r="K1024" s="170"/>
      <c r="L1024" s="171"/>
      <c r="M1024" s="94"/>
      <c r="N1024" s="94"/>
      <c r="O1024" s="94"/>
      <c r="P1024" s="94"/>
      <c r="Q1024" s="94"/>
      <c r="R1024" s="94"/>
      <c r="S1024" s="94"/>
      <c r="T1024" s="94"/>
      <c r="U1024" s="94"/>
      <c r="V1024" s="94"/>
    </row>
    <row r="1025" ht="24.0" customHeight="1">
      <c r="A1025" s="149"/>
      <c r="B1025" s="150"/>
      <c r="C1025" s="197"/>
      <c r="D1025" s="198"/>
      <c r="E1025" s="198"/>
      <c r="F1025" s="199"/>
      <c r="G1025" s="200"/>
      <c r="H1025" s="201"/>
      <c r="I1025" s="202"/>
      <c r="J1025" s="201"/>
      <c r="K1025" s="170"/>
      <c r="L1025" s="171"/>
      <c r="M1025" s="94"/>
      <c r="N1025" s="94"/>
      <c r="O1025" s="94"/>
      <c r="P1025" s="94"/>
      <c r="Q1025" s="94"/>
      <c r="R1025" s="94"/>
      <c r="S1025" s="94"/>
      <c r="T1025" s="94"/>
      <c r="U1025" s="94"/>
      <c r="V1025" s="94"/>
    </row>
    <row r="1026" ht="24.0" customHeight="1">
      <c r="A1026" s="149"/>
      <c r="B1026" s="150"/>
      <c r="C1026" s="197"/>
      <c r="D1026" s="198"/>
      <c r="E1026" s="198"/>
      <c r="F1026" s="199"/>
      <c r="G1026" s="200"/>
      <c r="H1026" s="201"/>
      <c r="I1026" s="202"/>
      <c r="J1026" s="201"/>
      <c r="K1026" s="170"/>
      <c r="L1026" s="171"/>
      <c r="M1026" s="94"/>
      <c r="N1026" s="94"/>
      <c r="O1026" s="94"/>
      <c r="P1026" s="94"/>
      <c r="Q1026" s="94"/>
      <c r="R1026" s="94"/>
      <c r="S1026" s="94"/>
      <c r="T1026" s="94"/>
      <c r="U1026" s="94"/>
      <c r="V1026" s="94"/>
    </row>
    <row r="1027" ht="24.0" customHeight="1">
      <c r="A1027" s="149"/>
      <c r="B1027" s="150"/>
      <c r="C1027" s="197"/>
      <c r="D1027" s="198"/>
      <c r="E1027" s="198"/>
      <c r="F1027" s="199"/>
      <c r="G1027" s="200"/>
      <c r="H1027" s="201"/>
      <c r="I1027" s="202"/>
      <c r="J1027" s="201"/>
      <c r="K1027" s="170"/>
      <c r="L1027" s="171"/>
      <c r="M1027" s="94"/>
      <c r="N1027" s="94"/>
      <c r="O1027" s="94"/>
      <c r="P1027" s="94"/>
      <c r="Q1027" s="94"/>
      <c r="R1027" s="94"/>
      <c r="S1027" s="94"/>
      <c r="T1027" s="94"/>
      <c r="U1027" s="94"/>
      <c r="V1027" s="94"/>
    </row>
    <row r="1028" ht="24.0" customHeight="1">
      <c r="A1028" s="149"/>
      <c r="B1028" s="150"/>
      <c r="C1028" s="197"/>
      <c r="D1028" s="198"/>
      <c r="E1028" s="198"/>
      <c r="F1028" s="199"/>
      <c r="G1028" s="200"/>
      <c r="H1028" s="201"/>
      <c r="I1028" s="202"/>
      <c r="J1028" s="201"/>
      <c r="K1028" s="170"/>
      <c r="L1028" s="171"/>
      <c r="M1028" s="94"/>
      <c r="N1028" s="94"/>
      <c r="O1028" s="94"/>
      <c r="P1028" s="94"/>
      <c r="Q1028" s="94"/>
      <c r="R1028" s="94"/>
      <c r="S1028" s="94"/>
      <c r="T1028" s="94"/>
      <c r="U1028" s="94"/>
      <c r="V1028" s="94"/>
    </row>
    <row r="1029" ht="24.0" customHeight="1">
      <c r="A1029" s="149"/>
      <c r="B1029" s="150"/>
      <c r="C1029" s="197"/>
      <c r="D1029" s="198"/>
      <c r="E1029" s="198"/>
      <c r="F1029" s="199"/>
      <c r="G1029" s="200"/>
      <c r="H1029" s="201"/>
      <c r="I1029" s="202"/>
      <c r="J1029" s="201"/>
      <c r="K1029" s="170"/>
      <c r="L1029" s="171"/>
      <c r="M1029" s="94"/>
      <c r="N1029" s="94"/>
      <c r="O1029" s="94"/>
      <c r="P1029" s="94"/>
      <c r="Q1029" s="94"/>
      <c r="R1029" s="94"/>
      <c r="S1029" s="94"/>
      <c r="T1029" s="94"/>
      <c r="U1029" s="94"/>
      <c r="V1029" s="94"/>
    </row>
    <row r="1030" ht="24.0" customHeight="1">
      <c r="A1030" s="149"/>
      <c r="B1030" s="150"/>
      <c r="C1030" s="197"/>
      <c r="D1030" s="198"/>
      <c r="E1030" s="198"/>
      <c r="F1030" s="199"/>
      <c r="G1030" s="200"/>
      <c r="H1030" s="201"/>
      <c r="I1030" s="202"/>
      <c r="J1030" s="201"/>
      <c r="K1030" s="170"/>
      <c r="L1030" s="171"/>
      <c r="M1030" s="94"/>
      <c r="N1030" s="94"/>
      <c r="O1030" s="94"/>
      <c r="P1030" s="94"/>
      <c r="Q1030" s="94"/>
      <c r="R1030" s="94"/>
      <c r="S1030" s="94"/>
      <c r="T1030" s="94"/>
      <c r="U1030" s="94"/>
      <c r="V1030" s="94"/>
    </row>
    <row r="1031" ht="24.0" customHeight="1">
      <c r="A1031" s="149"/>
      <c r="B1031" s="150"/>
      <c r="C1031" s="197"/>
      <c r="D1031" s="198"/>
      <c r="E1031" s="198"/>
      <c r="F1031" s="199"/>
      <c r="G1031" s="200"/>
      <c r="H1031" s="201"/>
      <c r="I1031" s="202"/>
      <c r="J1031" s="201"/>
      <c r="K1031" s="170"/>
      <c r="L1031" s="171"/>
      <c r="M1031" s="94"/>
      <c r="N1031" s="94"/>
      <c r="O1031" s="94"/>
      <c r="P1031" s="94"/>
      <c r="Q1031" s="94"/>
      <c r="R1031" s="94"/>
      <c r="S1031" s="94"/>
      <c r="T1031" s="94"/>
      <c r="U1031" s="94"/>
      <c r="V1031" s="94"/>
    </row>
    <row r="1032" ht="24.0" customHeight="1">
      <c r="A1032" s="149"/>
      <c r="B1032" s="150"/>
      <c r="C1032" s="197"/>
      <c r="D1032" s="198"/>
      <c r="E1032" s="198"/>
      <c r="F1032" s="199"/>
      <c r="G1032" s="200"/>
      <c r="H1032" s="201"/>
      <c r="I1032" s="202"/>
      <c r="J1032" s="201"/>
      <c r="K1032" s="170"/>
      <c r="L1032" s="171"/>
      <c r="M1032" s="94"/>
      <c r="N1032" s="94"/>
      <c r="O1032" s="94"/>
      <c r="P1032" s="94"/>
      <c r="Q1032" s="94"/>
      <c r="R1032" s="94"/>
      <c r="S1032" s="94"/>
      <c r="T1032" s="94"/>
      <c r="U1032" s="94"/>
      <c r="V1032" s="94"/>
    </row>
    <row r="1033" ht="24.0" customHeight="1">
      <c r="A1033" s="149"/>
      <c r="B1033" s="150"/>
      <c r="C1033" s="197"/>
      <c r="D1033" s="198"/>
      <c r="E1033" s="198"/>
      <c r="F1033" s="199"/>
      <c r="G1033" s="200"/>
      <c r="H1033" s="201"/>
      <c r="I1033" s="202"/>
      <c r="J1033" s="201"/>
      <c r="K1033" s="170"/>
      <c r="L1033" s="171"/>
      <c r="M1033" s="94"/>
      <c r="N1033" s="94"/>
      <c r="O1033" s="94"/>
      <c r="P1033" s="94"/>
      <c r="Q1033" s="94"/>
      <c r="R1033" s="94"/>
      <c r="S1033" s="94"/>
      <c r="T1033" s="94"/>
      <c r="U1033" s="94"/>
      <c r="V1033" s="94"/>
    </row>
    <row r="1034" ht="24.0" customHeight="1">
      <c r="A1034" s="149"/>
      <c r="B1034" s="150"/>
      <c r="C1034" s="197"/>
      <c r="D1034" s="198"/>
      <c r="E1034" s="198"/>
      <c r="F1034" s="199"/>
      <c r="G1034" s="200"/>
      <c r="H1034" s="201"/>
      <c r="I1034" s="202"/>
      <c r="J1034" s="201"/>
      <c r="K1034" s="170"/>
      <c r="L1034" s="171"/>
      <c r="M1034" s="94"/>
      <c r="N1034" s="94"/>
      <c r="O1034" s="94"/>
      <c r="P1034" s="94"/>
      <c r="Q1034" s="94"/>
      <c r="R1034" s="94"/>
      <c r="S1034" s="94"/>
      <c r="T1034" s="94"/>
      <c r="U1034" s="94"/>
      <c r="V1034" s="94"/>
    </row>
    <row r="1035" ht="24.0" customHeight="1">
      <c r="A1035" s="149"/>
      <c r="B1035" s="150"/>
      <c r="C1035" s="197"/>
      <c r="D1035" s="198"/>
      <c r="E1035" s="198"/>
      <c r="F1035" s="199"/>
      <c r="G1035" s="200"/>
      <c r="H1035" s="201"/>
      <c r="I1035" s="202"/>
      <c r="J1035" s="201"/>
      <c r="K1035" s="170"/>
      <c r="L1035" s="171"/>
      <c r="M1035" s="94"/>
      <c r="N1035" s="94"/>
      <c r="O1035" s="94"/>
      <c r="P1035" s="94"/>
      <c r="Q1035" s="94"/>
      <c r="R1035" s="94"/>
      <c r="S1035" s="94"/>
      <c r="T1035" s="94"/>
      <c r="U1035" s="94"/>
      <c r="V1035" s="94"/>
    </row>
    <row r="1036" ht="24.0" customHeight="1">
      <c r="A1036" s="149"/>
      <c r="B1036" s="150"/>
      <c r="C1036" s="197"/>
      <c r="D1036" s="198"/>
      <c r="E1036" s="198"/>
      <c r="F1036" s="199"/>
      <c r="G1036" s="200"/>
      <c r="H1036" s="201"/>
      <c r="I1036" s="202"/>
      <c r="J1036" s="201"/>
      <c r="K1036" s="170"/>
      <c r="L1036" s="171"/>
      <c r="M1036" s="94"/>
      <c r="N1036" s="94"/>
      <c r="O1036" s="94"/>
      <c r="P1036" s="94"/>
      <c r="Q1036" s="94"/>
      <c r="R1036" s="94"/>
      <c r="S1036" s="94"/>
      <c r="T1036" s="94"/>
      <c r="U1036" s="94"/>
      <c r="V1036" s="94"/>
    </row>
    <row r="1037" ht="24.0" customHeight="1">
      <c r="A1037" s="149"/>
      <c r="B1037" s="150"/>
      <c r="C1037" s="197"/>
      <c r="D1037" s="198"/>
      <c r="E1037" s="198"/>
      <c r="F1037" s="199"/>
      <c r="G1037" s="200"/>
      <c r="H1037" s="201"/>
      <c r="I1037" s="202"/>
      <c r="J1037" s="201"/>
      <c r="K1037" s="170"/>
      <c r="L1037" s="171"/>
      <c r="M1037" s="94"/>
      <c r="N1037" s="94"/>
      <c r="O1037" s="94"/>
      <c r="P1037" s="94"/>
      <c r="Q1037" s="94"/>
      <c r="R1037" s="94"/>
      <c r="S1037" s="94"/>
      <c r="T1037" s="94"/>
      <c r="U1037" s="94"/>
      <c r="V1037" s="94"/>
    </row>
    <row r="1038" ht="24.0" customHeight="1">
      <c r="A1038" s="149"/>
      <c r="B1038" s="150"/>
      <c r="C1038" s="197"/>
      <c r="D1038" s="198"/>
      <c r="E1038" s="198"/>
      <c r="F1038" s="199"/>
      <c r="G1038" s="200"/>
      <c r="H1038" s="201"/>
      <c r="I1038" s="202"/>
      <c r="J1038" s="201"/>
      <c r="K1038" s="170"/>
      <c r="L1038" s="171"/>
      <c r="M1038" s="94"/>
      <c r="N1038" s="94"/>
      <c r="O1038" s="94"/>
      <c r="P1038" s="94"/>
      <c r="Q1038" s="94"/>
      <c r="R1038" s="94"/>
      <c r="S1038" s="94"/>
      <c r="T1038" s="94"/>
      <c r="U1038" s="94"/>
      <c r="V1038" s="94"/>
    </row>
    <row r="1039" ht="24.0" customHeight="1">
      <c r="A1039" s="149"/>
      <c r="B1039" s="150"/>
      <c r="C1039" s="197"/>
      <c r="D1039" s="198"/>
      <c r="E1039" s="198"/>
      <c r="F1039" s="199"/>
      <c r="G1039" s="200"/>
      <c r="H1039" s="201"/>
      <c r="I1039" s="202"/>
      <c r="J1039" s="201"/>
      <c r="K1039" s="170"/>
      <c r="L1039" s="171"/>
      <c r="M1039" s="94"/>
      <c r="N1039" s="94"/>
      <c r="O1039" s="94"/>
      <c r="P1039" s="94"/>
      <c r="Q1039" s="94"/>
      <c r="R1039" s="94"/>
      <c r="S1039" s="94"/>
      <c r="T1039" s="94"/>
      <c r="U1039" s="94"/>
      <c r="V1039" s="94"/>
    </row>
    <row r="1040" ht="24.0" customHeight="1">
      <c r="A1040" s="149"/>
      <c r="B1040" s="150"/>
      <c r="C1040" s="197"/>
      <c r="D1040" s="198"/>
      <c r="E1040" s="198"/>
      <c r="F1040" s="199"/>
      <c r="G1040" s="200"/>
      <c r="H1040" s="201"/>
      <c r="I1040" s="202"/>
      <c r="J1040" s="201"/>
      <c r="K1040" s="170"/>
      <c r="L1040" s="171"/>
      <c r="M1040" s="94"/>
      <c r="N1040" s="94"/>
      <c r="O1040" s="94"/>
      <c r="P1040" s="94"/>
      <c r="Q1040" s="94"/>
      <c r="R1040" s="94"/>
      <c r="S1040" s="94"/>
      <c r="T1040" s="94"/>
      <c r="U1040" s="94"/>
      <c r="V1040" s="94"/>
    </row>
    <row r="1041" ht="24.0" customHeight="1">
      <c r="A1041" s="149"/>
      <c r="B1041" s="150"/>
      <c r="C1041" s="197"/>
      <c r="D1041" s="198"/>
      <c r="E1041" s="198"/>
      <c r="F1041" s="199"/>
      <c r="G1041" s="200"/>
      <c r="H1041" s="201"/>
      <c r="I1041" s="202"/>
      <c r="J1041" s="201"/>
      <c r="K1041" s="170"/>
      <c r="L1041" s="171"/>
      <c r="M1041" s="94"/>
      <c r="N1041" s="94"/>
      <c r="O1041" s="94"/>
      <c r="P1041" s="94"/>
      <c r="Q1041" s="94"/>
      <c r="R1041" s="94"/>
      <c r="S1041" s="94"/>
      <c r="T1041" s="94"/>
      <c r="U1041" s="94"/>
      <c r="V1041" s="94"/>
    </row>
    <row r="1042" ht="24.0" customHeight="1">
      <c r="A1042" s="149"/>
      <c r="B1042" s="150"/>
      <c r="C1042" s="197"/>
      <c r="D1042" s="198"/>
      <c r="E1042" s="198"/>
      <c r="F1042" s="199"/>
      <c r="G1042" s="200"/>
      <c r="H1042" s="201"/>
      <c r="I1042" s="202"/>
      <c r="J1042" s="201"/>
      <c r="K1042" s="170"/>
      <c r="L1042" s="171"/>
      <c r="M1042" s="94"/>
      <c r="N1042" s="94"/>
      <c r="O1042" s="94"/>
      <c r="P1042" s="94"/>
      <c r="Q1042" s="94"/>
      <c r="R1042" s="94"/>
      <c r="S1042" s="94"/>
      <c r="T1042" s="94"/>
      <c r="U1042" s="94"/>
      <c r="V1042" s="94"/>
    </row>
    <row r="1043" ht="24.0" customHeight="1">
      <c r="A1043" s="149"/>
      <c r="B1043" s="150"/>
      <c r="C1043" s="197"/>
      <c r="D1043" s="198"/>
      <c r="E1043" s="198"/>
      <c r="F1043" s="199"/>
      <c r="G1043" s="200"/>
      <c r="H1043" s="201"/>
      <c r="I1043" s="202"/>
      <c r="J1043" s="201"/>
      <c r="K1043" s="170"/>
      <c r="L1043" s="171"/>
      <c r="M1043" s="94"/>
      <c r="N1043" s="94"/>
      <c r="O1043" s="94"/>
      <c r="P1043" s="94"/>
      <c r="Q1043" s="94"/>
      <c r="R1043" s="94"/>
      <c r="S1043" s="94"/>
      <c r="T1043" s="94"/>
      <c r="U1043" s="94"/>
      <c r="V1043" s="94"/>
    </row>
    <row r="1044" ht="24.0" customHeight="1">
      <c r="A1044" s="149"/>
      <c r="B1044" s="150"/>
      <c r="C1044" s="197"/>
      <c r="D1044" s="198"/>
      <c r="E1044" s="198"/>
      <c r="F1044" s="199"/>
      <c r="G1044" s="200"/>
      <c r="H1044" s="201"/>
      <c r="I1044" s="202"/>
      <c r="J1044" s="201"/>
      <c r="K1044" s="170"/>
      <c r="L1044" s="171"/>
      <c r="M1044" s="94"/>
      <c r="N1044" s="94"/>
      <c r="O1044" s="94"/>
      <c r="P1044" s="94"/>
      <c r="Q1044" s="94"/>
      <c r="R1044" s="94"/>
      <c r="S1044" s="94"/>
      <c r="T1044" s="94"/>
      <c r="U1044" s="94"/>
      <c r="V1044" s="94"/>
    </row>
    <row r="1045" ht="24.0" customHeight="1">
      <c r="A1045" s="149"/>
      <c r="B1045" s="150"/>
      <c r="C1045" s="197"/>
      <c r="D1045" s="198"/>
      <c r="E1045" s="198"/>
      <c r="F1045" s="199"/>
      <c r="G1045" s="200"/>
      <c r="H1045" s="201"/>
      <c r="I1045" s="202"/>
      <c r="J1045" s="201"/>
      <c r="K1045" s="170"/>
      <c r="L1045" s="171"/>
      <c r="M1045" s="94"/>
      <c r="N1045" s="94"/>
      <c r="O1045" s="94"/>
      <c r="P1045" s="94"/>
      <c r="Q1045" s="94"/>
      <c r="R1045" s="94"/>
      <c r="S1045" s="94"/>
      <c r="T1045" s="94"/>
      <c r="U1045" s="94"/>
      <c r="V1045" s="94"/>
    </row>
    <row r="1046" ht="24.0" customHeight="1">
      <c r="A1046" s="149"/>
      <c r="B1046" s="150"/>
      <c r="C1046" s="197"/>
      <c r="D1046" s="198"/>
      <c r="E1046" s="198"/>
      <c r="F1046" s="199"/>
      <c r="G1046" s="200"/>
      <c r="H1046" s="201"/>
      <c r="I1046" s="202"/>
      <c r="J1046" s="201"/>
      <c r="K1046" s="170"/>
      <c r="L1046" s="171"/>
      <c r="M1046" s="94"/>
      <c r="N1046" s="94"/>
      <c r="O1046" s="94"/>
      <c r="P1046" s="94"/>
      <c r="Q1046" s="94"/>
      <c r="R1046" s="94"/>
      <c r="S1046" s="94"/>
      <c r="T1046" s="94"/>
      <c r="U1046" s="94"/>
      <c r="V1046" s="94"/>
    </row>
    <row r="1047" ht="24.0" customHeight="1">
      <c r="A1047" s="149"/>
      <c r="B1047" s="150"/>
      <c r="C1047" s="197"/>
      <c r="D1047" s="198"/>
      <c r="E1047" s="198"/>
      <c r="F1047" s="199"/>
      <c r="G1047" s="200"/>
      <c r="H1047" s="201"/>
      <c r="I1047" s="202"/>
      <c r="J1047" s="201"/>
      <c r="K1047" s="170"/>
      <c r="L1047" s="171"/>
      <c r="M1047" s="94"/>
      <c r="N1047" s="94"/>
      <c r="O1047" s="94"/>
      <c r="P1047" s="94"/>
      <c r="Q1047" s="94"/>
      <c r="R1047" s="94"/>
      <c r="S1047" s="94"/>
      <c r="T1047" s="94"/>
      <c r="U1047" s="94"/>
      <c r="V1047" s="94"/>
    </row>
    <row r="1048" ht="24.0" customHeight="1">
      <c r="A1048" s="149"/>
      <c r="B1048" s="150"/>
      <c r="C1048" s="197"/>
      <c r="D1048" s="198"/>
      <c r="E1048" s="198"/>
      <c r="F1048" s="199"/>
      <c r="G1048" s="200"/>
      <c r="H1048" s="201"/>
      <c r="I1048" s="202"/>
      <c r="J1048" s="201"/>
      <c r="K1048" s="170"/>
      <c r="L1048" s="171"/>
      <c r="M1048" s="94"/>
      <c r="N1048" s="94"/>
      <c r="O1048" s="94"/>
      <c r="P1048" s="94"/>
      <c r="Q1048" s="94"/>
      <c r="R1048" s="94"/>
      <c r="S1048" s="94"/>
      <c r="T1048" s="94"/>
      <c r="U1048" s="94"/>
      <c r="V1048" s="94"/>
    </row>
    <row r="1049" ht="24.0" customHeight="1">
      <c r="A1049" s="149"/>
      <c r="B1049" s="150"/>
      <c r="C1049" s="197"/>
      <c r="D1049" s="198"/>
      <c r="E1049" s="198"/>
      <c r="F1049" s="199"/>
      <c r="G1049" s="200"/>
      <c r="H1049" s="201"/>
      <c r="I1049" s="202"/>
      <c r="J1049" s="201"/>
      <c r="K1049" s="170"/>
      <c r="L1049" s="171"/>
      <c r="M1049" s="94"/>
      <c r="N1049" s="94"/>
      <c r="O1049" s="94"/>
      <c r="P1049" s="94"/>
      <c r="Q1049" s="94"/>
      <c r="R1049" s="94"/>
      <c r="S1049" s="94"/>
      <c r="T1049" s="94"/>
      <c r="U1049" s="94"/>
      <c r="V1049" s="94"/>
    </row>
    <row r="1050" ht="24.0" customHeight="1">
      <c r="A1050" s="149"/>
      <c r="B1050" s="150"/>
      <c r="C1050" s="197"/>
      <c r="D1050" s="198"/>
      <c r="E1050" s="198"/>
      <c r="F1050" s="199"/>
      <c r="G1050" s="200"/>
      <c r="H1050" s="201"/>
      <c r="I1050" s="202"/>
      <c r="J1050" s="201"/>
      <c r="K1050" s="170"/>
      <c r="L1050" s="171"/>
      <c r="M1050" s="94"/>
      <c r="N1050" s="94"/>
      <c r="O1050" s="94"/>
      <c r="P1050" s="94"/>
      <c r="Q1050" s="94"/>
      <c r="R1050" s="94"/>
      <c r="S1050" s="94"/>
      <c r="T1050" s="94"/>
      <c r="U1050" s="94"/>
      <c r="V1050" s="94"/>
    </row>
    <row r="1051" ht="24.0" customHeight="1">
      <c r="A1051" s="149"/>
      <c r="B1051" s="150"/>
      <c r="C1051" s="197"/>
      <c r="D1051" s="198"/>
      <c r="E1051" s="198"/>
      <c r="F1051" s="199"/>
      <c r="G1051" s="200"/>
      <c r="H1051" s="201"/>
      <c r="I1051" s="202"/>
      <c r="J1051" s="201"/>
      <c r="K1051" s="170"/>
      <c r="L1051" s="171"/>
      <c r="M1051" s="94"/>
      <c r="N1051" s="94"/>
      <c r="O1051" s="94"/>
      <c r="P1051" s="94"/>
      <c r="Q1051" s="94"/>
      <c r="R1051" s="94"/>
      <c r="S1051" s="94"/>
      <c r="T1051" s="94"/>
      <c r="U1051" s="94"/>
      <c r="V1051" s="94"/>
    </row>
    <row r="1052" ht="24.0" customHeight="1">
      <c r="A1052" s="149"/>
      <c r="B1052" s="150"/>
      <c r="C1052" s="197"/>
      <c r="D1052" s="198"/>
      <c r="E1052" s="198"/>
      <c r="F1052" s="199"/>
      <c r="G1052" s="200"/>
      <c r="H1052" s="201"/>
      <c r="I1052" s="202"/>
      <c r="J1052" s="201"/>
      <c r="K1052" s="170"/>
      <c r="L1052" s="171"/>
      <c r="M1052" s="94"/>
      <c r="N1052" s="94"/>
      <c r="O1052" s="94"/>
      <c r="P1052" s="94"/>
      <c r="Q1052" s="94"/>
      <c r="R1052" s="94"/>
      <c r="S1052" s="94"/>
      <c r="T1052" s="94"/>
      <c r="U1052" s="94"/>
      <c r="V1052" s="94"/>
    </row>
    <row r="1053" ht="24.0" customHeight="1">
      <c r="A1053" s="149"/>
      <c r="B1053" s="150"/>
      <c r="C1053" s="197"/>
      <c r="D1053" s="198"/>
      <c r="E1053" s="198"/>
      <c r="F1053" s="199"/>
      <c r="G1053" s="200"/>
      <c r="H1053" s="201"/>
      <c r="I1053" s="202"/>
      <c r="J1053" s="201"/>
      <c r="K1053" s="170"/>
      <c r="L1053" s="171"/>
      <c r="M1053" s="94"/>
      <c r="N1053" s="94"/>
      <c r="O1053" s="94"/>
      <c r="P1053" s="94"/>
      <c r="Q1053" s="94"/>
      <c r="R1053" s="94"/>
      <c r="S1053" s="94"/>
      <c r="T1053" s="94"/>
      <c r="U1053" s="94"/>
      <c r="V1053" s="94"/>
    </row>
    <row r="1054" ht="24.0" customHeight="1">
      <c r="A1054" s="149"/>
      <c r="B1054" s="150"/>
      <c r="C1054" s="197"/>
      <c r="D1054" s="198"/>
      <c r="E1054" s="198"/>
      <c r="F1054" s="199"/>
      <c r="G1054" s="200"/>
      <c r="H1054" s="201"/>
      <c r="I1054" s="202"/>
      <c r="J1054" s="201"/>
      <c r="K1054" s="170"/>
      <c r="L1054" s="171"/>
      <c r="M1054" s="94"/>
      <c r="N1054" s="94"/>
      <c r="O1054" s="94"/>
      <c r="P1054" s="94"/>
      <c r="Q1054" s="94"/>
      <c r="R1054" s="94"/>
      <c r="S1054" s="94"/>
      <c r="T1054" s="94"/>
      <c r="U1054" s="94"/>
      <c r="V1054" s="94"/>
    </row>
    <row r="1055" ht="24.0" customHeight="1">
      <c r="A1055" s="149"/>
      <c r="B1055" s="150"/>
      <c r="C1055" s="197"/>
      <c r="D1055" s="198"/>
      <c r="E1055" s="198"/>
      <c r="F1055" s="199"/>
      <c r="G1055" s="200"/>
      <c r="H1055" s="201"/>
      <c r="I1055" s="202"/>
      <c r="J1055" s="201"/>
      <c r="K1055" s="170"/>
      <c r="L1055" s="171"/>
      <c r="M1055" s="94"/>
      <c r="N1055" s="94"/>
      <c r="O1055" s="94"/>
      <c r="P1055" s="94"/>
      <c r="Q1055" s="94"/>
      <c r="R1055" s="94"/>
      <c r="S1055" s="94"/>
      <c r="T1055" s="94"/>
      <c r="U1055" s="94"/>
      <c r="V1055" s="94"/>
    </row>
    <row r="1056" ht="24.0" customHeight="1">
      <c r="A1056" s="149"/>
      <c r="B1056" s="150"/>
      <c r="C1056" s="197"/>
      <c r="D1056" s="198"/>
      <c r="E1056" s="198"/>
      <c r="F1056" s="199"/>
      <c r="G1056" s="200"/>
      <c r="H1056" s="201"/>
      <c r="I1056" s="202"/>
      <c r="J1056" s="201"/>
      <c r="K1056" s="170"/>
      <c r="L1056" s="171"/>
      <c r="M1056" s="94"/>
      <c r="N1056" s="94"/>
      <c r="O1056" s="94"/>
      <c r="P1056" s="94"/>
      <c r="Q1056" s="94"/>
      <c r="R1056" s="94"/>
      <c r="S1056" s="94"/>
      <c r="T1056" s="94"/>
      <c r="U1056" s="94"/>
      <c r="V1056" s="94"/>
    </row>
    <row r="1057" ht="24.0" customHeight="1">
      <c r="A1057" s="149"/>
      <c r="B1057" s="150"/>
      <c r="C1057" s="197"/>
      <c r="D1057" s="198"/>
      <c r="E1057" s="198"/>
      <c r="F1057" s="199"/>
      <c r="G1057" s="200"/>
      <c r="H1057" s="201"/>
      <c r="I1057" s="202"/>
      <c r="J1057" s="201"/>
      <c r="K1057" s="170"/>
      <c r="L1057" s="171"/>
      <c r="M1057" s="94"/>
      <c r="N1057" s="94"/>
      <c r="O1057" s="94"/>
      <c r="P1057" s="94"/>
      <c r="Q1057" s="94"/>
      <c r="R1057" s="94"/>
      <c r="S1057" s="94"/>
      <c r="T1057" s="94"/>
      <c r="U1057" s="94"/>
      <c r="V1057" s="94"/>
    </row>
    <row r="1058" ht="24.0" customHeight="1">
      <c r="A1058" s="149"/>
      <c r="B1058" s="150"/>
      <c r="C1058" s="197"/>
      <c r="D1058" s="198"/>
      <c r="E1058" s="198"/>
      <c r="F1058" s="199"/>
      <c r="G1058" s="200"/>
      <c r="H1058" s="201"/>
      <c r="I1058" s="202"/>
      <c r="J1058" s="201"/>
      <c r="K1058" s="170"/>
      <c r="L1058" s="171"/>
      <c r="M1058" s="94"/>
      <c r="N1058" s="94"/>
      <c r="O1058" s="94"/>
      <c r="P1058" s="94"/>
      <c r="Q1058" s="94"/>
      <c r="R1058" s="94"/>
      <c r="S1058" s="94"/>
      <c r="T1058" s="94"/>
      <c r="U1058" s="94"/>
      <c r="V1058" s="94"/>
    </row>
    <row r="1059" ht="24.0" customHeight="1">
      <c r="A1059" s="149"/>
      <c r="B1059" s="150"/>
      <c r="C1059" s="197"/>
      <c r="D1059" s="198"/>
      <c r="E1059" s="198"/>
      <c r="F1059" s="199"/>
      <c r="G1059" s="200"/>
      <c r="H1059" s="201"/>
      <c r="I1059" s="202"/>
      <c r="J1059" s="201"/>
      <c r="K1059" s="170"/>
      <c r="L1059" s="171"/>
      <c r="M1059" s="94"/>
      <c r="N1059" s="94"/>
      <c r="O1059" s="94"/>
      <c r="P1059" s="94"/>
      <c r="Q1059" s="94"/>
      <c r="R1059" s="94"/>
      <c r="S1059" s="94"/>
      <c r="T1059" s="94"/>
      <c r="U1059" s="94"/>
      <c r="V1059" s="94"/>
    </row>
    <row r="1060" ht="24.0" customHeight="1">
      <c r="A1060" s="149"/>
      <c r="B1060" s="150"/>
      <c r="C1060" s="197"/>
      <c r="D1060" s="198"/>
      <c r="E1060" s="198"/>
      <c r="F1060" s="199"/>
      <c r="G1060" s="200"/>
      <c r="H1060" s="201"/>
      <c r="I1060" s="202"/>
      <c r="J1060" s="201"/>
      <c r="K1060" s="170"/>
      <c r="L1060" s="171"/>
      <c r="M1060" s="94"/>
      <c r="N1060" s="94"/>
      <c r="O1060" s="94"/>
      <c r="P1060" s="94"/>
      <c r="Q1060" s="94"/>
      <c r="R1060" s="94"/>
      <c r="S1060" s="94"/>
      <c r="T1060" s="94"/>
      <c r="U1060" s="94"/>
      <c r="V1060" s="94"/>
    </row>
    <row r="1061" ht="24.0" customHeight="1">
      <c r="A1061" s="149"/>
      <c r="B1061" s="150"/>
      <c r="C1061" s="197"/>
      <c r="D1061" s="198"/>
      <c r="E1061" s="198"/>
      <c r="F1061" s="199"/>
      <c r="G1061" s="200"/>
      <c r="H1061" s="201"/>
      <c r="I1061" s="202"/>
      <c r="J1061" s="201"/>
      <c r="K1061" s="170"/>
      <c r="L1061" s="171"/>
      <c r="M1061" s="94"/>
      <c r="N1061" s="94"/>
      <c r="O1061" s="94"/>
      <c r="P1061" s="94"/>
      <c r="Q1061" s="94"/>
      <c r="R1061" s="94"/>
      <c r="S1061" s="94"/>
      <c r="T1061" s="94"/>
      <c r="U1061" s="94"/>
      <c r="V1061" s="94"/>
    </row>
    <row r="1062" ht="24.0" customHeight="1">
      <c r="A1062" s="149"/>
      <c r="B1062" s="150"/>
      <c r="C1062" s="197"/>
      <c r="D1062" s="198"/>
      <c r="E1062" s="198"/>
      <c r="F1062" s="199"/>
      <c r="G1062" s="200"/>
      <c r="H1062" s="201"/>
      <c r="I1062" s="202"/>
      <c r="J1062" s="201"/>
      <c r="K1062" s="170"/>
      <c r="L1062" s="171"/>
      <c r="M1062" s="94"/>
      <c r="N1062" s="94"/>
      <c r="O1062" s="94"/>
      <c r="P1062" s="94"/>
      <c r="Q1062" s="94"/>
      <c r="R1062" s="94"/>
      <c r="S1062" s="94"/>
      <c r="T1062" s="94"/>
      <c r="U1062" s="94"/>
      <c r="V1062" s="94"/>
    </row>
    <row r="1063" ht="24.0" customHeight="1">
      <c r="A1063" s="149"/>
      <c r="B1063" s="150"/>
      <c r="C1063" s="197"/>
      <c r="D1063" s="198"/>
      <c r="E1063" s="198"/>
      <c r="F1063" s="199"/>
      <c r="G1063" s="200"/>
      <c r="H1063" s="201"/>
      <c r="I1063" s="202"/>
      <c r="J1063" s="201"/>
      <c r="K1063" s="170"/>
      <c r="L1063" s="171"/>
      <c r="M1063" s="94"/>
      <c r="N1063" s="94"/>
      <c r="O1063" s="94"/>
      <c r="P1063" s="94"/>
      <c r="Q1063" s="94"/>
      <c r="R1063" s="94"/>
      <c r="S1063" s="94"/>
      <c r="T1063" s="94"/>
      <c r="U1063" s="94"/>
      <c r="V1063" s="94"/>
    </row>
    <row r="1064" ht="24.0" customHeight="1">
      <c r="A1064" s="149"/>
      <c r="B1064" s="150"/>
      <c r="C1064" s="197"/>
      <c r="D1064" s="198"/>
      <c r="E1064" s="198"/>
      <c r="F1064" s="199"/>
      <c r="G1064" s="200"/>
      <c r="H1064" s="201"/>
      <c r="I1064" s="202"/>
      <c r="J1064" s="201"/>
      <c r="K1064" s="170"/>
      <c r="L1064" s="171"/>
      <c r="M1064" s="94"/>
      <c r="N1064" s="94"/>
      <c r="O1064" s="94"/>
      <c r="P1064" s="94"/>
      <c r="Q1064" s="94"/>
      <c r="R1064" s="94"/>
      <c r="S1064" s="94"/>
      <c r="T1064" s="94"/>
      <c r="U1064" s="94"/>
      <c r="V1064" s="94"/>
    </row>
    <row r="1065" ht="24.0" customHeight="1">
      <c r="A1065" s="149"/>
      <c r="B1065" s="150"/>
      <c r="C1065" s="197"/>
      <c r="D1065" s="198"/>
      <c r="E1065" s="198"/>
      <c r="F1065" s="199"/>
      <c r="G1065" s="200"/>
      <c r="H1065" s="201"/>
      <c r="I1065" s="202"/>
      <c r="J1065" s="201"/>
      <c r="K1065" s="170"/>
      <c r="L1065" s="171"/>
      <c r="M1065" s="94"/>
      <c r="N1065" s="94"/>
      <c r="O1065" s="94"/>
      <c r="P1065" s="94"/>
      <c r="Q1065" s="94"/>
      <c r="R1065" s="94"/>
      <c r="S1065" s="94"/>
      <c r="T1065" s="94"/>
      <c r="U1065" s="94"/>
      <c r="V1065" s="94"/>
    </row>
    <row r="1066" ht="24.0" customHeight="1">
      <c r="A1066" s="149"/>
      <c r="B1066" s="150"/>
      <c r="C1066" s="197"/>
      <c r="D1066" s="198"/>
      <c r="E1066" s="198"/>
      <c r="F1066" s="199"/>
      <c r="G1066" s="200"/>
      <c r="H1066" s="201"/>
      <c r="I1066" s="202"/>
      <c r="J1066" s="201"/>
      <c r="K1066" s="170"/>
      <c r="L1066" s="171"/>
      <c r="M1066" s="94"/>
      <c r="N1066" s="94"/>
      <c r="O1066" s="94"/>
      <c r="P1066" s="94"/>
      <c r="Q1066" s="94"/>
      <c r="R1066" s="94"/>
      <c r="S1066" s="94"/>
      <c r="T1066" s="94"/>
      <c r="U1066" s="94"/>
      <c r="V1066" s="94"/>
    </row>
    <row r="1067" ht="24.0" customHeight="1">
      <c r="A1067" s="149"/>
      <c r="B1067" s="150"/>
      <c r="C1067" s="197"/>
      <c r="D1067" s="198"/>
      <c r="E1067" s="198"/>
      <c r="F1067" s="199"/>
      <c r="G1067" s="200"/>
      <c r="H1067" s="201"/>
      <c r="I1067" s="202"/>
      <c r="J1067" s="201"/>
      <c r="K1067" s="170"/>
      <c r="L1067" s="171"/>
      <c r="M1067" s="94"/>
      <c r="N1067" s="94"/>
      <c r="O1067" s="94"/>
      <c r="P1067" s="94"/>
      <c r="Q1067" s="94"/>
      <c r="R1067" s="94"/>
      <c r="S1067" s="94"/>
      <c r="T1067" s="94"/>
      <c r="U1067" s="94"/>
      <c r="V1067" s="94"/>
    </row>
    <row r="1068" ht="24.0" customHeight="1">
      <c r="A1068" s="149"/>
      <c r="B1068" s="150"/>
      <c r="C1068" s="197"/>
      <c r="D1068" s="198"/>
      <c r="E1068" s="198"/>
      <c r="F1068" s="199"/>
      <c r="G1068" s="200"/>
      <c r="H1068" s="201"/>
      <c r="I1068" s="202"/>
      <c r="J1068" s="201"/>
      <c r="K1068" s="170"/>
      <c r="L1068" s="171"/>
      <c r="M1068" s="94"/>
      <c r="N1068" s="94"/>
      <c r="O1068" s="94"/>
      <c r="P1068" s="94"/>
      <c r="Q1068" s="94"/>
      <c r="R1068" s="94"/>
      <c r="S1068" s="94"/>
      <c r="T1068" s="94"/>
      <c r="U1068" s="94"/>
      <c r="V1068" s="94"/>
    </row>
    <row r="1069" ht="24.0" customHeight="1">
      <c r="A1069" s="149"/>
      <c r="B1069" s="150"/>
      <c r="C1069" s="197"/>
      <c r="D1069" s="198"/>
      <c r="E1069" s="198"/>
      <c r="F1069" s="199"/>
      <c r="G1069" s="200"/>
      <c r="H1069" s="201"/>
      <c r="I1069" s="202"/>
      <c r="J1069" s="201"/>
      <c r="K1069" s="170"/>
      <c r="L1069" s="171"/>
      <c r="M1069" s="94"/>
      <c r="N1069" s="94"/>
      <c r="O1069" s="94"/>
      <c r="P1069" s="94"/>
      <c r="Q1069" s="94"/>
      <c r="R1069" s="94"/>
      <c r="S1069" s="94"/>
      <c r="T1069" s="94"/>
      <c r="U1069" s="94"/>
      <c r="V1069" s="94"/>
    </row>
    <row r="1070" ht="24.0" customHeight="1">
      <c r="A1070" s="149"/>
      <c r="B1070" s="150"/>
      <c r="C1070" s="197"/>
      <c r="D1070" s="198"/>
      <c r="E1070" s="198"/>
      <c r="F1070" s="199"/>
      <c r="G1070" s="200"/>
      <c r="H1070" s="201"/>
      <c r="I1070" s="202"/>
      <c r="J1070" s="201"/>
      <c r="K1070" s="170"/>
      <c r="L1070" s="171"/>
      <c r="M1070" s="94"/>
      <c r="N1070" s="94"/>
      <c r="O1070" s="94"/>
      <c r="P1070" s="94"/>
      <c r="Q1070" s="94"/>
      <c r="R1070" s="94"/>
      <c r="S1070" s="94"/>
      <c r="T1070" s="94"/>
      <c r="U1070" s="94"/>
      <c r="V1070" s="94"/>
    </row>
    <row r="1071" ht="24.0" customHeight="1">
      <c r="A1071" s="149"/>
      <c r="B1071" s="150"/>
      <c r="C1071" s="197"/>
      <c r="D1071" s="198"/>
      <c r="E1071" s="198"/>
      <c r="F1071" s="199"/>
      <c r="G1071" s="200"/>
      <c r="H1071" s="201"/>
      <c r="I1071" s="202"/>
      <c r="J1071" s="201"/>
      <c r="K1071" s="170"/>
      <c r="L1071" s="171"/>
      <c r="M1071" s="94"/>
      <c r="N1071" s="94"/>
      <c r="O1071" s="94"/>
      <c r="P1071" s="94"/>
      <c r="Q1071" s="94"/>
      <c r="R1071" s="94"/>
      <c r="S1071" s="94"/>
      <c r="T1071" s="94"/>
      <c r="U1071" s="94"/>
      <c r="V1071" s="94"/>
    </row>
    <row r="1072" ht="24.0" customHeight="1">
      <c r="A1072" s="149"/>
      <c r="B1072" s="150"/>
      <c r="C1072" s="197"/>
      <c r="D1072" s="198"/>
      <c r="E1072" s="198"/>
      <c r="F1072" s="199"/>
      <c r="G1072" s="200"/>
      <c r="H1072" s="201"/>
      <c r="I1072" s="202"/>
      <c r="J1072" s="201"/>
      <c r="K1072" s="170"/>
      <c r="L1072" s="171"/>
      <c r="M1072" s="94"/>
      <c r="N1072" s="94"/>
      <c r="O1072" s="94"/>
      <c r="P1072" s="94"/>
      <c r="Q1072" s="94"/>
      <c r="R1072" s="94"/>
      <c r="S1072" s="94"/>
      <c r="T1072" s="94"/>
      <c r="U1072" s="94"/>
      <c r="V1072" s="94"/>
    </row>
    <row r="1073" ht="24.0" customHeight="1">
      <c r="A1073" s="149"/>
      <c r="B1073" s="150"/>
      <c r="C1073" s="197"/>
      <c r="D1073" s="198"/>
      <c r="E1073" s="198"/>
      <c r="F1073" s="199"/>
      <c r="G1073" s="200"/>
      <c r="H1073" s="201"/>
      <c r="I1073" s="202"/>
      <c r="J1073" s="201"/>
      <c r="K1073" s="170"/>
      <c r="L1073" s="171"/>
      <c r="M1073" s="94"/>
      <c r="N1073" s="94"/>
      <c r="O1073" s="94"/>
      <c r="P1073" s="94"/>
      <c r="Q1073" s="94"/>
      <c r="R1073" s="94"/>
      <c r="S1073" s="94"/>
      <c r="T1073" s="94"/>
      <c r="U1073" s="94"/>
      <c r="V1073" s="94"/>
    </row>
    <row r="1074" ht="24.0" customHeight="1">
      <c r="A1074" s="149"/>
      <c r="B1074" s="150"/>
      <c r="C1074" s="197"/>
      <c r="D1074" s="198"/>
      <c r="E1074" s="198"/>
      <c r="F1074" s="199"/>
      <c r="G1074" s="200"/>
      <c r="H1074" s="201"/>
      <c r="I1074" s="202"/>
      <c r="J1074" s="201"/>
      <c r="K1074" s="170"/>
      <c r="L1074" s="171"/>
      <c r="M1074" s="94"/>
      <c r="N1074" s="94"/>
      <c r="O1074" s="94"/>
      <c r="P1074" s="94"/>
      <c r="Q1074" s="94"/>
      <c r="R1074" s="94"/>
      <c r="S1074" s="94"/>
      <c r="T1074" s="94"/>
      <c r="U1074" s="94"/>
      <c r="V1074" s="94"/>
    </row>
    <row r="1075" ht="24.0" customHeight="1">
      <c r="A1075" s="149"/>
      <c r="B1075" s="150"/>
      <c r="C1075" s="197"/>
      <c r="D1075" s="198"/>
      <c r="E1075" s="198"/>
      <c r="F1075" s="199"/>
      <c r="G1075" s="200"/>
      <c r="H1075" s="201"/>
      <c r="I1075" s="202"/>
      <c r="J1075" s="201"/>
      <c r="K1075" s="170"/>
      <c r="L1075" s="171"/>
      <c r="M1075" s="94"/>
      <c r="N1075" s="94"/>
      <c r="O1075" s="94"/>
      <c r="P1075" s="94"/>
      <c r="Q1075" s="94"/>
      <c r="R1075" s="94"/>
      <c r="S1075" s="94"/>
      <c r="T1075" s="94"/>
      <c r="U1075" s="94"/>
      <c r="V1075" s="94"/>
    </row>
    <row r="1076" ht="24.0" customHeight="1">
      <c r="A1076" s="149"/>
      <c r="B1076" s="150"/>
      <c r="C1076" s="197"/>
      <c r="D1076" s="198"/>
      <c r="E1076" s="198"/>
      <c r="F1076" s="199"/>
      <c r="G1076" s="200"/>
      <c r="H1076" s="201"/>
      <c r="I1076" s="202"/>
      <c r="J1076" s="201"/>
      <c r="K1076" s="170"/>
      <c r="L1076" s="171"/>
      <c r="M1076" s="94"/>
      <c r="N1076" s="94"/>
      <c r="O1076" s="94"/>
      <c r="P1076" s="94"/>
      <c r="Q1076" s="94"/>
      <c r="R1076" s="94"/>
      <c r="S1076" s="94"/>
      <c r="T1076" s="94"/>
      <c r="U1076" s="94"/>
      <c r="V1076" s="94"/>
    </row>
    <row r="1077" ht="24.0" customHeight="1">
      <c r="A1077" s="149"/>
      <c r="B1077" s="150"/>
      <c r="C1077" s="197"/>
      <c r="D1077" s="198"/>
      <c r="E1077" s="198"/>
      <c r="F1077" s="199"/>
      <c r="G1077" s="200"/>
      <c r="H1077" s="201"/>
      <c r="I1077" s="202"/>
      <c r="J1077" s="201"/>
      <c r="K1077" s="170"/>
      <c r="L1077" s="171"/>
      <c r="M1077" s="94"/>
      <c r="N1077" s="94"/>
      <c r="O1077" s="94"/>
      <c r="P1077" s="94"/>
      <c r="Q1077" s="94"/>
      <c r="R1077" s="94"/>
      <c r="S1077" s="94"/>
      <c r="T1077" s="94"/>
      <c r="U1077" s="94"/>
      <c r="V1077" s="94"/>
    </row>
    <row r="1078" ht="24.0" customHeight="1">
      <c r="A1078" s="149"/>
      <c r="B1078" s="150"/>
      <c r="C1078" s="197"/>
      <c r="D1078" s="198"/>
      <c r="E1078" s="198"/>
      <c r="F1078" s="199"/>
      <c r="G1078" s="200"/>
      <c r="H1078" s="201"/>
      <c r="I1078" s="202"/>
      <c r="J1078" s="201"/>
      <c r="K1078" s="170"/>
      <c r="L1078" s="171"/>
      <c r="M1078" s="94"/>
      <c r="N1078" s="94"/>
      <c r="O1078" s="94"/>
      <c r="P1078" s="94"/>
      <c r="Q1078" s="94"/>
      <c r="R1078" s="94"/>
      <c r="S1078" s="94"/>
      <c r="T1078" s="94"/>
      <c r="U1078" s="94"/>
      <c r="V1078" s="94"/>
    </row>
    <row r="1079" ht="24.0" customHeight="1">
      <c r="A1079" s="149"/>
      <c r="B1079" s="150"/>
      <c r="C1079" s="197"/>
      <c r="D1079" s="198"/>
      <c r="E1079" s="198"/>
      <c r="F1079" s="199"/>
      <c r="G1079" s="200"/>
      <c r="H1079" s="201"/>
      <c r="I1079" s="202"/>
      <c r="J1079" s="201"/>
      <c r="K1079" s="170"/>
      <c r="L1079" s="171"/>
      <c r="M1079" s="94"/>
      <c r="N1079" s="94"/>
      <c r="O1079" s="94"/>
      <c r="P1079" s="94"/>
      <c r="Q1079" s="94"/>
      <c r="R1079" s="94"/>
      <c r="S1079" s="94"/>
      <c r="T1079" s="94"/>
      <c r="U1079" s="94"/>
      <c r="V1079" s="94"/>
    </row>
    <row r="1080" ht="24.0" customHeight="1">
      <c r="A1080" s="149"/>
      <c r="B1080" s="150"/>
      <c r="C1080" s="197"/>
      <c r="D1080" s="198"/>
      <c r="E1080" s="198"/>
      <c r="F1080" s="199"/>
      <c r="G1080" s="200"/>
      <c r="H1080" s="201"/>
      <c r="I1080" s="202"/>
      <c r="J1080" s="201"/>
      <c r="K1080" s="170"/>
      <c r="L1080" s="171"/>
      <c r="M1080" s="94"/>
      <c r="N1080" s="94"/>
      <c r="O1080" s="94"/>
      <c r="P1080" s="94"/>
      <c r="Q1080" s="94"/>
      <c r="R1080" s="94"/>
      <c r="S1080" s="94"/>
      <c r="T1080" s="94"/>
      <c r="U1080" s="94"/>
      <c r="V1080" s="94"/>
    </row>
    <row r="1081" ht="24.0" customHeight="1">
      <c r="A1081" s="149"/>
      <c r="B1081" s="150"/>
      <c r="C1081" s="197"/>
      <c r="D1081" s="198"/>
      <c r="E1081" s="198"/>
      <c r="F1081" s="199"/>
      <c r="G1081" s="200"/>
      <c r="H1081" s="201"/>
      <c r="I1081" s="202"/>
      <c r="J1081" s="201"/>
      <c r="K1081" s="170"/>
      <c r="L1081" s="171"/>
      <c r="M1081" s="94"/>
      <c r="N1081" s="94"/>
      <c r="O1081" s="94"/>
      <c r="P1081" s="94"/>
      <c r="Q1081" s="94"/>
      <c r="R1081" s="94"/>
      <c r="S1081" s="94"/>
      <c r="T1081" s="94"/>
      <c r="U1081" s="94"/>
      <c r="V1081" s="94"/>
    </row>
    <row r="1082" ht="24.0" customHeight="1">
      <c r="A1082" s="149"/>
      <c r="B1082" s="150"/>
      <c r="C1082" s="197"/>
      <c r="D1082" s="198"/>
      <c r="E1082" s="198"/>
      <c r="F1082" s="199"/>
      <c r="G1082" s="200"/>
      <c r="H1082" s="201"/>
      <c r="I1082" s="202"/>
      <c r="J1082" s="201"/>
      <c r="K1082" s="170"/>
      <c r="L1082" s="171"/>
      <c r="M1082" s="94"/>
      <c r="N1082" s="94"/>
      <c r="O1082" s="94"/>
      <c r="P1082" s="94"/>
      <c r="Q1082" s="94"/>
      <c r="R1082" s="94"/>
      <c r="S1082" s="94"/>
      <c r="T1082" s="94"/>
      <c r="U1082" s="94"/>
      <c r="V1082" s="94"/>
    </row>
    <row r="1083" ht="24.0" customHeight="1">
      <c r="A1083" s="149"/>
      <c r="B1083" s="150"/>
      <c r="C1083" s="197"/>
      <c r="D1083" s="198"/>
      <c r="E1083" s="198"/>
      <c r="F1083" s="199"/>
      <c r="G1083" s="200"/>
      <c r="H1083" s="201"/>
      <c r="I1083" s="202"/>
      <c r="J1083" s="201"/>
      <c r="K1083" s="170"/>
      <c r="L1083" s="171"/>
      <c r="M1083" s="94"/>
      <c r="N1083" s="94"/>
      <c r="O1083" s="94"/>
      <c r="P1083" s="94"/>
      <c r="Q1083" s="94"/>
      <c r="R1083" s="94"/>
      <c r="S1083" s="94"/>
      <c r="T1083" s="94"/>
      <c r="U1083" s="94"/>
      <c r="V1083" s="94"/>
    </row>
    <row r="1084" ht="24.0" customHeight="1">
      <c r="A1084" s="149"/>
      <c r="B1084" s="150"/>
      <c r="C1084" s="197"/>
      <c r="D1084" s="198"/>
      <c r="E1084" s="198"/>
      <c r="F1084" s="199"/>
      <c r="G1084" s="200"/>
      <c r="H1084" s="201"/>
      <c r="I1084" s="202"/>
      <c r="J1084" s="201"/>
      <c r="K1084" s="170"/>
      <c r="L1084" s="171"/>
      <c r="M1084" s="94"/>
      <c r="N1084" s="94"/>
      <c r="O1084" s="94"/>
      <c r="P1084" s="94"/>
      <c r="Q1084" s="94"/>
      <c r="R1084" s="94"/>
      <c r="S1084" s="94"/>
      <c r="T1084" s="94"/>
      <c r="U1084" s="94"/>
      <c r="V1084" s="94"/>
    </row>
    <row r="1085" ht="24.0" customHeight="1">
      <c r="A1085" s="149"/>
      <c r="B1085" s="150"/>
      <c r="C1085" s="197"/>
      <c r="D1085" s="198"/>
      <c r="E1085" s="198"/>
      <c r="F1085" s="199"/>
      <c r="G1085" s="200"/>
      <c r="H1085" s="201"/>
      <c r="I1085" s="202"/>
      <c r="J1085" s="201"/>
      <c r="K1085" s="170"/>
      <c r="L1085" s="171"/>
      <c r="M1085" s="94"/>
      <c r="N1085" s="94"/>
      <c r="O1085" s="94"/>
      <c r="P1085" s="94"/>
      <c r="Q1085" s="94"/>
      <c r="R1085" s="94"/>
      <c r="S1085" s="94"/>
      <c r="T1085" s="94"/>
      <c r="U1085" s="94"/>
      <c r="V1085" s="94"/>
    </row>
    <row r="1086" ht="24.0" customHeight="1">
      <c r="A1086" s="149"/>
      <c r="B1086" s="150"/>
      <c r="C1086" s="197"/>
      <c r="D1086" s="198"/>
      <c r="E1086" s="198"/>
      <c r="F1086" s="199"/>
      <c r="G1086" s="200"/>
      <c r="H1086" s="201"/>
      <c r="I1086" s="202"/>
      <c r="J1086" s="201"/>
      <c r="K1086" s="170"/>
      <c r="L1086" s="171"/>
      <c r="M1086" s="94"/>
      <c r="N1086" s="94"/>
      <c r="O1086" s="94"/>
      <c r="P1086" s="94"/>
      <c r="Q1086" s="94"/>
      <c r="R1086" s="94"/>
      <c r="S1086" s="94"/>
      <c r="T1086" s="94"/>
      <c r="U1086" s="94"/>
      <c r="V1086" s="94"/>
    </row>
    <row r="1087" ht="24.0" customHeight="1">
      <c r="A1087" s="149"/>
      <c r="B1087" s="150"/>
      <c r="C1087" s="197"/>
      <c r="D1087" s="198"/>
      <c r="E1087" s="198"/>
      <c r="F1087" s="199"/>
      <c r="G1087" s="200"/>
      <c r="H1087" s="201"/>
      <c r="I1087" s="202"/>
      <c r="J1087" s="201"/>
      <c r="K1087" s="170"/>
      <c r="L1087" s="171"/>
      <c r="M1087" s="94"/>
      <c r="N1087" s="94"/>
      <c r="O1087" s="94"/>
      <c r="P1087" s="94"/>
      <c r="Q1087" s="94"/>
      <c r="R1087" s="94"/>
      <c r="S1087" s="94"/>
      <c r="T1087" s="94"/>
      <c r="U1087" s="94"/>
      <c r="V1087" s="94"/>
    </row>
    <row r="1088" ht="24.0" customHeight="1">
      <c r="A1088" s="149"/>
      <c r="B1088" s="150"/>
      <c r="C1088" s="197"/>
      <c r="D1088" s="198"/>
      <c r="E1088" s="198"/>
      <c r="F1088" s="199"/>
      <c r="G1088" s="200"/>
      <c r="H1088" s="201"/>
      <c r="I1088" s="202"/>
      <c r="J1088" s="201"/>
      <c r="K1088" s="170"/>
      <c r="L1088" s="171"/>
      <c r="M1088" s="94"/>
      <c r="N1088" s="94"/>
      <c r="O1088" s="94"/>
      <c r="P1088" s="94"/>
      <c r="Q1088" s="94"/>
      <c r="R1088" s="94"/>
      <c r="S1088" s="94"/>
      <c r="T1088" s="94"/>
      <c r="U1088" s="94"/>
      <c r="V1088" s="94"/>
    </row>
    <row r="1089" ht="24.0" customHeight="1">
      <c r="A1089" s="149"/>
      <c r="B1089" s="150"/>
      <c r="C1089" s="197"/>
      <c r="D1089" s="198"/>
      <c r="E1089" s="198"/>
      <c r="F1089" s="199"/>
      <c r="G1089" s="200"/>
      <c r="H1089" s="201"/>
      <c r="I1089" s="202"/>
      <c r="J1089" s="201"/>
      <c r="K1089" s="170"/>
      <c r="L1089" s="171"/>
      <c r="M1089" s="94"/>
      <c r="N1089" s="94"/>
      <c r="O1089" s="94"/>
      <c r="P1089" s="94"/>
      <c r="Q1089" s="94"/>
      <c r="R1089" s="94"/>
      <c r="S1089" s="94"/>
      <c r="T1089" s="94"/>
      <c r="U1089" s="94"/>
      <c r="V1089" s="94"/>
    </row>
    <row r="1090" ht="24.0" customHeight="1">
      <c r="A1090" s="149"/>
      <c r="B1090" s="150"/>
      <c r="C1090" s="197"/>
      <c r="D1090" s="198"/>
      <c r="E1090" s="198"/>
      <c r="F1090" s="199"/>
      <c r="G1090" s="200"/>
      <c r="H1090" s="201"/>
      <c r="I1090" s="202"/>
      <c r="J1090" s="201"/>
      <c r="K1090" s="170"/>
      <c r="L1090" s="171"/>
      <c r="M1090" s="94"/>
      <c r="N1090" s="94"/>
      <c r="O1090" s="94"/>
      <c r="P1090" s="94"/>
      <c r="Q1090" s="94"/>
      <c r="R1090" s="94"/>
      <c r="S1090" s="94"/>
      <c r="T1090" s="94"/>
      <c r="U1090" s="94"/>
      <c r="V1090" s="94"/>
    </row>
    <row r="1091" ht="24.0" customHeight="1">
      <c r="A1091" s="149"/>
      <c r="B1091" s="150"/>
      <c r="C1091" s="197"/>
      <c r="D1091" s="198"/>
      <c r="E1091" s="198"/>
      <c r="F1091" s="199"/>
      <c r="G1091" s="200"/>
      <c r="H1091" s="201"/>
      <c r="I1091" s="202"/>
      <c r="J1091" s="201"/>
      <c r="K1091" s="170"/>
      <c r="L1091" s="171"/>
      <c r="M1091" s="94"/>
      <c r="N1091" s="94"/>
      <c r="O1091" s="94"/>
      <c r="P1091" s="94"/>
      <c r="Q1091" s="94"/>
      <c r="R1091" s="94"/>
      <c r="S1091" s="94"/>
      <c r="T1091" s="94"/>
      <c r="U1091" s="94"/>
      <c r="V1091" s="94"/>
    </row>
    <row r="1092" ht="24.0" customHeight="1">
      <c r="A1092" s="149"/>
      <c r="B1092" s="150"/>
      <c r="C1092" s="197"/>
      <c r="D1092" s="198"/>
      <c r="E1092" s="198"/>
      <c r="F1092" s="199"/>
      <c r="G1092" s="200"/>
      <c r="H1092" s="201"/>
      <c r="I1092" s="202"/>
      <c r="J1092" s="201"/>
      <c r="K1092" s="170"/>
      <c r="L1092" s="171"/>
      <c r="M1092" s="94"/>
      <c r="N1092" s="94"/>
      <c r="O1092" s="94"/>
      <c r="P1092" s="94"/>
      <c r="Q1092" s="94"/>
      <c r="R1092" s="94"/>
      <c r="S1092" s="94"/>
      <c r="T1092" s="94"/>
      <c r="U1092" s="94"/>
      <c r="V1092" s="94"/>
    </row>
    <row r="1093" ht="24.0" customHeight="1">
      <c r="A1093" s="149"/>
      <c r="B1093" s="150"/>
      <c r="C1093" s="197"/>
      <c r="D1093" s="198"/>
      <c r="E1093" s="198"/>
      <c r="F1093" s="199"/>
      <c r="G1093" s="200"/>
      <c r="H1093" s="201"/>
      <c r="I1093" s="202"/>
      <c r="J1093" s="201"/>
      <c r="K1093" s="170"/>
      <c r="L1093" s="171"/>
      <c r="M1093" s="94"/>
      <c r="N1093" s="94"/>
      <c r="O1093" s="94"/>
      <c r="P1093" s="94"/>
      <c r="Q1093" s="94"/>
      <c r="R1093" s="94"/>
      <c r="S1093" s="94"/>
      <c r="T1093" s="94"/>
      <c r="U1093" s="94"/>
      <c r="V1093" s="94"/>
    </row>
    <row r="1094" ht="24.0" customHeight="1">
      <c r="A1094" s="149"/>
      <c r="B1094" s="150"/>
      <c r="C1094" s="197"/>
      <c r="D1094" s="198"/>
      <c r="E1094" s="198"/>
      <c r="F1094" s="199"/>
      <c r="G1094" s="200"/>
      <c r="H1094" s="201"/>
      <c r="I1094" s="202"/>
      <c r="J1094" s="201"/>
      <c r="K1094" s="170"/>
      <c r="L1094" s="171"/>
      <c r="M1094" s="94"/>
      <c r="N1094" s="94"/>
      <c r="O1094" s="94"/>
      <c r="P1094" s="94"/>
      <c r="Q1094" s="94"/>
      <c r="R1094" s="94"/>
      <c r="S1094" s="94"/>
      <c r="T1094" s="94"/>
      <c r="U1094" s="94"/>
      <c r="V1094" s="94"/>
    </row>
    <row r="1095" ht="24.0" customHeight="1">
      <c r="A1095" s="149"/>
      <c r="B1095" s="150"/>
      <c r="C1095" s="197"/>
      <c r="D1095" s="198"/>
      <c r="E1095" s="198"/>
      <c r="F1095" s="199"/>
      <c r="G1095" s="200"/>
      <c r="H1095" s="201"/>
      <c r="I1095" s="202"/>
      <c r="J1095" s="201"/>
      <c r="K1095" s="170"/>
      <c r="L1095" s="171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</row>
    <row r="1096" ht="24.0" customHeight="1">
      <c r="A1096" s="149"/>
      <c r="B1096" s="150"/>
      <c r="C1096" s="197"/>
      <c r="D1096" s="198"/>
      <c r="E1096" s="198"/>
      <c r="F1096" s="199"/>
      <c r="G1096" s="200"/>
      <c r="H1096" s="201"/>
      <c r="I1096" s="202"/>
      <c r="J1096" s="201"/>
      <c r="K1096" s="170"/>
      <c r="L1096" s="171"/>
      <c r="M1096" s="94"/>
      <c r="N1096" s="94"/>
      <c r="O1096" s="94"/>
      <c r="P1096" s="94"/>
      <c r="Q1096" s="94"/>
      <c r="R1096" s="94"/>
      <c r="S1096" s="94"/>
      <c r="T1096" s="94"/>
      <c r="U1096" s="94"/>
      <c r="V1096" s="94"/>
    </row>
    <row r="1097" ht="24.0" customHeight="1">
      <c r="A1097" s="149"/>
      <c r="B1097" s="150"/>
      <c r="C1097" s="197"/>
      <c r="D1097" s="198"/>
      <c r="E1097" s="198"/>
      <c r="F1097" s="199"/>
      <c r="G1097" s="200"/>
      <c r="H1097" s="201"/>
      <c r="I1097" s="202"/>
      <c r="J1097" s="201"/>
      <c r="K1097" s="170"/>
      <c r="L1097" s="171"/>
      <c r="M1097" s="94"/>
      <c r="N1097" s="94"/>
      <c r="O1097" s="94"/>
      <c r="P1097" s="94"/>
      <c r="Q1097" s="94"/>
      <c r="R1097" s="94"/>
      <c r="S1097" s="94"/>
      <c r="T1097" s="94"/>
      <c r="U1097" s="94"/>
      <c r="V1097" s="94"/>
    </row>
    <row r="1098" ht="24.0" customHeight="1">
      <c r="A1098" s="149"/>
      <c r="B1098" s="150"/>
      <c r="C1098" s="197"/>
      <c r="D1098" s="198"/>
      <c r="E1098" s="198"/>
      <c r="F1098" s="199"/>
      <c r="G1098" s="200"/>
      <c r="H1098" s="201"/>
      <c r="I1098" s="202"/>
      <c r="J1098" s="201"/>
      <c r="K1098" s="170"/>
      <c r="L1098" s="171"/>
      <c r="M1098" s="94"/>
      <c r="N1098" s="94"/>
      <c r="O1098" s="94"/>
      <c r="P1098" s="94"/>
      <c r="Q1098" s="94"/>
      <c r="R1098" s="94"/>
      <c r="S1098" s="94"/>
      <c r="T1098" s="94"/>
      <c r="U1098" s="94"/>
      <c r="V1098" s="94"/>
    </row>
    <row r="1099" ht="24.0" customHeight="1">
      <c r="A1099" s="149"/>
      <c r="B1099" s="150"/>
      <c r="C1099" s="197"/>
      <c r="D1099" s="198"/>
      <c r="E1099" s="198"/>
      <c r="F1099" s="199"/>
      <c r="G1099" s="200"/>
      <c r="H1099" s="201"/>
      <c r="I1099" s="202"/>
      <c r="J1099" s="201"/>
      <c r="K1099" s="170"/>
      <c r="L1099" s="171"/>
      <c r="M1099" s="94"/>
      <c r="N1099" s="94"/>
      <c r="O1099" s="94"/>
      <c r="P1099" s="94"/>
      <c r="Q1099" s="94"/>
      <c r="R1099" s="94"/>
      <c r="S1099" s="94"/>
      <c r="T1099" s="94"/>
      <c r="U1099" s="94"/>
      <c r="V1099" s="94"/>
    </row>
    <row r="1100" ht="24.0" customHeight="1">
      <c r="A1100" s="149"/>
      <c r="B1100" s="150"/>
      <c r="C1100" s="197"/>
      <c r="D1100" s="198"/>
      <c r="E1100" s="198"/>
      <c r="F1100" s="199"/>
      <c r="G1100" s="200"/>
      <c r="H1100" s="201"/>
      <c r="I1100" s="202"/>
      <c r="J1100" s="201"/>
      <c r="K1100" s="170"/>
      <c r="L1100" s="171"/>
      <c r="M1100" s="94"/>
      <c r="N1100" s="94"/>
      <c r="O1100" s="94"/>
      <c r="P1100" s="94"/>
      <c r="Q1100" s="94"/>
      <c r="R1100" s="94"/>
      <c r="S1100" s="94"/>
      <c r="T1100" s="94"/>
      <c r="U1100" s="94"/>
      <c r="V1100" s="94"/>
    </row>
    <row r="1101" ht="24.0" customHeight="1">
      <c r="A1101" s="149"/>
      <c r="B1101" s="150"/>
      <c r="C1101" s="197"/>
      <c r="D1101" s="198"/>
      <c r="E1101" s="198"/>
      <c r="F1101" s="199"/>
      <c r="G1101" s="200"/>
      <c r="H1101" s="201"/>
      <c r="I1101" s="202"/>
      <c r="J1101" s="201"/>
      <c r="K1101" s="170"/>
      <c r="L1101" s="171"/>
      <c r="M1101" s="94"/>
      <c r="N1101" s="94"/>
      <c r="O1101" s="94"/>
      <c r="P1101" s="94"/>
      <c r="Q1101" s="94"/>
      <c r="R1101" s="94"/>
      <c r="S1101" s="94"/>
      <c r="T1101" s="94"/>
      <c r="U1101" s="94"/>
      <c r="V1101" s="94"/>
    </row>
    <row r="1102" ht="24.0" customHeight="1">
      <c r="A1102" s="149"/>
      <c r="B1102" s="150"/>
      <c r="C1102" s="197"/>
      <c r="D1102" s="198"/>
      <c r="E1102" s="198"/>
      <c r="F1102" s="199"/>
      <c r="G1102" s="200"/>
      <c r="H1102" s="201"/>
      <c r="I1102" s="202"/>
      <c r="J1102" s="201"/>
      <c r="K1102" s="170"/>
      <c r="L1102" s="171"/>
      <c r="M1102" s="94"/>
      <c r="N1102" s="94"/>
      <c r="O1102" s="94"/>
      <c r="P1102" s="94"/>
      <c r="Q1102" s="94"/>
      <c r="R1102" s="94"/>
      <c r="S1102" s="94"/>
      <c r="T1102" s="94"/>
      <c r="U1102" s="94"/>
      <c r="V1102" s="94"/>
    </row>
    <row r="1103" ht="24.0" customHeight="1">
      <c r="A1103" s="149"/>
      <c r="B1103" s="150"/>
      <c r="C1103" s="197"/>
      <c r="D1103" s="198"/>
      <c r="E1103" s="198"/>
      <c r="F1103" s="199"/>
      <c r="G1103" s="200"/>
      <c r="H1103" s="201"/>
      <c r="I1103" s="202"/>
      <c r="J1103" s="201"/>
      <c r="K1103" s="170"/>
      <c r="L1103" s="171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</row>
    <row r="1104" ht="24.0" customHeight="1">
      <c r="A1104" s="149"/>
      <c r="B1104" s="150"/>
      <c r="C1104" s="197"/>
      <c r="D1104" s="198"/>
      <c r="E1104" s="198"/>
      <c r="F1104" s="199"/>
      <c r="G1104" s="200"/>
      <c r="H1104" s="201"/>
      <c r="I1104" s="202"/>
      <c r="J1104" s="201"/>
      <c r="K1104" s="170"/>
      <c r="L1104" s="171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</row>
    <row r="1105" ht="24.0" customHeight="1">
      <c r="A1105" s="149"/>
      <c r="B1105" s="150"/>
      <c r="C1105" s="197"/>
      <c r="D1105" s="198"/>
      <c r="E1105" s="198"/>
      <c r="F1105" s="199"/>
      <c r="G1105" s="200"/>
      <c r="H1105" s="201"/>
      <c r="I1105" s="202"/>
      <c r="J1105" s="201"/>
      <c r="K1105" s="170"/>
      <c r="L1105" s="171"/>
      <c r="M1105" s="94"/>
      <c r="N1105" s="94"/>
      <c r="O1105" s="94"/>
      <c r="P1105" s="94"/>
      <c r="Q1105" s="94"/>
      <c r="R1105" s="94"/>
      <c r="S1105" s="94"/>
      <c r="T1105" s="94"/>
      <c r="U1105" s="94"/>
      <c r="V1105" s="94"/>
    </row>
    <row r="1106" ht="24.0" customHeight="1">
      <c r="A1106" s="149"/>
      <c r="B1106" s="150"/>
      <c r="C1106" s="197"/>
      <c r="D1106" s="198"/>
      <c r="E1106" s="198"/>
      <c r="F1106" s="199"/>
      <c r="G1106" s="200"/>
      <c r="H1106" s="201"/>
      <c r="I1106" s="202"/>
      <c r="J1106" s="201"/>
      <c r="K1106" s="170"/>
      <c r="L1106" s="171"/>
      <c r="M1106" s="94"/>
      <c r="N1106" s="94"/>
      <c r="O1106" s="94"/>
      <c r="P1106" s="94"/>
      <c r="Q1106" s="94"/>
      <c r="R1106" s="94"/>
      <c r="S1106" s="94"/>
      <c r="T1106" s="94"/>
      <c r="U1106" s="94"/>
      <c r="V1106" s="94"/>
    </row>
    <row r="1107" ht="24.0" customHeight="1">
      <c r="A1107" s="149"/>
      <c r="B1107" s="150"/>
      <c r="C1107" s="197"/>
      <c r="D1107" s="198"/>
      <c r="E1107" s="198"/>
      <c r="F1107" s="199"/>
      <c r="G1107" s="200"/>
      <c r="H1107" s="201"/>
      <c r="I1107" s="202"/>
      <c r="J1107" s="201"/>
      <c r="K1107" s="170"/>
      <c r="L1107" s="171"/>
      <c r="M1107" s="94"/>
      <c r="N1107" s="94"/>
      <c r="O1107" s="94"/>
      <c r="P1107" s="94"/>
      <c r="Q1107" s="94"/>
      <c r="R1107" s="94"/>
      <c r="S1107" s="94"/>
      <c r="T1107" s="94"/>
      <c r="U1107" s="94"/>
      <c r="V1107" s="94"/>
    </row>
    <row r="1108" ht="24.0" customHeight="1">
      <c r="A1108" s="149"/>
      <c r="B1108" s="150"/>
      <c r="C1108" s="197"/>
      <c r="D1108" s="198"/>
      <c r="E1108" s="198"/>
      <c r="F1108" s="199"/>
      <c r="G1108" s="200"/>
      <c r="H1108" s="201"/>
      <c r="I1108" s="202"/>
      <c r="J1108" s="201"/>
      <c r="K1108" s="170"/>
      <c r="L1108" s="171"/>
      <c r="M1108" s="94"/>
      <c r="N1108" s="94"/>
      <c r="O1108" s="94"/>
      <c r="P1108" s="94"/>
      <c r="Q1108" s="94"/>
      <c r="R1108" s="94"/>
      <c r="S1108" s="94"/>
      <c r="T1108" s="94"/>
      <c r="U1108" s="94"/>
      <c r="V1108" s="94"/>
    </row>
    <row r="1109" ht="24.0" customHeight="1">
      <c r="A1109" s="149"/>
      <c r="B1109" s="150"/>
      <c r="C1109" s="197"/>
      <c r="D1109" s="198"/>
      <c r="E1109" s="198"/>
      <c r="F1109" s="199"/>
      <c r="G1109" s="200"/>
      <c r="H1109" s="201"/>
      <c r="I1109" s="202"/>
      <c r="J1109" s="201"/>
      <c r="K1109" s="170"/>
      <c r="L1109" s="171"/>
      <c r="M1109" s="94"/>
      <c r="N1109" s="94"/>
      <c r="O1109" s="94"/>
      <c r="P1109" s="94"/>
      <c r="Q1109" s="94"/>
      <c r="R1109" s="94"/>
      <c r="S1109" s="94"/>
      <c r="T1109" s="94"/>
      <c r="U1109" s="94"/>
      <c r="V1109" s="94"/>
    </row>
    <row r="1110" ht="24.0" customHeight="1">
      <c r="A1110" s="149"/>
      <c r="B1110" s="150"/>
      <c r="C1110" s="197"/>
      <c r="D1110" s="198"/>
      <c r="E1110" s="198"/>
      <c r="F1110" s="199"/>
      <c r="G1110" s="200"/>
      <c r="H1110" s="201"/>
      <c r="I1110" s="202"/>
      <c r="J1110" s="201"/>
      <c r="K1110" s="170"/>
      <c r="L1110" s="171"/>
      <c r="M1110" s="94"/>
      <c r="N1110" s="94"/>
      <c r="O1110" s="94"/>
      <c r="P1110" s="94"/>
      <c r="Q1110" s="94"/>
      <c r="R1110" s="94"/>
      <c r="S1110" s="94"/>
      <c r="T1110" s="94"/>
      <c r="U1110" s="94"/>
      <c r="V1110" s="94"/>
    </row>
    <row r="1111" ht="24.0" customHeight="1">
      <c r="A1111" s="149"/>
      <c r="B1111" s="150"/>
      <c r="C1111" s="197"/>
      <c r="D1111" s="198"/>
      <c r="E1111" s="198"/>
      <c r="F1111" s="199"/>
      <c r="G1111" s="200"/>
      <c r="H1111" s="201"/>
      <c r="I1111" s="202"/>
      <c r="J1111" s="201"/>
      <c r="K1111" s="170"/>
      <c r="L1111" s="171"/>
      <c r="M1111" s="94"/>
      <c r="N1111" s="94"/>
      <c r="O1111" s="94"/>
      <c r="P1111" s="94"/>
      <c r="Q1111" s="94"/>
      <c r="R1111" s="94"/>
      <c r="S1111" s="94"/>
      <c r="T1111" s="94"/>
      <c r="U1111" s="94"/>
      <c r="V1111" s="94"/>
    </row>
    <row r="1112" ht="24.0" customHeight="1">
      <c r="A1112" s="149"/>
      <c r="B1112" s="150"/>
      <c r="C1112" s="197"/>
      <c r="D1112" s="198"/>
      <c r="E1112" s="198"/>
      <c r="F1112" s="199"/>
      <c r="G1112" s="200"/>
      <c r="H1112" s="201"/>
      <c r="I1112" s="202"/>
      <c r="J1112" s="201"/>
      <c r="K1112" s="170"/>
      <c r="L1112" s="171"/>
      <c r="M1112" s="94"/>
      <c r="N1112" s="94"/>
      <c r="O1112" s="94"/>
      <c r="P1112" s="94"/>
      <c r="Q1112" s="94"/>
      <c r="R1112" s="94"/>
      <c r="S1112" s="94"/>
      <c r="T1112" s="94"/>
      <c r="U1112" s="94"/>
      <c r="V1112" s="94"/>
    </row>
    <row r="1113" ht="24.0" customHeight="1">
      <c r="A1113" s="149"/>
      <c r="B1113" s="150"/>
      <c r="C1113" s="197"/>
      <c r="D1113" s="198"/>
      <c r="E1113" s="198"/>
      <c r="F1113" s="199"/>
      <c r="G1113" s="200"/>
      <c r="H1113" s="201"/>
      <c r="I1113" s="202"/>
      <c r="J1113" s="201"/>
      <c r="K1113" s="170"/>
      <c r="L1113" s="171"/>
      <c r="M1113" s="94"/>
      <c r="N1113" s="94"/>
      <c r="O1113" s="94"/>
      <c r="P1113" s="94"/>
      <c r="Q1113" s="94"/>
      <c r="R1113" s="94"/>
      <c r="S1113" s="94"/>
      <c r="T1113" s="94"/>
      <c r="U1113" s="94"/>
      <c r="V1113" s="94"/>
    </row>
    <row r="1114" ht="24.0" customHeight="1">
      <c r="A1114" s="149"/>
      <c r="B1114" s="150"/>
      <c r="C1114" s="197"/>
      <c r="D1114" s="198"/>
      <c r="E1114" s="198"/>
      <c r="F1114" s="199"/>
      <c r="G1114" s="200"/>
      <c r="H1114" s="201"/>
      <c r="I1114" s="202"/>
      <c r="J1114" s="201"/>
      <c r="K1114" s="170"/>
      <c r="L1114" s="171"/>
      <c r="M1114" s="94"/>
      <c r="N1114" s="94"/>
      <c r="O1114" s="94"/>
      <c r="P1114" s="94"/>
      <c r="Q1114" s="94"/>
      <c r="R1114" s="94"/>
      <c r="S1114" s="94"/>
      <c r="T1114" s="94"/>
      <c r="U1114" s="94"/>
      <c r="V1114" s="94"/>
    </row>
    <row r="1115" ht="24.0" customHeight="1">
      <c r="A1115" s="149"/>
      <c r="B1115" s="150"/>
      <c r="C1115" s="197"/>
      <c r="D1115" s="198"/>
      <c r="E1115" s="198"/>
      <c r="F1115" s="199"/>
      <c r="G1115" s="200"/>
      <c r="H1115" s="201"/>
      <c r="I1115" s="202"/>
      <c r="J1115" s="201"/>
      <c r="K1115" s="170"/>
      <c r="L1115" s="171"/>
      <c r="M1115" s="94"/>
      <c r="N1115" s="94"/>
      <c r="O1115" s="94"/>
      <c r="P1115" s="94"/>
      <c r="Q1115" s="94"/>
      <c r="R1115" s="94"/>
      <c r="S1115" s="94"/>
      <c r="T1115" s="94"/>
      <c r="U1115" s="94"/>
      <c r="V1115" s="94"/>
    </row>
    <row r="1116" ht="24.0" customHeight="1">
      <c r="A1116" s="149"/>
      <c r="B1116" s="150"/>
      <c r="C1116" s="197"/>
      <c r="D1116" s="198"/>
      <c r="E1116" s="198"/>
      <c r="F1116" s="199"/>
      <c r="G1116" s="200"/>
      <c r="H1116" s="201"/>
      <c r="I1116" s="202"/>
      <c r="J1116" s="201"/>
      <c r="K1116" s="170"/>
      <c r="L1116" s="171"/>
      <c r="M1116" s="94"/>
      <c r="N1116" s="94"/>
      <c r="O1116" s="94"/>
      <c r="P1116" s="94"/>
      <c r="Q1116" s="94"/>
      <c r="R1116" s="94"/>
      <c r="S1116" s="94"/>
      <c r="T1116" s="94"/>
      <c r="U1116" s="94"/>
      <c r="V1116" s="94"/>
    </row>
    <row r="1117" ht="24.0" customHeight="1">
      <c r="A1117" s="149"/>
      <c r="B1117" s="150"/>
      <c r="C1117" s="197"/>
      <c r="D1117" s="198"/>
      <c r="E1117" s="198"/>
      <c r="F1117" s="199"/>
      <c r="G1117" s="200"/>
      <c r="H1117" s="201"/>
      <c r="I1117" s="202"/>
      <c r="J1117" s="201"/>
      <c r="K1117" s="170"/>
      <c r="L1117" s="171"/>
      <c r="M1117" s="94"/>
      <c r="N1117" s="94"/>
      <c r="O1117" s="94"/>
      <c r="P1117" s="94"/>
      <c r="Q1117" s="94"/>
      <c r="R1117" s="94"/>
      <c r="S1117" s="94"/>
      <c r="T1117" s="94"/>
      <c r="U1117" s="94"/>
      <c r="V1117" s="94"/>
    </row>
    <row r="1118" ht="24.0" customHeight="1">
      <c r="A1118" s="149"/>
      <c r="B1118" s="150"/>
      <c r="C1118" s="197"/>
      <c r="D1118" s="198"/>
      <c r="E1118" s="198"/>
      <c r="F1118" s="199"/>
      <c r="G1118" s="200"/>
      <c r="H1118" s="201"/>
      <c r="I1118" s="202"/>
      <c r="J1118" s="201"/>
      <c r="K1118" s="170"/>
      <c r="L1118" s="171"/>
      <c r="M1118" s="94"/>
      <c r="N1118" s="94"/>
      <c r="O1118" s="94"/>
      <c r="P1118" s="94"/>
      <c r="Q1118" s="94"/>
      <c r="R1118" s="94"/>
      <c r="S1118" s="94"/>
      <c r="T1118" s="94"/>
      <c r="U1118" s="94"/>
      <c r="V1118" s="94"/>
    </row>
    <row r="1119" ht="24.0" customHeight="1">
      <c r="A1119" s="149"/>
      <c r="B1119" s="150"/>
      <c r="C1119" s="197"/>
      <c r="D1119" s="198"/>
      <c r="E1119" s="198"/>
      <c r="F1119" s="199"/>
      <c r="G1119" s="200"/>
      <c r="H1119" s="201"/>
      <c r="I1119" s="202"/>
      <c r="J1119" s="201"/>
      <c r="K1119" s="170"/>
      <c r="L1119" s="171"/>
      <c r="M1119" s="94"/>
      <c r="N1119" s="94"/>
      <c r="O1119" s="94"/>
      <c r="P1119" s="94"/>
      <c r="Q1119" s="94"/>
      <c r="R1119" s="94"/>
      <c r="S1119" s="94"/>
      <c r="T1119" s="94"/>
      <c r="U1119" s="94"/>
      <c r="V1119" s="94"/>
    </row>
    <row r="1120" ht="24.0" customHeight="1">
      <c r="A1120" s="149"/>
      <c r="B1120" s="150"/>
      <c r="C1120" s="197"/>
      <c r="D1120" s="198"/>
      <c r="E1120" s="198"/>
      <c r="F1120" s="199"/>
      <c r="G1120" s="200"/>
      <c r="H1120" s="201"/>
      <c r="I1120" s="202"/>
      <c r="J1120" s="201"/>
      <c r="K1120" s="170"/>
      <c r="L1120" s="171"/>
      <c r="M1120" s="94"/>
      <c r="N1120" s="94"/>
      <c r="O1120" s="94"/>
      <c r="P1120" s="94"/>
      <c r="Q1120" s="94"/>
      <c r="R1120" s="94"/>
      <c r="S1120" s="94"/>
      <c r="T1120" s="94"/>
      <c r="U1120" s="94"/>
      <c r="V1120" s="94"/>
    </row>
  </sheetData>
  <conditionalFormatting sqref="A2:K1120">
    <cfRule type="expression" dxfId="26" priority="1" stopIfTrue="1">
      <formula>AND(#REF!&lt;&gt;"", ROW(#REF!)&gt;2, #REF!&lt;&gt;#REF!)</formula>
    </cfRule>
  </conditionalFormatting>
  <dataValidations>
    <dataValidation type="list" allowBlank="1" sqref="K2:K1120">
      <formula1>"CASH,QRIS,TRANSFER"</formula1>
    </dataValidation>
    <dataValidation type="list" allowBlank="1" showDropDown="1" sqref="L2:L1120">
      <formula1>"Sudah,Belum Masuk Sistem"</formula1>
    </dataValidation>
    <dataValidation type="list" allowBlank="1" showDropDown="1" sqref="I2:I1120">
      <formula1>"MULTI,DANA,BANK MAS,WAHANA,BANK BCA,Tidak pakai Saldo,CASH"</formula1>
    </dataValidation>
    <dataValidation type="custom" allowBlank="1" showDropDown="1" sqref="A2:A1120">
      <formula1>OR(NOT(ISERROR(DATEVALUE(A2))), AND(ISNUMBER(A2), LEFT(CELL("format", A2))="D"))</formula1>
    </dataValidation>
    <dataValidation type="custom" allowBlank="1" showDropDown="1" sqref="G2:H1120 J2:J1120">
      <formula1>AND(ISNUMBER(G2),(NOT(OR(NOT(ISERROR(DATEVALUE(G2))), AND(ISNUMBER(G2), LEFT(CELL("format", G2))="D")))))</formula1>
    </dataValidation>
    <dataValidation type="list" allowBlank="1" showDropDown="1" sqref="C2:C1120">
      <formula1>#REF!</formula1>
    </dataValidation>
  </dataValidations>
  <printOptions/>
  <pageMargins bottom="0.7480314960629921" footer="0.0" header="0.0" left="0.7086614173228347" right="0.7086614173228347" top="0.7480314960629921"/>
  <pageSetup scale="50" orientation="portrait"/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45.88"/>
    <col customWidth="1" min="3" max="3" width="21.75"/>
    <col customWidth="1" min="4" max="4" width="19.25"/>
    <col customWidth="1" min="5" max="5" width="18.5"/>
    <col customWidth="1" min="6" max="6" width="13.88"/>
    <col customWidth="1" min="7" max="7" width="12.63"/>
    <col customWidth="1" min="8" max="8" width="7.63"/>
    <col customWidth="1" min="9" max="9" width="13.75"/>
    <col customWidth="1" min="10" max="10" width="18.63"/>
    <col customWidth="1" min="11" max="25" width="7.63"/>
  </cols>
  <sheetData>
    <row r="1" ht="14.25" customHeight="1">
      <c r="A1" s="172" t="s">
        <v>9</v>
      </c>
      <c r="B1" s="173" t="s">
        <v>16</v>
      </c>
      <c r="C1" s="172" t="s">
        <v>6</v>
      </c>
      <c r="D1" s="172" t="s">
        <v>21</v>
      </c>
      <c r="E1" s="172" t="s">
        <v>24</v>
      </c>
      <c r="F1" s="172" t="s">
        <v>1608</v>
      </c>
    </row>
    <row r="2" ht="24.75" customHeight="1">
      <c r="A2" s="174"/>
      <c r="B2" s="175"/>
      <c r="C2" s="176"/>
      <c r="D2" s="177"/>
      <c r="E2" s="177"/>
      <c r="F2" s="178"/>
      <c r="G2" s="179"/>
    </row>
    <row r="3" ht="24.75" customHeight="1">
      <c r="A3" s="174"/>
      <c r="B3" s="175"/>
      <c r="C3" s="176"/>
      <c r="D3" s="177"/>
      <c r="E3" s="177"/>
      <c r="F3" s="178"/>
      <c r="G3" s="179"/>
    </row>
    <row r="4" ht="14.25" customHeight="1">
      <c r="A4" s="174"/>
      <c r="B4" s="175"/>
      <c r="C4" s="176"/>
      <c r="D4" s="177"/>
      <c r="E4" s="177"/>
      <c r="F4" s="178"/>
      <c r="G4" s="179"/>
    </row>
    <row r="5" ht="14.25" customHeight="1">
      <c r="A5" s="174"/>
      <c r="B5" s="175"/>
      <c r="C5" s="176"/>
      <c r="D5" s="177"/>
      <c r="E5" s="177"/>
      <c r="F5" s="178"/>
      <c r="G5" s="180"/>
    </row>
    <row r="6" ht="14.25" customHeight="1">
      <c r="A6" s="174"/>
      <c r="B6" s="175"/>
      <c r="C6" s="176"/>
      <c r="D6" s="177"/>
      <c r="E6" s="177"/>
      <c r="F6" s="178"/>
      <c r="G6" s="179"/>
    </row>
    <row r="7" ht="14.25" customHeight="1">
      <c r="A7" s="174"/>
      <c r="B7" s="175"/>
      <c r="C7" s="176"/>
      <c r="D7" s="177"/>
      <c r="E7" s="177"/>
      <c r="F7" s="178"/>
      <c r="G7" s="179"/>
    </row>
    <row r="8" ht="14.25" customHeight="1">
      <c r="A8" s="174"/>
      <c r="B8" s="181"/>
      <c r="C8" s="176"/>
      <c r="D8" s="177"/>
      <c r="E8" s="177"/>
      <c r="F8" s="178"/>
      <c r="G8" s="179"/>
    </row>
    <row r="9" ht="14.25" customHeight="1">
      <c r="A9" s="174"/>
      <c r="B9" s="181"/>
      <c r="C9" s="176"/>
      <c r="D9" s="177"/>
      <c r="E9" s="177"/>
      <c r="F9" s="178"/>
      <c r="G9" s="179"/>
    </row>
    <row r="10" ht="14.25" customHeight="1">
      <c r="A10" s="174"/>
      <c r="B10" s="181"/>
      <c r="C10" s="176"/>
      <c r="D10" s="177"/>
      <c r="E10" s="177"/>
      <c r="F10" s="178"/>
      <c r="G10" s="179"/>
    </row>
    <row r="11" ht="14.25" customHeight="1">
      <c r="A11" s="174"/>
      <c r="B11" s="181"/>
      <c r="C11" s="176"/>
      <c r="D11" s="177"/>
      <c r="E11" s="177"/>
      <c r="F11" s="178"/>
      <c r="G11" s="179"/>
    </row>
    <row r="12" ht="14.25" customHeight="1">
      <c r="A12" s="174"/>
      <c r="B12" s="175"/>
      <c r="C12" s="176"/>
      <c r="D12" s="177"/>
      <c r="E12" s="177"/>
      <c r="F12" s="178"/>
      <c r="G12" s="179"/>
    </row>
    <row r="13" ht="14.25" customHeight="1">
      <c r="A13" s="174"/>
      <c r="B13" s="175"/>
      <c r="C13" s="176"/>
      <c r="D13" s="177"/>
      <c r="E13" s="177"/>
      <c r="F13" s="178"/>
      <c r="G13" s="179"/>
    </row>
    <row r="14" ht="14.25" customHeight="1">
      <c r="A14" s="174"/>
      <c r="B14" s="181"/>
      <c r="C14" s="176"/>
      <c r="D14" s="177"/>
      <c r="E14" s="177"/>
      <c r="F14" s="178"/>
      <c r="G14" s="179"/>
    </row>
    <row r="15" ht="14.25" customHeight="1">
      <c r="A15" s="174"/>
      <c r="B15" s="181"/>
      <c r="C15" s="176"/>
      <c r="D15" s="177"/>
      <c r="E15" s="177"/>
      <c r="F15" s="178"/>
      <c r="G15" s="179"/>
    </row>
    <row r="16" ht="14.25" customHeight="1">
      <c r="A16" s="174"/>
      <c r="B16" s="181"/>
      <c r="C16" s="176"/>
      <c r="D16" s="177"/>
      <c r="E16" s="177"/>
      <c r="F16" s="178"/>
      <c r="G16" s="179"/>
    </row>
    <row r="17" ht="14.25" customHeight="1">
      <c r="A17" s="174"/>
      <c r="B17" s="181"/>
      <c r="C17" s="176"/>
      <c r="D17" s="177"/>
      <c r="E17" s="177"/>
      <c r="F17" s="178"/>
      <c r="G17" s="179"/>
    </row>
    <row r="18" ht="14.25" customHeight="1">
      <c r="A18" s="174"/>
      <c r="B18" s="181"/>
      <c r="C18" s="176"/>
      <c r="D18" s="177"/>
      <c r="E18" s="177"/>
      <c r="F18" s="178"/>
      <c r="G18" s="179"/>
    </row>
    <row r="19" ht="14.25" customHeight="1">
      <c r="A19" s="174"/>
      <c r="B19" s="181"/>
      <c r="C19" s="176"/>
      <c r="D19" s="177"/>
      <c r="E19" s="177"/>
      <c r="F19" s="178"/>
      <c r="G19" s="179"/>
    </row>
    <row r="20" ht="14.25" customHeight="1">
      <c r="A20" s="174"/>
      <c r="B20" s="181"/>
      <c r="C20" s="176"/>
      <c r="D20" s="177"/>
      <c r="E20" s="177"/>
      <c r="F20" s="178"/>
      <c r="G20" s="179"/>
    </row>
    <row r="21" ht="14.25" customHeight="1">
      <c r="A21" s="174"/>
      <c r="B21" s="181"/>
      <c r="C21" s="176"/>
      <c r="D21" s="177"/>
      <c r="E21" s="177"/>
      <c r="F21" s="178"/>
      <c r="G21" s="179"/>
    </row>
    <row r="22" ht="14.25" customHeight="1">
      <c r="A22" s="174"/>
      <c r="B22" s="181"/>
      <c r="C22" s="176"/>
      <c r="D22" s="177"/>
      <c r="E22" s="177"/>
      <c r="F22" s="178"/>
      <c r="G22" s="179"/>
    </row>
    <row r="23" ht="14.25" customHeight="1">
      <c r="A23" s="174"/>
      <c r="B23" s="181"/>
      <c r="C23" s="176"/>
      <c r="D23" s="177"/>
      <c r="E23" s="177"/>
      <c r="F23" s="178"/>
      <c r="G23" s="179"/>
    </row>
    <row r="24" ht="14.25" customHeight="1">
      <c r="A24" s="174"/>
      <c r="B24" s="181"/>
      <c r="C24" s="176"/>
      <c r="D24" s="177"/>
      <c r="E24" s="177"/>
      <c r="F24" s="178"/>
      <c r="G24" s="179"/>
    </row>
    <row r="25" ht="14.25" customHeight="1">
      <c r="A25" s="174"/>
      <c r="B25" s="181"/>
      <c r="C25" s="176"/>
      <c r="D25" s="177"/>
      <c r="E25" s="177"/>
      <c r="F25" s="178"/>
      <c r="G25" s="179"/>
    </row>
    <row r="26" ht="14.25" customHeight="1">
      <c r="A26" s="174"/>
      <c r="B26" s="181"/>
      <c r="C26" s="176"/>
      <c r="D26" s="177"/>
      <c r="E26" s="177"/>
      <c r="F26" s="178"/>
      <c r="G26" s="179"/>
    </row>
    <row r="27" ht="14.25" customHeight="1">
      <c r="A27" s="174"/>
      <c r="B27" s="181"/>
      <c r="C27" s="176"/>
      <c r="D27" s="177"/>
      <c r="E27" s="177"/>
      <c r="F27" s="178"/>
      <c r="G27" s="179"/>
    </row>
    <row r="28" ht="14.25" customHeight="1">
      <c r="A28" s="174"/>
      <c r="B28" s="181"/>
      <c r="C28" s="176"/>
      <c r="D28" s="177"/>
      <c r="E28" s="177"/>
      <c r="F28" s="178"/>
      <c r="G28" s="179"/>
    </row>
    <row r="29" ht="14.25" customHeight="1">
      <c r="A29" s="174"/>
      <c r="B29" s="181"/>
      <c r="C29" s="176"/>
      <c r="D29" s="177"/>
      <c r="E29" s="177"/>
      <c r="F29" s="178"/>
      <c r="G29" s="179"/>
    </row>
    <row r="30" ht="14.25" customHeight="1">
      <c r="A30" s="174"/>
      <c r="B30" s="181"/>
      <c r="C30" s="176"/>
      <c r="D30" s="177"/>
      <c r="E30" s="177"/>
      <c r="F30" s="178"/>
      <c r="G30" s="179"/>
    </row>
    <row r="31" ht="14.25" customHeight="1">
      <c r="A31" s="174"/>
      <c r="B31" s="181"/>
      <c r="C31" s="176"/>
      <c r="D31" s="177"/>
      <c r="E31" s="177"/>
      <c r="F31" s="178"/>
      <c r="G31" s="179"/>
    </row>
    <row r="32" ht="14.25" customHeight="1">
      <c r="A32" s="174"/>
      <c r="B32" s="181"/>
      <c r="C32" s="176"/>
      <c r="D32" s="177"/>
      <c r="E32" s="177"/>
      <c r="F32" s="178"/>
      <c r="G32" s="179"/>
    </row>
    <row r="33" ht="14.25" customHeight="1">
      <c r="A33" s="174"/>
      <c r="B33" s="181"/>
      <c r="C33" s="176"/>
      <c r="D33" s="177"/>
      <c r="E33" s="177"/>
      <c r="F33" s="178"/>
      <c r="G33" s="179"/>
    </row>
    <row r="34" ht="14.25" customHeight="1">
      <c r="A34" s="174"/>
      <c r="B34" s="181"/>
      <c r="C34" s="176"/>
      <c r="D34" s="177"/>
      <c r="E34" s="177"/>
      <c r="F34" s="178"/>
      <c r="G34" s="179"/>
    </row>
    <row r="35" ht="14.25" customHeight="1">
      <c r="A35" s="174"/>
      <c r="B35" s="181"/>
      <c r="C35" s="176"/>
      <c r="D35" s="177"/>
      <c r="E35" s="177"/>
      <c r="F35" s="178"/>
      <c r="G35" s="179"/>
    </row>
    <row r="36" ht="14.25" customHeight="1">
      <c r="A36" s="174"/>
      <c r="B36" s="181"/>
      <c r="C36" s="176"/>
      <c r="D36" s="177"/>
      <c r="E36" s="177"/>
      <c r="F36" s="178"/>
      <c r="G36" s="179"/>
    </row>
    <row r="37" ht="14.25" customHeight="1">
      <c r="A37" s="174"/>
      <c r="B37" s="181"/>
      <c r="C37" s="176"/>
      <c r="D37" s="177"/>
      <c r="E37" s="177"/>
      <c r="F37" s="178"/>
      <c r="G37" s="179"/>
    </row>
    <row r="38" ht="14.25" customHeight="1">
      <c r="A38" s="174"/>
      <c r="B38" s="181"/>
      <c r="C38" s="176"/>
      <c r="D38" s="177"/>
      <c r="E38" s="177"/>
      <c r="F38" s="178"/>
      <c r="G38" s="179"/>
    </row>
    <row r="39" ht="14.25" customHeight="1">
      <c r="A39" s="174"/>
      <c r="B39" s="181"/>
      <c r="C39" s="176"/>
      <c r="D39" s="177"/>
      <c r="E39" s="177"/>
      <c r="F39" s="178"/>
      <c r="G39" s="179"/>
    </row>
    <row r="40" ht="14.25" customHeight="1">
      <c r="A40" s="174"/>
      <c r="B40" s="181"/>
      <c r="C40" s="176"/>
      <c r="D40" s="177"/>
      <c r="E40" s="177"/>
      <c r="F40" s="178"/>
      <c r="G40" s="179"/>
    </row>
    <row r="41" ht="14.25" customHeight="1">
      <c r="A41" s="174"/>
      <c r="B41" s="181"/>
      <c r="C41" s="176"/>
      <c r="D41" s="177"/>
      <c r="E41" s="177"/>
      <c r="F41" s="178"/>
      <c r="G41" s="179"/>
    </row>
    <row r="42" ht="14.25" customHeight="1">
      <c r="A42" s="174"/>
      <c r="B42" s="181"/>
      <c r="C42" s="176"/>
      <c r="D42" s="177"/>
      <c r="E42" s="177"/>
      <c r="F42" s="178"/>
      <c r="G42" s="179"/>
    </row>
    <row r="43" ht="14.25" customHeight="1">
      <c r="A43" s="174"/>
      <c r="B43" s="181"/>
      <c r="C43" s="176"/>
      <c r="D43" s="177"/>
      <c r="E43" s="177"/>
      <c r="F43" s="178"/>
      <c r="G43" s="179"/>
    </row>
    <row r="44" ht="14.25" customHeight="1">
      <c r="A44" s="174"/>
      <c r="B44" s="181"/>
      <c r="C44" s="176"/>
      <c r="D44" s="177"/>
      <c r="E44" s="177"/>
      <c r="F44" s="178"/>
      <c r="G44" s="179"/>
    </row>
    <row r="45" ht="14.25" customHeight="1">
      <c r="A45" s="174"/>
      <c r="B45" s="181"/>
      <c r="C45" s="176"/>
      <c r="D45" s="177"/>
      <c r="E45" s="177"/>
      <c r="F45" s="178"/>
      <c r="G45" s="179"/>
    </row>
    <row r="46" ht="14.25" customHeight="1">
      <c r="A46" s="174"/>
      <c r="B46" s="181"/>
      <c r="C46" s="176"/>
      <c r="D46" s="177"/>
      <c r="E46" s="177"/>
      <c r="F46" s="178"/>
      <c r="G46" s="179"/>
    </row>
    <row r="47" ht="14.25" customHeight="1">
      <c r="A47" s="174"/>
      <c r="B47" s="181"/>
      <c r="C47" s="176"/>
      <c r="D47" s="177"/>
      <c r="E47" s="177"/>
      <c r="F47" s="178"/>
      <c r="G47" s="179"/>
    </row>
    <row r="48" ht="14.25" customHeight="1">
      <c r="A48" s="174"/>
      <c r="B48" s="181"/>
      <c r="C48" s="176"/>
      <c r="D48" s="177"/>
      <c r="E48" s="177"/>
      <c r="F48" s="178"/>
      <c r="G48" s="179"/>
    </row>
    <row r="49" ht="14.25" customHeight="1">
      <c r="A49" s="174"/>
      <c r="B49" s="181"/>
      <c r="C49" s="176"/>
      <c r="D49" s="177"/>
      <c r="E49" s="177"/>
      <c r="F49" s="178"/>
      <c r="G49" s="179"/>
    </row>
    <row r="50" ht="14.25" customHeight="1">
      <c r="A50" s="174"/>
      <c r="B50" s="181"/>
      <c r="C50" s="176"/>
      <c r="D50" s="177"/>
      <c r="E50" s="177"/>
      <c r="F50" s="178"/>
      <c r="G50" s="179"/>
    </row>
    <row r="51" ht="14.25" customHeight="1">
      <c r="A51" s="174"/>
      <c r="B51" s="181"/>
      <c r="C51" s="176"/>
      <c r="D51" s="177"/>
      <c r="E51" s="177"/>
      <c r="F51" s="178"/>
      <c r="G51" s="179"/>
    </row>
    <row r="52" ht="14.25" customHeight="1">
      <c r="A52" s="174"/>
      <c r="B52" s="181"/>
      <c r="C52" s="176"/>
      <c r="D52" s="177"/>
      <c r="E52" s="177"/>
      <c r="F52" s="178"/>
      <c r="G52" s="179"/>
    </row>
    <row r="53" ht="14.25" customHeight="1">
      <c r="A53" s="174"/>
      <c r="B53" s="175"/>
      <c r="C53" s="176"/>
      <c r="D53" s="177"/>
      <c r="E53" s="177"/>
      <c r="F53" s="178"/>
      <c r="G53" s="179"/>
    </row>
    <row r="54" ht="14.25" customHeight="1">
      <c r="A54" s="174"/>
      <c r="B54" s="175"/>
      <c r="C54" s="176"/>
      <c r="D54" s="177"/>
      <c r="E54" s="177"/>
      <c r="F54" s="178"/>
      <c r="G54" s="179"/>
    </row>
    <row r="55" ht="14.25" customHeight="1">
      <c r="A55" s="174"/>
      <c r="B55" s="175"/>
      <c r="C55" s="176"/>
      <c r="D55" s="177"/>
      <c r="E55" s="177"/>
      <c r="F55" s="178"/>
      <c r="G55" s="179"/>
    </row>
    <row r="56" ht="14.25" customHeight="1">
      <c r="A56" s="174"/>
      <c r="B56" s="175"/>
      <c r="C56" s="176"/>
      <c r="D56" s="177"/>
      <c r="E56" s="177"/>
      <c r="F56" s="178"/>
      <c r="G56" s="179"/>
    </row>
    <row r="57" ht="14.25" customHeight="1">
      <c r="A57" s="174"/>
      <c r="B57" s="175"/>
      <c r="C57" s="176"/>
      <c r="D57" s="177"/>
      <c r="E57" s="177"/>
      <c r="F57" s="178"/>
      <c r="G57" s="179"/>
    </row>
    <row r="58" ht="14.25" customHeight="1">
      <c r="A58" s="174"/>
      <c r="B58" s="181"/>
      <c r="C58" s="176"/>
      <c r="D58" s="177"/>
      <c r="E58" s="177"/>
      <c r="F58" s="178"/>
      <c r="G58" s="179"/>
    </row>
    <row r="59" ht="14.25" customHeight="1">
      <c r="A59" s="174"/>
      <c r="B59" s="181"/>
      <c r="C59" s="176"/>
      <c r="D59" s="177"/>
      <c r="E59" s="177"/>
      <c r="F59" s="178"/>
      <c r="G59" s="179"/>
    </row>
    <row r="60" ht="14.25" customHeight="1">
      <c r="A60" s="174"/>
      <c r="B60" s="181"/>
      <c r="C60" s="176"/>
      <c r="D60" s="177"/>
      <c r="E60" s="177"/>
      <c r="F60" s="178"/>
      <c r="G60" s="179"/>
    </row>
    <row r="61" ht="14.25" customHeight="1">
      <c r="A61" s="174"/>
      <c r="B61" s="181"/>
      <c r="C61" s="176"/>
      <c r="D61" s="177"/>
      <c r="E61" s="177"/>
      <c r="F61" s="178"/>
      <c r="G61" s="179"/>
    </row>
    <row r="62" ht="14.25" customHeight="1">
      <c r="A62" s="174"/>
      <c r="B62" s="181"/>
      <c r="C62" s="176"/>
      <c r="D62" s="177"/>
      <c r="E62" s="177"/>
      <c r="F62" s="178"/>
      <c r="G62" s="179"/>
    </row>
    <row r="63" ht="14.25" customHeight="1">
      <c r="A63" s="174"/>
      <c r="B63" s="181"/>
      <c r="C63" s="176"/>
      <c r="D63" s="177"/>
      <c r="E63" s="177"/>
      <c r="F63" s="178"/>
      <c r="G63" s="179"/>
    </row>
    <row r="64" ht="14.25" customHeight="1">
      <c r="A64" s="174"/>
      <c r="B64" s="181"/>
      <c r="C64" s="176"/>
      <c r="D64" s="177"/>
      <c r="E64" s="177"/>
      <c r="F64" s="178"/>
      <c r="G64" s="179"/>
    </row>
    <row r="65" ht="14.25" customHeight="1">
      <c r="A65" s="174"/>
      <c r="B65" s="181"/>
      <c r="C65" s="176"/>
      <c r="D65" s="177"/>
      <c r="E65" s="177"/>
      <c r="F65" s="178"/>
      <c r="G65" s="179"/>
    </row>
    <row r="66" ht="14.25" customHeight="1">
      <c r="A66" s="174"/>
      <c r="B66" s="181"/>
      <c r="C66" s="176"/>
      <c r="D66" s="177"/>
      <c r="E66" s="177"/>
      <c r="F66" s="178"/>
      <c r="G66" s="179"/>
    </row>
    <row r="67" ht="14.25" customHeight="1">
      <c r="A67" s="174"/>
      <c r="B67" s="181"/>
      <c r="C67" s="176"/>
      <c r="D67" s="177"/>
      <c r="E67" s="177"/>
      <c r="F67" s="178"/>
      <c r="G67" s="179"/>
    </row>
    <row r="68" ht="14.25" customHeight="1">
      <c r="A68" s="174"/>
      <c r="B68" s="181"/>
      <c r="C68" s="176"/>
      <c r="D68" s="177"/>
      <c r="E68" s="177"/>
      <c r="F68" s="178"/>
      <c r="G68" s="179"/>
    </row>
    <row r="69" ht="14.25" customHeight="1">
      <c r="A69" s="174"/>
      <c r="B69" s="181"/>
      <c r="C69" s="176"/>
      <c r="D69" s="177"/>
      <c r="E69" s="177"/>
      <c r="F69" s="178"/>
      <c r="G69" s="179"/>
    </row>
    <row r="70" ht="14.25" customHeight="1">
      <c r="A70" s="174"/>
      <c r="B70" s="181"/>
      <c r="C70" s="176"/>
      <c r="D70" s="177"/>
      <c r="E70" s="177"/>
      <c r="F70" s="178"/>
      <c r="G70" s="179"/>
    </row>
    <row r="71" ht="14.25" customHeight="1">
      <c r="A71" s="174"/>
      <c r="B71" s="181"/>
      <c r="C71" s="176"/>
      <c r="D71" s="177"/>
      <c r="E71" s="177"/>
      <c r="F71" s="178"/>
      <c r="G71" s="179"/>
    </row>
    <row r="72" ht="14.25" customHeight="1">
      <c r="A72" s="174"/>
      <c r="B72" s="181"/>
      <c r="C72" s="176"/>
      <c r="D72" s="177"/>
      <c r="E72" s="177"/>
      <c r="F72" s="178"/>
      <c r="G72" s="179"/>
    </row>
    <row r="73" ht="14.25" customHeight="1">
      <c r="A73" s="174"/>
      <c r="B73" s="181"/>
      <c r="C73" s="176"/>
      <c r="D73" s="177"/>
      <c r="E73" s="177"/>
      <c r="F73" s="178"/>
      <c r="G73" s="179"/>
    </row>
    <row r="74" ht="14.25" customHeight="1">
      <c r="A74" s="174"/>
      <c r="B74" s="181"/>
      <c r="C74" s="176"/>
      <c r="D74" s="177"/>
      <c r="E74" s="177"/>
      <c r="F74" s="178"/>
      <c r="G74" s="179"/>
    </row>
    <row r="75" ht="14.25" customHeight="1">
      <c r="A75" s="174"/>
      <c r="B75" s="181"/>
      <c r="C75" s="176"/>
      <c r="D75" s="177"/>
      <c r="E75" s="177"/>
      <c r="F75" s="178"/>
      <c r="G75" s="179"/>
    </row>
    <row r="76" ht="14.25" customHeight="1">
      <c r="A76" s="174"/>
      <c r="B76" s="181"/>
      <c r="C76" s="176"/>
      <c r="D76" s="177"/>
      <c r="E76" s="177"/>
      <c r="F76" s="178"/>
      <c r="G76" s="179"/>
    </row>
    <row r="77" ht="14.25" customHeight="1">
      <c r="A77" s="174"/>
      <c r="B77" s="181"/>
      <c r="C77" s="176"/>
      <c r="D77" s="177"/>
      <c r="E77" s="177"/>
      <c r="F77" s="178"/>
      <c r="G77" s="179"/>
    </row>
    <row r="78" ht="14.25" customHeight="1">
      <c r="A78" s="174"/>
      <c r="B78" s="181"/>
      <c r="C78" s="176"/>
      <c r="D78" s="177"/>
      <c r="E78" s="177"/>
      <c r="F78" s="178"/>
      <c r="G78" s="179"/>
    </row>
    <row r="79" ht="14.25" customHeight="1">
      <c r="A79" s="174"/>
      <c r="B79" s="181"/>
      <c r="C79" s="176"/>
      <c r="D79" s="177"/>
      <c r="E79" s="177"/>
      <c r="F79" s="178"/>
      <c r="G79" s="179"/>
    </row>
    <row r="80" ht="14.25" customHeight="1">
      <c r="A80" s="174"/>
      <c r="B80" s="181"/>
      <c r="C80" s="176"/>
      <c r="D80" s="177"/>
      <c r="E80" s="177"/>
      <c r="F80" s="178"/>
      <c r="G80" s="179"/>
    </row>
    <row r="81" ht="14.25" customHeight="1">
      <c r="A81" s="174"/>
      <c r="B81" s="181"/>
      <c r="C81" s="176"/>
      <c r="D81" s="177"/>
      <c r="E81" s="177"/>
      <c r="F81" s="178"/>
      <c r="G81" s="179"/>
    </row>
    <row r="82" ht="14.25" customHeight="1">
      <c r="A82" s="174"/>
      <c r="B82" s="181"/>
      <c r="C82" s="176"/>
      <c r="D82" s="177"/>
      <c r="E82" s="177"/>
      <c r="F82" s="178"/>
      <c r="G82" s="179"/>
    </row>
    <row r="83" ht="14.25" customHeight="1">
      <c r="A83" s="174"/>
      <c r="B83" s="181"/>
      <c r="C83" s="176"/>
      <c r="D83" s="177"/>
      <c r="E83" s="177"/>
      <c r="F83" s="178"/>
      <c r="G83" s="179"/>
    </row>
    <row r="84" ht="14.25" customHeight="1">
      <c r="A84" s="174"/>
      <c r="B84" s="181"/>
      <c r="C84" s="176"/>
      <c r="D84" s="177"/>
      <c r="E84" s="177"/>
      <c r="F84" s="178"/>
      <c r="G84" s="179"/>
    </row>
    <row r="85" ht="14.25" customHeight="1">
      <c r="A85" s="174"/>
      <c r="B85" s="181"/>
      <c r="C85" s="176"/>
      <c r="D85" s="177"/>
      <c r="E85" s="177"/>
      <c r="F85" s="178"/>
      <c r="G85" s="179"/>
    </row>
    <row r="86" ht="14.25" customHeight="1">
      <c r="A86" s="174"/>
      <c r="B86" s="181"/>
      <c r="C86" s="176"/>
      <c r="D86" s="177"/>
      <c r="E86" s="177"/>
      <c r="F86" s="178"/>
      <c r="G86" s="179"/>
    </row>
    <row r="87" ht="14.25" customHeight="1">
      <c r="A87" s="174"/>
      <c r="B87" s="181"/>
      <c r="C87" s="176"/>
      <c r="D87" s="177"/>
      <c r="E87" s="177"/>
      <c r="F87" s="178"/>
      <c r="G87" s="179"/>
    </row>
    <row r="88" ht="14.25" customHeight="1">
      <c r="A88" s="174"/>
      <c r="B88" s="181"/>
      <c r="C88" s="176"/>
      <c r="D88" s="177"/>
      <c r="E88" s="177"/>
      <c r="F88" s="178"/>
      <c r="G88" s="179"/>
    </row>
    <row r="89" ht="14.25" customHeight="1">
      <c r="A89" s="174"/>
      <c r="B89" s="181"/>
      <c r="C89" s="176"/>
      <c r="D89" s="177"/>
      <c r="E89" s="177"/>
      <c r="F89" s="178"/>
      <c r="G89" s="179"/>
    </row>
    <row r="90" ht="14.25" customHeight="1">
      <c r="A90" s="174"/>
      <c r="B90" s="181"/>
      <c r="C90" s="176"/>
      <c r="D90" s="177"/>
      <c r="E90" s="177"/>
      <c r="F90" s="178"/>
      <c r="G90" s="179"/>
    </row>
    <row r="91" ht="14.25" customHeight="1">
      <c r="A91" s="174"/>
      <c r="B91" s="181"/>
      <c r="C91" s="176"/>
      <c r="D91" s="177"/>
      <c r="E91" s="177"/>
      <c r="F91" s="178"/>
      <c r="G91" s="179"/>
    </row>
    <row r="92" ht="14.25" customHeight="1">
      <c r="A92" s="174"/>
      <c r="B92" s="181"/>
      <c r="C92" s="176"/>
      <c r="D92" s="177"/>
      <c r="E92" s="177"/>
      <c r="F92" s="178"/>
      <c r="G92" s="179"/>
    </row>
    <row r="93" ht="14.25" customHeight="1">
      <c r="A93" s="174"/>
      <c r="B93" s="181"/>
      <c r="C93" s="176"/>
      <c r="D93" s="177"/>
      <c r="E93" s="177"/>
      <c r="F93" s="178"/>
      <c r="G93" s="179"/>
    </row>
    <row r="94" ht="14.25" customHeight="1">
      <c r="A94" s="174"/>
      <c r="B94" s="181"/>
      <c r="C94" s="176"/>
      <c r="D94" s="177"/>
      <c r="E94" s="177"/>
      <c r="F94" s="178"/>
      <c r="G94" s="179"/>
    </row>
    <row r="95" ht="14.25" customHeight="1">
      <c r="A95" s="174"/>
      <c r="B95" s="181"/>
      <c r="C95" s="176"/>
      <c r="D95" s="177"/>
      <c r="E95" s="177"/>
      <c r="F95" s="178"/>
      <c r="G95" s="179"/>
    </row>
    <row r="96" ht="14.25" customHeight="1">
      <c r="A96" s="174"/>
      <c r="B96" s="181"/>
      <c r="C96" s="176"/>
      <c r="D96" s="177"/>
      <c r="E96" s="177"/>
      <c r="F96" s="178"/>
      <c r="G96" s="179"/>
    </row>
    <row r="97" ht="14.25" customHeight="1">
      <c r="A97" s="174"/>
      <c r="B97" s="181"/>
      <c r="C97" s="176"/>
      <c r="D97" s="177"/>
      <c r="E97" s="177"/>
      <c r="F97" s="178"/>
      <c r="G97" s="179"/>
    </row>
    <row r="98" ht="14.25" customHeight="1">
      <c r="A98" s="174"/>
      <c r="B98" s="175"/>
      <c r="C98" s="176"/>
      <c r="D98" s="177"/>
      <c r="E98" s="177"/>
      <c r="F98" s="178"/>
      <c r="G98" s="179"/>
    </row>
    <row r="99" ht="14.25" customHeight="1">
      <c r="A99" s="174"/>
      <c r="B99" s="175"/>
      <c r="C99" s="176"/>
      <c r="D99" s="177"/>
      <c r="E99" s="177"/>
      <c r="F99" s="178"/>
      <c r="G99" s="179"/>
    </row>
    <row r="100" ht="14.25" customHeight="1">
      <c r="A100" s="174"/>
      <c r="B100" s="175"/>
      <c r="C100" s="176"/>
      <c r="D100" s="177"/>
      <c r="E100" s="177"/>
      <c r="F100" s="178"/>
      <c r="G100" s="179"/>
    </row>
    <row r="101" ht="14.25" customHeight="1">
      <c r="A101" s="174"/>
      <c r="B101" s="181"/>
      <c r="C101" s="176"/>
      <c r="D101" s="177"/>
      <c r="E101" s="177"/>
      <c r="F101" s="178"/>
      <c r="G101" s="179"/>
    </row>
    <row r="102" ht="14.25" customHeight="1">
      <c r="A102" s="174"/>
      <c r="B102" s="181"/>
      <c r="C102" s="176"/>
      <c r="D102" s="177"/>
      <c r="E102" s="177"/>
      <c r="F102" s="178"/>
      <c r="G102" s="179"/>
    </row>
    <row r="103" ht="14.25" customHeight="1">
      <c r="A103" s="174"/>
      <c r="B103" s="181"/>
      <c r="C103" s="176"/>
      <c r="D103" s="177"/>
      <c r="E103" s="177"/>
      <c r="F103" s="178"/>
      <c r="G103" s="179"/>
    </row>
    <row r="104" ht="14.25" customHeight="1">
      <c r="A104" s="174"/>
      <c r="B104" s="181"/>
      <c r="C104" s="176"/>
      <c r="D104" s="177"/>
      <c r="E104" s="177"/>
      <c r="F104" s="178"/>
      <c r="G104" s="179"/>
    </row>
    <row r="105" ht="14.25" customHeight="1">
      <c r="A105" s="174"/>
      <c r="B105" s="181"/>
      <c r="C105" s="176"/>
      <c r="D105" s="177"/>
      <c r="E105" s="177"/>
      <c r="F105" s="178"/>
      <c r="G105" s="179"/>
    </row>
    <row r="106" ht="14.25" customHeight="1">
      <c r="A106" s="174"/>
      <c r="B106" s="181"/>
      <c r="C106" s="176"/>
      <c r="D106" s="177"/>
      <c r="E106" s="177"/>
      <c r="F106" s="178"/>
      <c r="G106" s="179"/>
    </row>
    <row r="107" ht="14.25" customHeight="1">
      <c r="A107" s="174"/>
      <c r="B107" s="181"/>
      <c r="C107" s="176"/>
      <c r="D107" s="177"/>
      <c r="E107" s="177"/>
      <c r="F107" s="178"/>
      <c r="G107" s="179"/>
    </row>
    <row r="108" ht="14.25" customHeight="1">
      <c r="A108" s="174"/>
      <c r="B108" s="181"/>
      <c r="C108" s="176"/>
      <c r="D108" s="177"/>
      <c r="E108" s="177"/>
      <c r="F108" s="178"/>
      <c r="G108" s="179"/>
    </row>
    <row r="109" ht="14.25" customHeight="1">
      <c r="A109" s="174"/>
      <c r="B109" s="181"/>
      <c r="C109" s="176"/>
      <c r="D109" s="177"/>
      <c r="E109" s="177"/>
      <c r="F109" s="178"/>
      <c r="G109" s="179"/>
    </row>
    <row r="110" ht="14.25" customHeight="1">
      <c r="A110" s="174"/>
      <c r="B110" s="181"/>
      <c r="C110" s="176"/>
      <c r="D110" s="177"/>
      <c r="E110" s="177"/>
      <c r="F110" s="178"/>
      <c r="G110" s="179"/>
    </row>
    <row r="111" ht="14.25" customHeight="1">
      <c r="A111" s="174"/>
      <c r="B111" s="181"/>
      <c r="C111" s="176"/>
      <c r="D111" s="177"/>
      <c r="E111" s="177"/>
      <c r="F111" s="178"/>
      <c r="G111" s="179"/>
    </row>
    <row r="112" ht="14.25" customHeight="1">
      <c r="A112" s="174"/>
      <c r="B112" s="181"/>
      <c r="C112" s="176"/>
      <c r="D112" s="177"/>
      <c r="E112" s="177"/>
      <c r="F112" s="178"/>
      <c r="G112" s="179"/>
    </row>
    <row r="113" ht="14.25" customHeight="1">
      <c r="A113" s="174"/>
      <c r="B113" s="181"/>
      <c r="C113" s="176"/>
      <c r="D113" s="177"/>
      <c r="E113" s="177"/>
      <c r="F113" s="178"/>
      <c r="G113" s="179"/>
    </row>
    <row r="114" ht="14.25" customHeight="1">
      <c r="A114" s="174"/>
      <c r="B114" s="181"/>
      <c r="C114" s="176"/>
      <c r="D114" s="177"/>
      <c r="E114" s="177"/>
      <c r="F114" s="178"/>
      <c r="G114" s="179"/>
    </row>
    <row r="115" ht="14.25" customHeight="1">
      <c r="A115" s="174"/>
      <c r="B115" s="181"/>
      <c r="C115" s="176"/>
      <c r="D115" s="177"/>
      <c r="E115" s="177"/>
      <c r="F115" s="178"/>
      <c r="G115" s="179"/>
    </row>
    <row r="116" ht="14.25" customHeight="1">
      <c r="A116" s="174"/>
      <c r="B116" s="181"/>
      <c r="C116" s="176"/>
      <c r="D116" s="177"/>
      <c r="E116" s="177"/>
      <c r="F116" s="178"/>
      <c r="G116" s="179"/>
    </row>
    <row r="117" ht="14.25" customHeight="1">
      <c r="A117" s="174"/>
      <c r="B117" s="181"/>
      <c r="C117" s="176"/>
      <c r="D117" s="177"/>
      <c r="E117" s="177"/>
      <c r="F117" s="178"/>
      <c r="G117" s="179"/>
    </row>
    <row r="118" ht="14.25" customHeight="1">
      <c r="A118" s="174"/>
      <c r="B118" s="181"/>
      <c r="C118" s="176"/>
      <c r="D118" s="177"/>
      <c r="E118" s="177"/>
      <c r="F118" s="178"/>
      <c r="G118" s="179"/>
    </row>
    <row r="119" ht="14.25" customHeight="1">
      <c r="A119" s="174"/>
      <c r="B119" s="181"/>
      <c r="C119" s="176"/>
      <c r="D119" s="177"/>
      <c r="E119" s="177"/>
      <c r="F119" s="178"/>
      <c r="G119" s="179"/>
    </row>
    <row r="120" ht="14.25" customHeight="1">
      <c r="A120" s="174"/>
      <c r="B120" s="181"/>
      <c r="C120" s="176"/>
      <c r="D120" s="177"/>
      <c r="E120" s="177"/>
      <c r="F120" s="178"/>
      <c r="G120" s="179"/>
    </row>
    <row r="121" ht="14.25" customHeight="1">
      <c r="A121" s="174"/>
      <c r="B121" s="181"/>
      <c r="C121" s="176"/>
      <c r="D121" s="177"/>
      <c r="E121" s="177"/>
      <c r="F121" s="178"/>
      <c r="G121" s="179"/>
    </row>
    <row r="122" ht="14.25" customHeight="1">
      <c r="A122" s="174"/>
      <c r="B122" s="175"/>
      <c r="C122" s="176"/>
      <c r="D122" s="177"/>
      <c r="E122" s="177"/>
      <c r="F122" s="178"/>
      <c r="G122" s="179"/>
    </row>
    <row r="123" ht="14.25" customHeight="1">
      <c r="A123" s="174"/>
      <c r="B123" s="181"/>
      <c r="C123" s="176"/>
      <c r="D123" s="177"/>
      <c r="E123" s="177"/>
      <c r="F123" s="178"/>
      <c r="G123" s="179"/>
    </row>
    <row r="124" ht="14.25" customHeight="1">
      <c r="A124" s="174"/>
      <c r="B124" s="181"/>
      <c r="C124" s="176"/>
      <c r="D124" s="177"/>
      <c r="E124" s="177"/>
      <c r="F124" s="178"/>
      <c r="G124" s="179"/>
    </row>
    <row r="125" ht="14.25" customHeight="1">
      <c r="A125" s="174"/>
      <c r="B125" s="181"/>
      <c r="C125" s="176"/>
      <c r="D125" s="177"/>
      <c r="E125" s="177"/>
      <c r="F125" s="178"/>
      <c r="G125" s="179"/>
    </row>
    <row r="126" ht="14.25" customHeight="1">
      <c r="A126" s="174"/>
      <c r="B126" s="181"/>
      <c r="C126" s="176"/>
      <c r="D126" s="177"/>
      <c r="E126" s="177"/>
      <c r="F126" s="178"/>
      <c r="G126" s="179"/>
    </row>
    <row r="127" ht="14.25" customHeight="1">
      <c r="A127" s="174"/>
      <c r="B127" s="181"/>
      <c r="C127" s="176"/>
      <c r="D127" s="177"/>
      <c r="E127" s="177"/>
      <c r="F127" s="178"/>
      <c r="G127" s="179"/>
    </row>
    <row r="128" ht="14.25" customHeight="1">
      <c r="A128" s="174"/>
      <c r="B128" s="181"/>
      <c r="C128" s="176"/>
      <c r="D128" s="177"/>
      <c r="E128" s="177"/>
      <c r="F128" s="178"/>
      <c r="G128" s="179"/>
    </row>
    <row r="129" ht="14.25" customHeight="1">
      <c r="A129" s="174"/>
      <c r="B129" s="181"/>
      <c r="C129" s="176"/>
      <c r="D129" s="177"/>
      <c r="E129" s="177"/>
      <c r="F129" s="178"/>
      <c r="G129" s="179"/>
    </row>
    <row r="130" ht="14.25" customHeight="1">
      <c r="A130" s="174"/>
      <c r="B130" s="181"/>
      <c r="C130" s="176"/>
      <c r="D130" s="177"/>
      <c r="E130" s="177"/>
      <c r="F130" s="178"/>
      <c r="G130" s="179"/>
    </row>
    <row r="131" ht="14.25" customHeight="1">
      <c r="A131" s="174"/>
      <c r="B131" s="181"/>
      <c r="C131" s="176"/>
      <c r="D131" s="177"/>
      <c r="E131" s="177"/>
      <c r="F131" s="178"/>
      <c r="G131" s="179"/>
    </row>
    <row r="132" ht="14.25" customHeight="1">
      <c r="A132" s="174"/>
      <c r="B132" s="181"/>
      <c r="C132" s="176"/>
      <c r="D132" s="177"/>
      <c r="E132" s="177"/>
      <c r="F132" s="178"/>
      <c r="G132" s="179"/>
    </row>
    <row r="133" ht="14.25" customHeight="1">
      <c r="A133" s="174"/>
      <c r="B133" s="181"/>
      <c r="C133" s="176"/>
      <c r="D133" s="177"/>
      <c r="E133" s="177"/>
      <c r="F133" s="178"/>
      <c r="G133" s="179"/>
    </row>
    <row r="134" ht="14.25" customHeight="1">
      <c r="A134" s="174"/>
      <c r="B134" s="181"/>
      <c r="C134" s="176"/>
      <c r="D134" s="177"/>
      <c r="E134" s="177"/>
      <c r="F134" s="178"/>
      <c r="G134" s="179"/>
    </row>
    <row r="135" ht="14.25" customHeight="1">
      <c r="A135" s="174"/>
      <c r="B135" s="181"/>
      <c r="C135" s="176"/>
      <c r="D135" s="177"/>
      <c r="E135" s="177"/>
      <c r="F135" s="178"/>
      <c r="G135" s="179"/>
    </row>
    <row r="136" ht="14.25" customHeight="1">
      <c r="A136" s="174"/>
      <c r="B136" s="181"/>
      <c r="C136" s="176"/>
      <c r="D136" s="177"/>
      <c r="E136" s="177"/>
      <c r="F136" s="178"/>
      <c r="G136" s="179"/>
    </row>
    <row r="137" ht="14.25" customHeight="1">
      <c r="A137" s="174"/>
      <c r="B137" s="181"/>
      <c r="C137" s="176"/>
      <c r="D137" s="177"/>
      <c r="E137" s="177"/>
      <c r="F137" s="178"/>
      <c r="G137" s="179"/>
    </row>
    <row r="138" ht="14.25" customHeight="1">
      <c r="A138" s="174"/>
      <c r="B138" s="181"/>
      <c r="C138" s="176"/>
      <c r="D138" s="177"/>
      <c r="E138" s="177"/>
      <c r="F138" s="178"/>
      <c r="G138" s="179"/>
    </row>
    <row r="139" ht="14.25" customHeight="1">
      <c r="A139" s="174"/>
      <c r="B139" s="181"/>
      <c r="C139" s="176"/>
      <c r="D139" s="177"/>
      <c r="E139" s="177"/>
      <c r="F139" s="178"/>
      <c r="G139" s="179"/>
    </row>
    <row r="140" ht="14.25" customHeight="1">
      <c r="A140" s="174"/>
      <c r="B140" s="181"/>
      <c r="C140" s="176"/>
      <c r="D140" s="177"/>
      <c r="E140" s="177"/>
      <c r="F140" s="178"/>
      <c r="G140" s="179"/>
    </row>
    <row r="141" ht="14.25" customHeight="1">
      <c r="A141" s="174"/>
      <c r="B141" s="181"/>
      <c r="C141" s="176"/>
      <c r="D141" s="177"/>
      <c r="E141" s="177"/>
      <c r="F141" s="178"/>
      <c r="G141" s="179"/>
    </row>
    <row r="142" ht="14.25" customHeight="1">
      <c r="A142" s="174"/>
      <c r="B142" s="181"/>
      <c r="C142" s="176"/>
      <c r="D142" s="177"/>
      <c r="E142" s="177"/>
      <c r="F142" s="178"/>
      <c r="G142" s="179"/>
    </row>
    <row r="143" ht="14.25" customHeight="1">
      <c r="A143" s="174"/>
      <c r="B143" s="181"/>
      <c r="C143" s="176"/>
      <c r="D143" s="177"/>
      <c r="E143" s="177"/>
      <c r="F143" s="178"/>
      <c r="G143" s="179"/>
    </row>
    <row r="144" ht="14.25" customHeight="1">
      <c r="A144" s="174"/>
      <c r="B144" s="181"/>
      <c r="C144" s="176"/>
      <c r="D144" s="177"/>
      <c r="E144" s="177"/>
      <c r="F144" s="178"/>
      <c r="G144" s="179"/>
    </row>
    <row r="145" ht="14.25" customHeight="1">
      <c r="A145" s="174"/>
      <c r="B145" s="181"/>
      <c r="C145" s="176"/>
      <c r="D145" s="177"/>
      <c r="E145" s="177"/>
      <c r="F145" s="178"/>
      <c r="G145" s="179"/>
    </row>
    <row r="146" ht="14.25" customHeight="1">
      <c r="A146" s="174"/>
      <c r="B146" s="181"/>
      <c r="C146" s="176"/>
      <c r="D146" s="177"/>
      <c r="E146" s="177"/>
      <c r="F146" s="178"/>
      <c r="G146" s="179"/>
    </row>
    <row r="147" ht="14.25" customHeight="1">
      <c r="A147" s="174"/>
      <c r="B147" s="181"/>
      <c r="C147" s="176"/>
      <c r="D147" s="177"/>
      <c r="E147" s="177"/>
      <c r="F147" s="178"/>
      <c r="G147" s="179"/>
    </row>
    <row r="148" ht="14.25" customHeight="1">
      <c r="A148" s="174"/>
      <c r="B148" s="181"/>
      <c r="C148" s="176"/>
      <c r="D148" s="177"/>
      <c r="E148" s="177"/>
      <c r="F148" s="178"/>
      <c r="G148" s="179"/>
    </row>
    <row r="149" ht="14.25" customHeight="1">
      <c r="A149" s="174"/>
      <c r="B149" s="181"/>
      <c r="C149" s="176"/>
      <c r="D149" s="177"/>
      <c r="E149" s="177"/>
      <c r="F149" s="178"/>
      <c r="G149" s="179"/>
    </row>
    <row r="150" ht="14.25" customHeight="1">
      <c r="A150" s="174"/>
      <c r="B150" s="181"/>
      <c r="C150" s="176"/>
      <c r="D150" s="177"/>
      <c r="E150" s="177"/>
      <c r="F150" s="178"/>
      <c r="G150" s="179"/>
    </row>
    <row r="151" ht="14.25" customHeight="1">
      <c r="A151" s="185"/>
      <c r="B151" s="187"/>
      <c r="C151" s="188"/>
      <c r="D151" s="189"/>
      <c r="E151" s="189"/>
      <c r="F151" s="191"/>
      <c r="G151" s="179"/>
    </row>
    <row r="152" ht="14.25" customHeight="1">
      <c r="A152" s="185"/>
      <c r="B152" s="187"/>
      <c r="C152" s="188"/>
      <c r="D152" s="189"/>
      <c r="E152" s="189"/>
      <c r="F152" s="191"/>
      <c r="G152" s="179"/>
    </row>
    <row r="153" ht="14.25" customHeight="1">
      <c r="A153" s="185"/>
      <c r="B153" s="187"/>
      <c r="C153" s="188"/>
      <c r="D153" s="189"/>
      <c r="E153" s="189"/>
      <c r="F153" s="191"/>
      <c r="G153" s="179"/>
    </row>
    <row r="154" ht="14.25" customHeight="1">
      <c r="A154" s="185"/>
      <c r="B154" s="187"/>
      <c r="C154" s="188"/>
      <c r="D154" s="189"/>
      <c r="E154" s="189"/>
      <c r="F154" s="191"/>
      <c r="G154" s="179"/>
    </row>
    <row r="155" ht="14.25" customHeight="1">
      <c r="A155" s="185"/>
      <c r="B155" s="187"/>
      <c r="C155" s="188"/>
      <c r="D155" s="189"/>
      <c r="E155" s="189"/>
      <c r="F155" s="191"/>
      <c r="G155" s="179"/>
    </row>
    <row r="156" ht="14.25" customHeight="1">
      <c r="A156" s="185"/>
      <c r="B156" s="187"/>
      <c r="C156" s="188"/>
      <c r="D156" s="189"/>
      <c r="E156" s="189"/>
      <c r="F156" s="191"/>
      <c r="G156" s="179"/>
    </row>
    <row r="157" ht="14.25" customHeight="1">
      <c r="A157" s="185"/>
      <c r="B157" s="187"/>
      <c r="C157" s="188"/>
      <c r="D157" s="189"/>
      <c r="E157" s="189"/>
      <c r="F157" s="191"/>
      <c r="G157" s="179"/>
    </row>
    <row r="158" ht="14.25" customHeight="1">
      <c r="A158" s="185"/>
      <c r="B158" s="187"/>
      <c r="C158" s="188"/>
      <c r="D158" s="189"/>
      <c r="E158" s="189"/>
      <c r="F158" s="191"/>
      <c r="G158" s="179"/>
    </row>
    <row r="159" ht="14.25" customHeight="1">
      <c r="A159" s="185"/>
      <c r="B159" s="187"/>
      <c r="C159" s="188"/>
      <c r="D159" s="189"/>
      <c r="E159" s="189"/>
      <c r="F159" s="191"/>
      <c r="G159" s="179"/>
    </row>
    <row r="160" ht="14.25" customHeight="1">
      <c r="A160" s="185"/>
      <c r="B160" s="187"/>
      <c r="C160" s="188"/>
      <c r="D160" s="189"/>
      <c r="E160" s="189"/>
      <c r="F160" s="191"/>
      <c r="G160" s="179"/>
    </row>
    <row r="161" ht="14.25" customHeight="1">
      <c r="A161" s="185"/>
      <c r="B161" s="187"/>
      <c r="C161" s="188"/>
      <c r="D161" s="189"/>
      <c r="E161" s="189"/>
      <c r="F161" s="191"/>
      <c r="G161" s="179"/>
    </row>
    <row r="162" ht="14.25" customHeight="1">
      <c r="A162" s="185"/>
      <c r="B162" s="187"/>
      <c r="C162" s="188"/>
      <c r="D162" s="189"/>
      <c r="E162" s="189"/>
      <c r="F162" s="191"/>
      <c r="G162" s="179"/>
    </row>
    <row r="163" ht="14.25" customHeight="1">
      <c r="A163" s="185"/>
      <c r="B163" s="187"/>
      <c r="C163" s="188"/>
      <c r="D163" s="189"/>
      <c r="E163" s="189"/>
      <c r="F163" s="191"/>
      <c r="G163" s="179"/>
    </row>
    <row r="164" ht="14.25" customHeight="1">
      <c r="A164" s="185"/>
      <c r="B164" s="187"/>
      <c r="C164" s="188"/>
      <c r="D164" s="189"/>
      <c r="E164" s="189"/>
      <c r="F164" s="191"/>
      <c r="G164" s="179"/>
    </row>
    <row r="165" ht="14.25" customHeight="1">
      <c r="A165" s="185"/>
      <c r="B165" s="187"/>
      <c r="C165" s="188"/>
      <c r="D165" s="189"/>
      <c r="E165" s="189"/>
      <c r="F165" s="191"/>
      <c r="G165" s="179"/>
    </row>
    <row r="166" ht="14.25" customHeight="1">
      <c r="A166" s="185"/>
      <c r="B166" s="187"/>
      <c r="C166" s="188"/>
      <c r="D166" s="189"/>
      <c r="E166" s="189"/>
      <c r="F166" s="191"/>
      <c r="G166" s="179"/>
    </row>
    <row r="167" ht="14.25" customHeight="1">
      <c r="A167" s="185"/>
      <c r="B167" s="187"/>
      <c r="C167" s="188"/>
      <c r="D167" s="189"/>
      <c r="E167" s="189"/>
      <c r="F167" s="191"/>
      <c r="G167" s="179"/>
    </row>
    <row r="168" ht="14.25" customHeight="1">
      <c r="A168" s="185"/>
      <c r="B168" s="187"/>
      <c r="C168" s="188"/>
      <c r="D168" s="189"/>
      <c r="E168" s="189"/>
      <c r="F168" s="191"/>
      <c r="G168" s="179"/>
    </row>
    <row r="169" ht="14.25" customHeight="1">
      <c r="A169" s="185"/>
      <c r="B169" s="187"/>
      <c r="C169" s="188"/>
      <c r="D169" s="189"/>
      <c r="E169" s="189"/>
      <c r="F169" s="191"/>
      <c r="G169" s="179"/>
    </row>
    <row r="170" ht="14.25" customHeight="1">
      <c r="A170" s="185"/>
      <c r="B170" s="187"/>
      <c r="C170" s="188"/>
      <c r="D170" s="189"/>
      <c r="E170" s="189"/>
      <c r="F170" s="191"/>
      <c r="G170" s="179"/>
    </row>
    <row r="171" ht="14.25" customHeight="1">
      <c r="A171" s="185"/>
      <c r="B171" s="187"/>
      <c r="C171" s="188"/>
      <c r="D171" s="189"/>
      <c r="E171" s="189"/>
      <c r="F171" s="191"/>
      <c r="G171" s="179"/>
    </row>
    <row r="172" ht="14.25" customHeight="1">
      <c r="A172" s="185"/>
      <c r="B172" s="187"/>
      <c r="C172" s="188"/>
      <c r="D172" s="189"/>
      <c r="E172" s="189"/>
      <c r="F172" s="191"/>
      <c r="G172" s="179"/>
    </row>
    <row r="173" ht="14.25" customHeight="1">
      <c r="A173" s="185"/>
      <c r="B173" s="187"/>
      <c r="C173" s="188"/>
      <c r="D173" s="189"/>
      <c r="E173" s="189"/>
      <c r="F173" s="191"/>
      <c r="G173" s="179"/>
    </row>
    <row r="174" ht="14.25" customHeight="1">
      <c r="A174" s="185"/>
      <c r="B174" s="187"/>
      <c r="C174" s="188"/>
      <c r="D174" s="189"/>
      <c r="E174" s="189"/>
      <c r="F174" s="191"/>
      <c r="G174" s="179"/>
    </row>
    <row r="175" ht="14.25" customHeight="1">
      <c r="A175" s="185"/>
      <c r="B175" s="187"/>
      <c r="C175" s="188"/>
      <c r="D175" s="189"/>
      <c r="E175" s="189"/>
      <c r="F175" s="191"/>
      <c r="G175" s="179"/>
    </row>
    <row r="176" ht="14.25" customHeight="1">
      <c r="A176" s="185"/>
      <c r="B176" s="187"/>
      <c r="C176" s="188"/>
      <c r="D176" s="189"/>
      <c r="E176" s="189"/>
      <c r="F176" s="191"/>
      <c r="G176" s="179"/>
    </row>
    <row r="177" ht="14.25" customHeight="1">
      <c r="A177" s="185"/>
      <c r="B177" s="187"/>
      <c r="C177" s="188"/>
      <c r="D177" s="189"/>
      <c r="E177" s="189"/>
      <c r="F177" s="191"/>
      <c r="G177" s="179"/>
    </row>
    <row r="178" ht="14.25" customHeight="1">
      <c r="A178" s="185"/>
      <c r="B178" s="187"/>
      <c r="C178" s="188"/>
      <c r="D178" s="189"/>
      <c r="E178" s="189"/>
      <c r="F178" s="191"/>
      <c r="G178" s="179"/>
    </row>
    <row r="179" ht="14.25" customHeight="1">
      <c r="A179" s="185"/>
      <c r="B179" s="187"/>
      <c r="C179" s="188"/>
      <c r="D179" s="189"/>
      <c r="E179" s="189"/>
      <c r="F179" s="191"/>
      <c r="G179" s="179"/>
    </row>
    <row r="180" ht="14.25" customHeight="1">
      <c r="A180" s="185"/>
      <c r="B180" s="187"/>
      <c r="C180" s="188"/>
      <c r="D180" s="189"/>
      <c r="E180" s="189"/>
      <c r="F180" s="191"/>
      <c r="G180" s="179"/>
    </row>
    <row r="181" ht="14.25" customHeight="1">
      <c r="A181" s="185"/>
      <c r="B181" s="187"/>
      <c r="C181" s="188"/>
      <c r="D181" s="189"/>
      <c r="E181" s="189"/>
      <c r="F181" s="191"/>
      <c r="G181" s="179"/>
    </row>
    <row r="182" ht="14.25" customHeight="1">
      <c r="A182" s="185"/>
      <c r="B182" s="187"/>
      <c r="C182" s="188"/>
      <c r="D182" s="189"/>
      <c r="E182" s="189"/>
      <c r="F182" s="191"/>
      <c r="G182" s="179"/>
    </row>
    <row r="183" ht="14.25" customHeight="1">
      <c r="A183" s="185"/>
      <c r="B183" s="187"/>
      <c r="C183" s="188"/>
      <c r="D183" s="189"/>
      <c r="E183" s="189"/>
      <c r="F183" s="191"/>
      <c r="G183" s="179"/>
    </row>
    <row r="184" ht="14.25" customHeight="1">
      <c r="A184" s="185"/>
      <c r="B184" s="187"/>
      <c r="C184" s="188"/>
      <c r="D184" s="189"/>
      <c r="E184" s="189"/>
      <c r="F184" s="191"/>
      <c r="G184" s="179"/>
    </row>
    <row r="185" ht="14.25" customHeight="1">
      <c r="A185" s="185"/>
      <c r="B185" s="187"/>
      <c r="C185" s="188"/>
      <c r="D185" s="189"/>
      <c r="E185" s="189"/>
      <c r="F185" s="191"/>
      <c r="G185" s="179"/>
    </row>
    <row r="186" ht="14.25" customHeight="1">
      <c r="A186" s="185"/>
      <c r="B186" s="187"/>
      <c r="C186" s="188"/>
      <c r="D186" s="189"/>
      <c r="E186" s="189"/>
      <c r="F186" s="191"/>
      <c r="G186" s="179"/>
    </row>
    <row r="187" ht="14.25" customHeight="1">
      <c r="A187" s="185"/>
      <c r="B187" s="187"/>
      <c r="C187" s="188"/>
      <c r="D187" s="189"/>
      <c r="E187" s="189"/>
      <c r="F187" s="191"/>
      <c r="G187" s="179"/>
    </row>
    <row r="188" ht="14.25" customHeight="1">
      <c r="A188" s="185"/>
      <c r="B188" s="187"/>
      <c r="C188" s="188"/>
      <c r="D188" s="189"/>
      <c r="E188" s="189"/>
      <c r="F188" s="191"/>
      <c r="G188" s="179"/>
    </row>
    <row r="189" ht="14.25" customHeight="1">
      <c r="A189" s="185"/>
      <c r="B189" s="187"/>
      <c r="C189" s="188"/>
      <c r="D189" s="189"/>
      <c r="E189" s="189"/>
      <c r="F189" s="191"/>
      <c r="G189" s="179"/>
    </row>
    <row r="190" ht="14.25" customHeight="1">
      <c r="A190" s="185"/>
      <c r="B190" s="187"/>
      <c r="C190" s="188"/>
      <c r="D190" s="189"/>
      <c r="E190" s="189"/>
      <c r="F190" s="191"/>
      <c r="G190" s="179"/>
    </row>
    <row r="191" ht="14.25" customHeight="1">
      <c r="A191" s="185"/>
      <c r="B191" s="187"/>
      <c r="C191" s="188"/>
      <c r="D191" s="189"/>
      <c r="E191" s="189"/>
      <c r="F191" s="191"/>
      <c r="G191" s="179"/>
    </row>
    <row r="192" ht="14.25" customHeight="1">
      <c r="A192" s="185"/>
      <c r="B192" s="187"/>
      <c r="C192" s="188"/>
      <c r="D192" s="189"/>
      <c r="E192" s="189"/>
      <c r="F192" s="191"/>
      <c r="G192" s="179"/>
    </row>
    <row r="193" ht="14.25" customHeight="1">
      <c r="A193" s="185"/>
      <c r="B193" s="187"/>
      <c r="C193" s="188"/>
      <c r="D193" s="189"/>
      <c r="E193" s="189"/>
      <c r="F193" s="191"/>
      <c r="G193" s="179"/>
    </row>
    <row r="194" ht="14.25" customHeight="1">
      <c r="A194" s="185"/>
      <c r="B194" s="187"/>
      <c r="C194" s="188"/>
      <c r="D194" s="189"/>
      <c r="E194" s="189"/>
      <c r="F194" s="191"/>
      <c r="G194" s="179"/>
    </row>
    <row r="195" ht="14.25" customHeight="1">
      <c r="A195" s="185"/>
      <c r="B195" s="187"/>
      <c r="C195" s="188"/>
      <c r="D195" s="189"/>
      <c r="E195" s="189"/>
      <c r="F195" s="191"/>
      <c r="G195" s="179"/>
    </row>
    <row r="196" ht="14.25" customHeight="1">
      <c r="A196" s="185"/>
      <c r="B196" s="187"/>
      <c r="C196" s="188"/>
      <c r="D196" s="189"/>
      <c r="E196" s="189"/>
      <c r="F196" s="191"/>
      <c r="G196" s="179"/>
    </row>
    <row r="197" ht="14.25" customHeight="1">
      <c r="A197" s="185"/>
      <c r="B197" s="187"/>
      <c r="C197" s="188"/>
      <c r="D197" s="189"/>
      <c r="E197" s="189"/>
      <c r="F197" s="191"/>
      <c r="G197" s="179"/>
    </row>
    <row r="198" ht="14.25" customHeight="1">
      <c r="A198" s="185"/>
      <c r="B198" s="187"/>
      <c r="C198" s="188"/>
      <c r="D198" s="189"/>
      <c r="E198" s="189"/>
      <c r="F198" s="191"/>
      <c r="G198" s="179"/>
    </row>
    <row r="199" ht="14.25" customHeight="1">
      <c r="A199" s="185"/>
      <c r="B199" s="187"/>
      <c r="C199" s="188"/>
      <c r="D199" s="189"/>
      <c r="E199" s="189"/>
      <c r="F199" s="191"/>
      <c r="G199" s="179"/>
    </row>
    <row r="200" ht="14.25" customHeight="1">
      <c r="A200" s="185"/>
      <c r="B200" s="187"/>
      <c r="C200" s="188"/>
      <c r="D200" s="189"/>
      <c r="E200" s="189"/>
      <c r="F200" s="191"/>
      <c r="G200" s="179"/>
    </row>
    <row r="201" ht="14.25" customHeight="1">
      <c r="A201" s="185"/>
      <c r="B201" s="187"/>
      <c r="C201" s="188"/>
      <c r="D201" s="189"/>
      <c r="E201" s="189"/>
      <c r="F201" s="191"/>
      <c r="G201" s="179"/>
    </row>
    <row r="202" ht="14.25" customHeight="1">
      <c r="A202" s="185"/>
      <c r="B202" s="187"/>
      <c r="C202" s="188"/>
      <c r="D202" s="189"/>
      <c r="E202" s="189"/>
      <c r="F202" s="191"/>
      <c r="G202" s="179"/>
    </row>
    <row r="203" ht="14.25" customHeight="1">
      <c r="A203" s="185"/>
      <c r="B203" s="187"/>
      <c r="C203" s="188"/>
      <c r="D203" s="189"/>
      <c r="E203" s="189"/>
      <c r="F203" s="191"/>
      <c r="G203" s="179"/>
    </row>
    <row r="204" ht="14.25" customHeight="1">
      <c r="A204" s="185"/>
      <c r="B204" s="187"/>
      <c r="C204" s="188"/>
      <c r="D204" s="189"/>
      <c r="E204" s="189"/>
      <c r="F204" s="191"/>
      <c r="G204" s="179"/>
    </row>
    <row r="205" ht="14.25" customHeight="1">
      <c r="A205" s="185"/>
      <c r="B205" s="187"/>
      <c r="C205" s="188"/>
      <c r="D205" s="189"/>
      <c r="E205" s="189"/>
      <c r="F205" s="191"/>
      <c r="G205" s="179"/>
    </row>
    <row r="206" ht="14.25" customHeight="1">
      <c r="A206" s="185"/>
      <c r="B206" s="187"/>
      <c r="C206" s="188"/>
      <c r="D206" s="189"/>
      <c r="E206" s="189"/>
      <c r="F206" s="191"/>
      <c r="G206" s="179"/>
    </row>
    <row r="207" ht="14.25" customHeight="1">
      <c r="A207" s="185"/>
      <c r="B207" s="187"/>
      <c r="C207" s="188"/>
      <c r="D207" s="189"/>
      <c r="E207" s="189"/>
      <c r="F207" s="191"/>
      <c r="G207" s="179"/>
    </row>
    <row r="208" ht="14.25" customHeight="1">
      <c r="A208" s="185"/>
      <c r="B208" s="187"/>
      <c r="C208" s="188"/>
      <c r="D208" s="189"/>
      <c r="E208" s="189"/>
      <c r="F208" s="191"/>
      <c r="G208" s="179"/>
    </row>
    <row r="209" ht="14.25" customHeight="1">
      <c r="A209" s="185"/>
      <c r="B209" s="187"/>
      <c r="C209" s="188"/>
      <c r="D209" s="189"/>
      <c r="E209" s="189"/>
      <c r="F209" s="191"/>
      <c r="G209" s="179"/>
    </row>
    <row r="210" ht="14.25" customHeight="1">
      <c r="A210" s="185"/>
      <c r="B210" s="187"/>
      <c r="C210" s="188"/>
      <c r="D210" s="189"/>
      <c r="E210" s="189"/>
      <c r="F210" s="191"/>
      <c r="G210" s="179"/>
    </row>
    <row r="211" ht="14.25" customHeight="1">
      <c r="A211" s="185"/>
      <c r="B211" s="187"/>
      <c r="C211" s="188"/>
      <c r="D211" s="189"/>
      <c r="E211" s="189"/>
      <c r="F211" s="191"/>
      <c r="G211" s="179"/>
    </row>
    <row r="212" ht="14.25" customHeight="1">
      <c r="A212" s="185"/>
      <c r="B212" s="187"/>
      <c r="C212" s="188"/>
      <c r="D212" s="189"/>
      <c r="E212" s="189"/>
      <c r="F212" s="191"/>
      <c r="G212" s="179"/>
    </row>
    <row r="213" ht="14.25" customHeight="1">
      <c r="A213" s="185"/>
      <c r="B213" s="187"/>
      <c r="C213" s="188"/>
      <c r="D213" s="189"/>
      <c r="E213" s="189"/>
      <c r="F213" s="191"/>
      <c r="G213" s="179"/>
    </row>
    <row r="214" ht="14.25" customHeight="1">
      <c r="A214" s="185"/>
      <c r="B214" s="187"/>
      <c r="C214" s="188"/>
      <c r="D214" s="189"/>
      <c r="E214" s="189"/>
      <c r="F214" s="191"/>
      <c r="G214" s="179"/>
    </row>
    <row r="215" ht="14.25" customHeight="1">
      <c r="A215" s="185"/>
      <c r="B215" s="187"/>
      <c r="C215" s="188"/>
      <c r="D215" s="189"/>
      <c r="E215" s="189"/>
      <c r="F215" s="191"/>
      <c r="G215" s="179"/>
    </row>
    <row r="216" ht="14.25" customHeight="1">
      <c r="A216" s="185"/>
      <c r="B216" s="187"/>
      <c r="C216" s="188"/>
      <c r="D216" s="189"/>
      <c r="E216" s="189"/>
      <c r="F216" s="191"/>
      <c r="G216" s="179"/>
    </row>
    <row r="217" ht="14.25" customHeight="1">
      <c r="A217" s="185"/>
      <c r="B217" s="187"/>
      <c r="C217" s="188"/>
      <c r="D217" s="189"/>
      <c r="E217" s="189"/>
      <c r="F217" s="191"/>
      <c r="G217" s="179"/>
    </row>
    <row r="218" ht="14.25" customHeight="1">
      <c r="A218" s="185"/>
      <c r="B218" s="187"/>
      <c r="C218" s="188"/>
      <c r="D218" s="189"/>
      <c r="E218" s="189"/>
      <c r="F218" s="191"/>
      <c r="G218" s="179"/>
    </row>
    <row r="219" ht="14.25" customHeight="1">
      <c r="A219" s="185"/>
      <c r="B219" s="187"/>
      <c r="C219" s="188"/>
      <c r="D219" s="189"/>
      <c r="E219" s="189"/>
      <c r="F219" s="191"/>
      <c r="G219" s="179"/>
    </row>
    <row r="220" ht="14.25" customHeight="1">
      <c r="A220" s="185"/>
      <c r="B220" s="187"/>
      <c r="C220" s="188"/>
      <c r="D220" s="189"/>
      <c r="E220" s="189"/>
      <c r="F220" s="191"/>
      <c r="G220" s="179"/>
    </row>
    <row r="221" ht="14.25" customHeight="1">
      <c r="A221" s="185"/>
      <c r="B221" s="187"/>
      <c r="C221" s="188"/>
      <c r="D221" s="189"/>
      <c r="E221" s="189"/>
      <c r="F221" s="191"/>
      <c r="G221" s="179"/>
    </row>
    <row r="222" ht="14.25" customHeight="1">
      <c r="A222" s="185"/>
      <c r="B222" s="187"/>
      <c r="C222" s="188"/>
      <c r="D222" s="189"/>
      <c r="E222" s="189"/>
      <c r="F222" s="191"/>
      <c r="G222" s="179"/>
    </row>
    <row r="223" ht="14.25" customHeight="1">
      <c r="A223" s="185"/>
      <c r="B223" s="187"/>
      <c r="C223" s="188"/>
      <c r="D223" s="189"/>
      <c r="E223" s="189"/>
      <c r="F223" s="191"/>
      <c r="G223" s="179"/>
    </row>
    <row r="224" ht="14.25" customHeight="1">
      <c r="A224" s="185"/>
      <c r="B224" s="187"/>
      <c r="C224" s="188"/>
      <c r="D224" s="189"/>
      <c r="E224" s="189"/>
      <c r="F224" s="191"/>
      <c r="G224" s="179"/>
    </row>
    <row r="225" ht="14.25" customHeight="1">
      <c r="A225" s="185"/>
      <c r="B225" s="187"/>
      <c r="C225" s="188"/>
      <c r="D225" s="189"/>
      <c r="E225" s="189"/>
      <c r="F225" s="191"/>
      <c r="G225" s="179"/>
    </row>
    <row r="226" ht="14.25" customHeight="1">
      <c r="A226" s="185"/>
      <c r="B226" s="187"/>
      <c r="C226" s="188"/>
      <c r="D226" s="189"/>
      <c r="E226" s="189"/>
      <c r="F226" s="191"/>
      <c r="G226" s="179"/>
    </row>
    <row r="227" ht="14.25" customHeight="1">
      <c r="A227" s="185"/>
      <c r="B227" s="187"/>
      <c r="C227" s="188"/>
      <c r="D227" s="189"/>
      <c r="E227" s="189"/>
      <c r="F227" s="191"/>
      <c r="G227" s="179"/>
    </row>
    <row r="228" ht="14.25" customHeight="1">
      <c r="A228" s="185"/>
      <c r="B228" s="187"/>
      <c r="C228" s="188"/>
      <c r="D228" s="189"/>
      <c r="E228" s="189"/>
      <c r="F228" s="191"/>
      <c r="G228" s="179"/>
    </row>
    <row r="229" ht="14.25" customHeight="1">
      <c r="A229" s="185"/>
      <c r="B229" s="187"/>
      <c r="C229" s="188"/>
      <c r="D229" s="189"/>
      <c r="E229" s="189"/>
      <c r="F229" s="191"/>
      <c r="G229" s="179"/>
    </row>
    <row r="230" ht="14.25" customHeight="1">
      <c r="A230" s="185"/>
      <c r="B230" s="187"/>
      <c r="C230" s="188"/>
      <c r="D230" s="189"/>
      <c r="E230" s="189"/>
      <c r="F230" s="191"/>
      <c r="G230" s="179"/>
    </row>
    <row r="231" ht="14.25" customHeight="1">
      <c r="A231" s="185"/>
      <c r="B231" s="187"/>
      <c r="C231" s="188"/>
      <c r="D231" s="189"/>
      <c r="E231" s="189"/>
      <c r="F231" s="191"/>
      <c r="G231" s="179"/>
    </row>
    <row r="232" ht="14.25" customHeight="1">
      <c r="A232" s="185"/>
      <c r="B232" s="187"/>
      <c r="C232" s="188"/>
      <c r="D232" s="189"/>
      <c r="E232" s="189"/>
      <c r="F232" s="191"/>
      <c r="G232" s="179"/>
    </row>
    <row r="233" ht="14.25" customHeight="1">
      <c r="A233" s="185"/>
      <c r="B233" s="187"/>
      <c r="C233" s="188"/>
      <c r="D233" s="189"/>
      <c r="E233" s="189"/>
      <c r="F233" s="191"/>
      <c r="G233" s="179"/>
    </row>
    <row r="234" ht="14.25" customHeight="1">
      <c r="A234" s="185"/>
      <c r="B234" s="187"/>
      <c r="C234" s="188"/>
      <c r="D234" s="189"/>
      <c r="E234" s="189"/>
      <c r="F234" s="191"/>
      <c r="G234" s="179"/>
    </row>
    <row r="235" ht="14.25" customHeight="1">
      <c r="A235" s="185"/>
      <c r="B235" s="187"/>
      <c r="C235" s="188"/>
      <c r="D235" s="189"/>
      <c r="E235" s="189"/>
      <c r="F235" s="191"/>
      <c r="G235" s="179"/>
    </row>
    <row r="236" ht="14.25" customHeight="1">
      <c r="A236" s="185"/>
      <c r="B236" s="187"/>
      <c r="C236" s="188"/>
      <c r="D236" s="189"/>
      <c r="E236" s="189"/>
      <c r="F236" s="191"/>
      <c r="G236" s="179"/>
    </row>
    <row r="237" ht="14.25" customHeight="1">
      <c r="A237" s="185"/>
      <c r="B237" s="187"/>
      <c r="C237" s="188"/>
      <c r="D237" s="189"/>
      <c r="E237" s="189"/>
      <c r="F237" s="191"/>
      <c r="G237" s="179"/>
    </row>
    <row r="238" ht="14.25" customHeight="1">
      <c r="A238" s="185"/>
      <c r="B238" s="187"/>
      <c r="C238" s="188"/>
      <c r="D238" s="189"/>
      <c r="E238" s="189"/>
      <c r="F238" s="191"/>
      <c r="G238" s="179"/>
    </row>
    <row r="239" ht="14.25" customHeight="1">
      <c r="A239" s="185"/>
      <c r="B239" s="187"/>
      <c r="C239" s="188"/>
      <c r="D239" s="189"/>
      <c r="E239" s="189"/>
      <c r="F239" s="191"/>
      <c r="G239" s="179"/>
    </row>
    <row r="240" ht="14.25" customHeight="1">
      <c r="A240" s="185"/>
      <c r="B240" s="187"/>
      <c r="C240" s="188"/>
      <c r="D240" s="189"/>
      <c r="E240" s="189"/>
      <c r="F240" s="191"/>
      <c r="G240" s="179"/>
    </row>
    <row r="241" ht="14.25" customHeight="1">
      <c r="A241" s="185"/>
      <c r="B241" s="187"/>
      <c r="C241" s="188"/>
      <c r="D241" s="189"/>
      <c r="E241" s="189"/>
      <c r="F241" s="191"/>
      <c r="G241" s="179"/>
    </row>
    <row r="242" ht="14.25" customHeight="1">
      <c r="A242" s="185"/>
      <c r="B242" s="187"/>
      <c r="C242" s="188"/>
      <c r="D242" s="189"/>
      <c r="E242" s="189"/>
      <c r="F242" s="191"/>
      <c r="G242" s="179"/>
    </row>
    <row r="243" ht="14.25" customHeight="1">
      <c r="A243" s="185"/>
      <c r="B243" s="187"/>
      <c r="C243" s="188"/>
      <c r="D243" s="189"/>
      <c r="E243" s="189"/>
      <c r="F243" s="191"/>
      <c r="G243" s="179"/>
    </row>
    <row r="244" ht="14.25" customHeight="1">
      <c r="A244" s="185"/>
      <c r="B244" s="187"/>
      <c r="C244" s="188"/>
      <c r="D244" s="189"/>
      <c r="E244" s="189"/>
      <c r="F244" s="191"/>
      <c r="G244" s="179"/>
    </row>
    <row r="245" ht="14.25" customHeight="1">
      <c r="A245" s="185"/>
      <c r="B245" s="187"/>
      <c r="C245" s="188"/>
      <c r="D245" s="189"/>
      <c r="E245" s="189"/>
      <c r="F245" s="191"/>
      <c r="G245" s="179"/>
    </row>
    <row r="246" ht="14.25" customHeight="1">
      <c r="A246" s="185"/>
      <c r="B246" s="187"/>
      <c r="C246" s="188"/>
      <c r="D246" s="189"/>
      <c r="E246" s="189"/>
      <c r="F246" s="191"/>
      <c r="G246" s="179"/>
    </row>
    <row r="247" ht="14.25" customHeight="1">
      <c r="A247" s="185"/>
      <c r="B247" s="187"/>
      <c r="C247" s="188"/>
      <c r="D247" s="189"/>
      <c r="E247" s="189"/>
      <c r="F247" s="191"/>
      <c r="G247" s="179"/>
    </row>
    <row r="248" ht="14.25" customHeight="1">
      <c r="A248" s="185"/>
      <c r="B248" s="187"/>
      <c r="C248" s="188"/>
      <c r="D248" s="189"/>
      <c r="E248" s="189"/>
      <c r="F248" s="191"/>
      <c r="G248" s="179"/>
    </row>
    <row r="249" ht="14.25" customHeight="1">
      <c r="A249" s="185"/>
      <c r="B249" s="187"/>
      <c r="C249" s="188"/>
      <c r="D249" s="189"/>
      <c r="E249" s="189"/>
      <c r="F249" s="191"/>
      <c r="G249" s="179"/>
    </row>
    <row r="250" ht="14.25" customHeight="1">
      <c r="A250" s="185"/>
      <c r="B250" s="187"/>
      <c r="C250" s="188"/>
      <c r="D250" s="189"/>
      <c r="E250" s="189"/>
      <c r="F250" s="191"/>
      <c r="G250" s="179"/>
    </row>
    <row r="251" ht="14.25" customHeight="1">
      <c r="A251" s="185"/>
      <c r="B251" s="187"/>
      <c r="C251" s="188"/>
      <c r="D251" s="189"/>
      <c r="E251" s="189"/>
      <c r="F251" s="191"/>
      <c r="G251" s="179"/>
    </row>
    <row r="252" ht="14.25" customHeight="1">
      <c r="A252" s="185"/>
      <c r="B252" s="187"/>
      <c r="C252" s="188"/>
      <c r="D252" s="189"/>
      <c r="E252" s="189"/>
      <c r="F252" s="191"/>
      <c r="G252" s="179"/>
    </row>
    <row r="253" ht="14.25" customHeight="1">
      <c r="A253" s="185"/>
      <c r="B253" s="187"/>
      <c r="C253" s="188"/>
      <c r="D253" s="189"/>
      <c r="E253" s="189"/>
      <c r="F253" s="191"/>
      <c r="G253" s="179"/>
    </row>
    <row r="254" ht="14.25" customHeight="1">
      <c r="A254" s="185"/>
      <c r="B254" s="187"/>
      <c r="C254" s="188"/>
      <c r="D254" s="189"/>
      <c r="E254" s="189"/>
      <c r="F254" s="191"/>
      <c r="G254" s="179"/>
    </row>
    <row r="255" ht="14.25" customHeight="1">
      <c r="A255" s="185"/>
      <c r="B255" s="187"/>
      <c r="C255" s="188"/>
      <c r="D255" s="189"/>
      <c r="E255" s="189"/>
      <c r="F255" s="191"/>
      <c r="G255" s="179"/>
    </row>
    <row r="256" ht="14.25" customHeight="1">
      <c r="A256" s="185"/>
      <c r="B256" s="187"/>
      <c r="C256" s="188"/>
      <c r="D256" s="189"/>
      <c r="E256" s="189"/>
      <c r="F256" s="191"/>
      <c r="G256" s="179"/>
    </row>
    <row r="257" ht="14.25" customHeight="1">
      <c r="A257" s="185"/>
      <c r="B257" s="187"/>
      <c r="C257" s="188"/>
      <c r="D257" s="189"/>
      <c r="E257" s="189"/>
      <c r="F257" s="191"/>
      <c r="G257" s="179"/>
    </row>
    <row r="258" ht="14.25" customHeight="1">
      <c r="A258" s="185"/>
      <c r="B258" s="187"/>
      <c r="C258" s="188"/>
      <c r="D258" s="189"/>
      <c r="E258" s="189"/>
      <c r="F258" s="191"/>
      <c r="G258" s="179"/>
    </row>
    <row r="259" ht="14.25" customHeight="1">
      <c r="A259" s="185"/>
      <c r="B259" s="187"/>
      <c r="C259" s="188"/>
      <c r="D259" s="189"/>
      <c r="E259" s="189"/>
      <c r="F259" s="191"/>
      <c r="G259" s="179"/>
    </row>
    <row r="260" ht="14.25" customHeight="1">
      <c r="A260" s="185"/>
      <c r="B260" s="187"/>
      <c r="C260" s="188"/>
      <c r="D260" s="189"/>
      <c r="E260" s="189"/>
      <c r="F260" s="191"/>
      <c r="G260" s="179"/>
    </row>
    <row r="261" ht="14.25" customHeight="1">
      <c r="A261" s="185"/>
      <c r="B261" s="187"/>
      <c r="C261" s="188"/>
      <c r="D261" s="189"/>
      <c r="E261" s="189"/>
      <c r="F261" s="191"/>
      <c r="G261" s="179"/>
    </row>
    <row r="262" ht="14.25" customHeight="1">
      <c r="A262" s="185"/>
      <c r="B262" s="187"/>
      <c r="C262" s="188"/>
      <c r="D262" s="189"/>
      <c r="E262" s="189"/>
      <c r="F262" s="191"/>
      <c r="G262" s="179"/>
    </row>
    <row r="263" ht="14.25" customHeight="1">
      <c r="A263" s="185"/>
      <c r="B263" s="187"/>
      <c r="C263" s="188"/>
      <c r="D263" s="189"/>
      <c r="E263" s="189"/>
      <c r="F263" s="191"/>
      <c r="G263" s="179"/>
    </row>
    <row r="264" ht="14.25" customHeight="1">
      <c r="A264" s="185"/>
      <c r="B264" s="187"/>
      <c r="C264" s="188"/>
      <c r="D264" s="189"/>
      <c r="E264" s="189"/>
      <c r="F264" s="191"/>
      <c r="G264" s="179"/>
    </row>
    <row r="265" ht="14.25" customHeight="1">
      <c r="A265" s="185"/>
      <c r="B265" s="187"/>
      <c r="C265" s="188"/>
      <c r="D265" s="189"/>
      <c r="E265" s="189"/>
      <c r="F265" s="191"/>
      <c r="G265" s="179"/>
    </row>
    <row r="266" ht="14.25" customHeight="1">
      <c r="A266" s="185"/>
      <c r="B266" s="187"/>
      <c r="C266" s="188"/>
      <c r="D266" s="189"/>
      <c r="E266" s="189"/>
      <c r="F266" s="191"/>
      <c r="G266" s="179"/>
    </row>
    <row r="267" ht="14.25" customHeight="1">
      <c r="A267" s="185"/>
      <c r="B267" s="187"/>
      <c r="C267" s="188"/>
      <c r="D267" s="189"/>
      <c r="E267" s="189"/>
      <c r="F267" s="191"/>
      <c r="G267" s="179"/>
    </row>
    <row r="268" ht="14.25" customHeight="1">
      <c r="A268" s="185"/>
      <c r="B268" s="187"/>
      <c r="C268" s="188"/>
      <c r="D268" s="189"/>
      <c r="E268" s="189"/>
      <c r="F268" s="191"/>
      <c r="G268" s="179"/>
    </row>
    <row r="269" ht="14.25" customHeight="1">
      <c r="A269" s="185"/>
      <c r="B269" s="187"/>
      <c r="C269" s="188"/>
      <c r="D269" s="189"/>
      <c r="E269" s="189"/>
      <c r="F269" s="191"/>
      <c r="G269" s="179"/>
    </row>
    <row r="270" ht="14.25" customHeight="1">
      <c r="A270" s="185"/>
      <c r="B270" s="187"/>
      <c r="C270" s="188"/>
      <c r="D270" s="189"/>
      <c r="E270" s="189"/>
      <c r="F270" s="191"/>
      <c r="G270" s="179"/>
    </row>
    <row r="271" ht="14.25" customHeight="1">
      <c r="A271" s="185"/>
      <c r="B271" s="187"/>
      <c r="C271" s="188"/>
      <c r="D271" s="189"/>
      <c r="E271" s="189"/>
      <c r="F271" s="191"/>
      <c r="G271" s="179"/>
    </row>
    <row r="272" ht="14.25" customHeight="1">
      <c r="A272" s="185"/>
      <c r="B272" s="187"/>
      <c r="C272" s="188"/>
      <c r="D272" s="189"/>
      <c r="E272" s="189"/>
      <c r="F272" s="191"/>
      <c r="G272" s="179"/>
    </row>
    <row r="273" ht="14.25" customHeight="1">
      <c r="A273" s="185"/>
      <c r="B273" s="187"/>
      <c r="C273" s="188"/>
      <c r="D273" s="189"/>
      <c r="E273" s="189"/>
      <c r="F273" s="191"/>
      <c r="G273" s="179"/>
    </row>
    <row r="274" ht="14.25" customHeight="1">
      <c r="A274" s="185"/>
      <c r="B274" s="187"/>
      <c r="C274" s="188"/>
      <c r="D274" s="189"/>
      <c r="E274" s="189"/>
      <c r="F274" s="191"/>
      <c r="G274" s="179"/>
    </row>
    <row r="275" ht="14.25" customHeight="1">
      <c r="A275" s="185"/>
      <c r="B275" s="187"/>
      <c r="C275" s="188"/>
      <c r="D275" s="189"/>
      <c r="E275" s="189"/>
      <c r="F275" s="191"/>
      <c r="G275" s="179"/>
    </row>
    <row r="276" ht="14.25" customHeight="1">
      <c r="A276" s="185"/>
      <c r="B276" s="187"/>
      <c r="C276" s="188"/>
      <c r="D276" s="189"/>
      <c r="E276" s="189"/>
      <c r="F276" s="191"/>
      <c r="G276" s="179"/>
    </row>
    <row r="277" ht="14.25" customHeight="1">
      <c r="A277" s="185"/>
      <c r="B277" s="187"/>
      <c r="C277" s="188"/>
      <c r="D277" s="189"/>
      <c r="E277" s="189"/>
      <c r="F277" s="191"/>
      <c r="G277" s="179"/>
    </row>
    <row r="278" ht="14.25" customHeight="1">
      <c r="A278" s="185"/>
      <c r="B278" s="187"/>
      <c r="C278" s="188"/>
      <c r="D278" s="189"/>
      <c r="E278" s="189"/>
      <c r="F278" s="191"/>
      <c r="G278" s="179"/>
    </row>
    <row r="279" ht="14.25" customHeight="1">
      <c r="A279" s="185"/>
      <c r="B279" s="187"/>
      <c r="C279" s="188"/>
      <c r="D279" s="189"/>
      <c r="E279" s="189"/>
      <c r="F279" s="191"/>
      <c r="G279" s="179"/>
    </row>
    <row r="280" ht="14.25" customHeight="1">
      <c r="A280" s="185"/>
      <c r="B280" s="187"/>
      <c r="C280" s="188"/>
      <c r="D280" s="189"/>
      <c r="E280" s="189"/>
      <c r="F280" s="191"/>
      <c r="G280" s="179"/>
    </row>
    <row r="281" ht="14.25" customHeight="1">
      <c r="A281" s="185"/>
      <c r="B281" s="187"/>
      <c r="C281" s="188"/>
      <c r="D281" s="189"/>
      <c r="E281" s="189"/>
      <c r="F281" s="191"/>
      <c r="G281" s="179"/>
    </row>
    <row r="282" ht="14.25" customHeight="1">
      <c r="A282" s="185"/>
      <c r="B282" s="187"/>
      <c r="C282" s="188"/>
      <c r="D282" s="189"/>
      <c r="E282" s="189"/>
      <c r="F282" s="191"/>
      <c r="G282" s="179"/>
    </row>
    <row r="283" ht="14.25" customHeight="1">
      <c r="A283" s="185"/>
      <c r="B283" s="187"/>
      <c r="C283" s="188"/>
      <c r="D283" s="189"/>
      <c r="E283" s="189"/>
      <c r="F283" s="191"/>
      <c r="G283" s="179"/>
    </row>
    <row r="284" ht="14.25" customHeight="1">
      <c r="A284" s="185"/>
      <c r="B284" s="187"/>
      <c r="C284" s="188"/>
      <c r="D284" s="189"/>
      <c r="E284" s="189"/>
      <c r="F284" s="191"/>
      <c r="G284" s="179"/>
    </row>
    <row r="285" ht="14.25" customHeight="1">
      <c r="A285" s="185"/>
      <c r="B285" s="187"/>
      <c r="C285" s="188"/>
      <c r="D285" s="189"/>
      <c r="E285" s="189"/>
      <c r="F285" s="191"/>
      <c r="G285" s="179"/>
    </row>
    <row r="286" ht="14.25" customHeight="1">
      <c r="A286" s="185"/>
      <c r="B286" s="187"/>
      <c r="C286" s="188"/>
      <c r="D286" s="189"/>
      <c r="E286" s="189"/>
      <c r="F286" s="191"/>
      <c r="G286" s="179"/>
    </row>
    <row r="287" ht="14.25" customHeight="1">
      <c r="A287" s="185"/>
      <c r="B287" s="187"/>
      <c r="C287" s="188"/>
      <c r="D287" s="189"/>
      <c r="E287" s="189"/>
      <c r="F287" s="191"/>
      <c r="G287" s="179"/>
    </row>
    <row r="288" ht="14.25" customHeight="1">
      <c r="A288" s="185"/>
      <c r="B288" s="187"/>
      <c r="C288" s="188"/>
      <c r="D288" s="189"/>
      <c r="E288" s="189"/>
      <c r="F288" s="191"/>
      <c r="G288" s="179"/>
    </row>
    <row r="289" ht="14.25" customHeight="1">
      <c r="A289" s="185"/>
      <c r="B289" s="187"/>
      <c r="C289" s="188"/>
      <c r="D289" s="189"/>
      <c r="E289" s="189"/>
      <c r="F289" s="191"/>
      <c r="G289" s="179"/>
    </row>
    <row r="290" ht="14.25" customHeight="1">
      <c r="A290" s="185"/>
      <c r="B290" s="187"/>
      <c r="C290" s="188"/>
      <c r="D290" s="189"/>
      <c r="E290" s="189"/>
      <c r="F290" s="191"/>
      <c r="G290" s="179"/>
    </row>
    <row r="291" ht="14.25" customHeight="1">
      <c r="A291" s="185"/>
      <c r="B291" s="187"/>
      <c r="C291" s="188"/>
      <c r="D291" s="189"/>
      <c r="E291" s="189"/>
      <c r="F291" s="191"/>
      <c r="G291" s="179"/>
    </row>
    <row r="292" ht="14.25" customHeight="1">
      <c r="A292" s="185"/>
      <c r="B292" s="187"/>
      <c r="C292" s="188"/>
      <c r="D292" s="189"/>
      <c r="E292" s="189"/>
      <c r="F292" s="191"/>
      <c r="G292" s="179"/>
    </row>
    <row r="293" ht="14.25" customHeight="1">
      <c r="A293" s="185"/>
      <c r="B293" s="187"/>
      <c r="C293" s="188"/>
      <c r="D293" s="189"/>
      <c r="E293" s="189"/>
      <c r="F293" s="191"/>
      <c r="G293" s="179"/>
    </row>
    <row r="294" ht="14.25" customHeight="1">
      <c r="A294" s="185"/>
      <c r="B294" s="187"/>
      <c r="C294" s="188"/>
      <c r="D294" s="189"/>
      <c r="E294" s="189"/>
      <c r="F294" s="191"/>
      <c r="G294" s="179"/>
    </row>
    <row r="295" ht="14.25" customHeight="1">
      <c r="A295" s="185"/>
      <c r="B295" s="187"/>
      <c r="C295" s="188"/>
      <c r="D295" s="189"/>
      <c r="E295" s="189"/>
      <c r="F295" s="191"/>
      <c r="G295" s="179"/>
    </row>
    <row r="296" ht="14.25" customHeight="1">
      <c r="A296" s="185"/>
      <c r="B296" s="187"/>
      <c r="C296" s="188"/>
      <c r="D296" s="189"/>
      <c r="E296" s="189"/>
      <c r="F296" s="191"/>
      <c r="G296" s="179"/>
    </row>
    <row r="297" ht="14.25" customHeight="1">
      <c r="A297" s="185"/>
      <c r="B297" s="187"/>
      <c r="C297" s="188"/>
      <c r="D297" s="189"/>
      <c r="E297" s="189"/>
      <c r="F297" s="191"/>
      <c r="G297" s="179"/>
    </row>
    <row r="298" ht="14.25" customHeight="1">
      <c r="A298" s="185"/>
      <c r="B298" s="187"/>
      <c r="C298" s="188"/>
      <c r="D298" s="189"/>
      <c r="E298" s="189"/>
      <c r="F298" s="191"/>
      <c r="G298" s="179"/>
    </row>
    <row r="299" ht="14.25" customHeight="1">
      <c r="A299" s="185"/>
      <c r="B299" s="187"/>
      <c r="C299" s="188"/>
      <c r="D299" s="189"/>
      <c r="E299" s="189"/>
      <c r="F299" s="191"/>
      <c r="G299" s="179"/>
    </row>
    <row r="300" ht="14.25" customHeight="1">
      <c r="A300" s="185"/>
      <c r="B300" s="187"/>
      <c r="C300" s="188"/>
      <c r="D300" s="189"/>
      <c r="E300" s="189"/>
      <c r="F300" s="191"/>
      <c r="G300" s="179"/>
    </row>
    <row r="301" ht="14.25" customHeight="1">
      <c r="A301" s="185"/>
      <c r="B301" s="187"/>
      <c r="C301" s="188"/>
      <c r="D301" s="189"/>
      <c r="E301" s="189"/>
      <c r="F301" s="191"/>
      <c r="G301" s="179"/>
    </row>
    <row r="302" ht="14.25" customHeight="1">
      <c r="A302" s="185"/>
      <c r="B302" s="187"/>
      <c r="C302" s="188"/>
      <c r="D302" s="189"/>
      <c r="E302" s="189"/>
      <c r="F302" s="191"/>
      <c r="G302" s="179"/>
    </row>
    <row r="303" ht="14.25" customHeight="1">
      <c r="A303" s="185"/>
      <c r="B303" s="187"/>
      <c r="C303" s="188"/>
      <c r="D303" s="189"/>
      <c r="E303" s="189"/>
      <c r="F303" s="191"/>
      <c r="G303" s="179"/>
    </row>
    <row r="304" ht="14.25" customHeight="1">
      <c r="A304" s="185"/>
      <c r="B304" s="187"/>
      <c r="C304" s="188"/>
      <c r="D304" s="189"/>
      <c r="E304" s="189"/>
      <c r="F304" s="191"/>
      <c r="G304" s="179"/>
    </row>
    <row r="305" ht="14.25" customHeight="1">
      <c r="A305" s="185"/>
      <c r="B305" s="187"/>
      <c r="C305" s="188"/>
      <c r="D305" s="189"/>
      <c r="E305" s="189"/>
      <c r="F305" s="191"/>
      <c r="G305" s="179"/>
    </row>
    <row r="306" ht="14.25" customHeight="1">
      <c r="A306" s="185"/>
      <c r="B306" s="187"/>
      <c r="C306" s="188"/>
      <c r="D306" s="189"/>
      <c r="E306" s="189"/>
      <c r="F306" s="191"/>
      <c r="G306" s="179"/>
    </row>
    <row r="307" ht="14.25" customHeight="1">
      <c r="A307" s="185"/>
      <c r="B307" s="187"/>
      <c r="C307" s="188"/>
      <c r="D307" s="189"/>
      <c r="E307" s="189"/>
      <c r="F307" s="191"/>
      <c r="G307" s="179"/>
    </row>
    <row r="308" ht="14.25" customHeight="1">
      <c r="A308" s="185"/>
      <c r="B308" s="187"/>
      <c r="C308" s="188"/>
      <c r="D308" s="189"/>
      <c r="E308" s="189"/>
      <c r="F308" s="191"/>
      <c r="G308" s="179"/>
    </row>
    <row r="309" ht="14.25" customHeight="1">
      <c r="A309" s="185"/>
      <c r="B309" s="187"/>
      <c r="C309" s="188"/>
      <c r="D309" s="189"/>
      <c r="E309" s="189"/>
      <c r="F309" s="191"/>
      <c r="G309" s="179"/>
    </row>
    <row r="310" ht="14.25" customHeight="1">
      <c r="A310" s="185"/>
      <c r="B310" s="187"/>
      <c r="C310" s="188"/>
      <c r="D310" s="189"/>
      <c r="E310" s="189"/>
      <c r="F310" s="191"/>
      <c r="G310" s="179"/>
    </row>
    <row r="311" ht="14.25" customHeight="1">
      <c r="A311" s="185"/>
      <c r="B311" s="187"/>
      <c r="C311" s="188"/>
      <c r="D311" s="189"/>
      <c r="E311" s="189"/>
      <c r="F311" s="191"/>
      <c r="G311" s="179"/>
    </row>
    <row r="312" ht="14.25" customHeight="1">
      <c r="A312" s="185"/>
      <c r="B312" s="187"/>
      <c r="C312" s="188"/>
      <c r="D312" s="189"/>
      <c r="E312" s="189"/>
      <c r="F312" s="191"/>
      <c r="G312" s="179"/>
    </row>
    <row r="313" ht="14.25" customHeight="1">
      <c r="A313" s="185"/>
      <c r="B313" s="187"/>
      <c r="C313" s="188"/>
      <c r="D313" s="189"/>
      <c r="E313" s="189"/>
      <c r="F313" s="191"/>
      <c r="G313" s="179"/>
    </row>
    <row r="314" ht="14.25" customHeight="1">
      <c r="A314" s="185"/>
      <c r="B314" s="187"/>
      <c r="C314" s="188"/>
      <c r="D314" s="189"/>
      <c r="E314" s="189"/>
      <c r="F314" s="191"/>
      <c r="G314" s="179"/>
    </row>
    <row r="315" ht="14.25" customHeight="1">
      <c r="A315" s="185"/>
      <c r="B315" s="187"/>
      <c r="C315" s="188"/>
      <c r="D315" s="189"/>
      <c r="E315" s="189"/>
      <c r="F315" s="191"/>
      <c r="G315" s="179"/>
    </row>
    <row r="316" ht="14.25" customHeight="1">
      <c r="A316" s="185"/>
      <c r="B316" s="187"/>
      <c r="C316" s="188"/>
      <c r="D316" s="189"/>
      <c r="E316" s="189"/>
      <c r="F316" s="191"/>
      <c r="G316" s="179"/>
    </row>
    <row r="317" ht="14.25" customHeight="1">
      <c r="A317" s="185"/>
      <c r="B317" s="187"/>
      <c r="C317" s="188"/>
      <c r="D317" s="189"/>
      <c r="E317" s="189"/>
      <c r="F317" s="191"/>
      <c r="G317" s="179"/>
    </row>
    <row r="318" ht="14.25" customHeight="1">
      <c r="A318" s="185"/>
      <c r="B318" s="187"/>
      <c r="C318" s="188"/>
      <c r="D318" s="189"/>
      <c r="E318" s="189"/>
      <c r="F318" s="191"/>
      <c r="G318" s="179"/>
    </row>
    <row r="319" ht="14.25" customHeight="1">
      <c r="A319" s="185"/>
      <c r="B319" s="187"/>
      <c r="C319" s="188"/>
      <c r="D319" s="189"/>
      <c r="E319" s="189"/>
      <c r="F319" s="191"/>
      <c r="G319" s="179"/>
    </row>
    <row r="320" ht="14.25" customHeight="1">
      <c r="A320" s="185"/>
      <c r="B320" s="187"/>
      <c r="C320" s="188"/>
      <c r="D320" s="189"/>
      <c r="E320" s="189"/>
      <c r="F320" s="191"/>
      <c r="G320" s="179"/>
    </row>
    <row r="321" ht="14.25" customHeight="1">
      <c r="A321" s="185"/>
      <c r="B321" s="187"/>
      <c r="C321" s="188"/>
      <c r="D321" s="189"/>
      <c r="E321" s="189"/>
      <c r="F321" s="191"/>
      <c r="G321" s="179"/>
    </row>
    <row r="322" ht="14.25" customHeight="1">
      <c r="A322" s="185"/>
      <c r="B322" s="187"/>
      <c r="C322" s="188"/>
      <c r="D322" s="189"/>
      <c r="E322" s="189"/>
      <c r="F322" s="191"/>
      <c r="G322" s="179"/>
    </row>
    <row r="323" ht="14.25" customHeight="1">
      <c r="A323" s="185"/>
      <c r="B323" s="187"/>
      <c r="C323" s="188"/>
      <c r="D323" s="189"/>
      <c r="E323" s="189"/>
      <c r="F323" s="191"/>
      <c r="G323" s="179"/>
    </row>
    <row r="324" ht="14.25" customHeight="1">
      <c r="A324" s="185"/>
      <c r="B324" s="187"/>
      <c r="C324" s="188"/>
      <c r="D324" s="189"/>
      <c r="E324" s="189"/>
      <c r="F324" s="191"/>
      <c r="G324" s="179"/>
    </row>
    <row r="325" ht="14.25" customHeight="1">
      <c r="A325" s="185"/>
      <c r="B325" s="187"/>
      <c r="C325" s="188"/>
      <c r="D325" s="189"/>
      <c r="E325" s="189"/>
      <c r="F325" s="191"/>
      <c r="G325" s="179"/>
    </row>
    <row r="326" ht="14.25" customHeight="1">
      <c r="A326" s="185"/>
      <c r="B326" s="187"/>
      <c r="C326" s="188"/>
      <c r="D326" s="189"/>
      <c r="E326" s="189"/>
      <c r="F326" s="191"/>
      <c r="G326" s="179"/>
    </row>
    <row r="327" ht="14.25" customHeight="1">
      <c r="A327" s="185"/>
      <c r="B327" s="187"/>
      <c r="C327" s="188"/>
      <c r="D327" s="189"/>
      <c r="E327" s="189"/>
      <c r="F327" s="191"/>
      <c r="G327" s="179"/>
    </row>
    <row r="328" ht="14.25" customHeight="1">
      <c r="A328" s="185"/>
      <c r="B328" s="187"/>
      <c r="C328" s="188"/>
      <c r="D328" s="189"/>
      <c r="E328" s="189"/>
      <c r="F328" s="191"/>
      <c r="G328" s="179"/>
    </row>
    <row r="329" ht="14.25" customHeight="1">
      <c r="A329" s="185"/>
      <c r="B329" s="187"/>
      <c r="C329" s="188"/>
      <c r="D329" s="189"/>
      <c r="E329" s="189"/>
      <c r="F329" s="191"/>
      <c r="G329" s="179"/>
    </row>
    <row r="330" ht="14.25" customHeight="1">
      <c r="A330" s="185"/>
      <c r="B330" s="187"/>
      <c r="C330" s="188"/>
      <c r="D330" s="189"/>
      <c r="E330" s="189"/>
      <c r="F330" s="191"/>
      <c r="G330" s="179"/>
    </row>
    <row r="331" ht="14.25" customHeight="1">
      <c r="A331" s="185"/>
      <c r="B331" s="187"/>
      <c r="C331" s="188"/>
      <c r="D331" s="189"/>
      <c r="E331" s="189"/>
      <c r="F331" s="191"/>
      <c r="G331" s="179"/>
    </row>
    <row r="332" ht="14.25" customHeight="1">
      <c r="A332" s="185"/>
      <c r="B332" s="187"/>
      <c r="C332" s="188"/>
      <c r="D332" s="189"/>
      <c r="E332" s="189"/>
      <c r="F332" s="191"/>
      <c r="G332" s="179"/>
    </row>
    <row r="333" ht="14.25" customHeight="1">
      <c r="A333" s="185"/>
      <c r="B333" s="187"/>
      <c r="C333" s="188"/>
      <c r="D333" s="189"/>
      <c r="E333" s="189"/>
      <c r="F333" s="191"/>
      <c r="G333" s="179"/>
    </row>
    <row r="334" ht="14.25" customHeight="1">
      <c r="A334" s="185"/>
      <c r="B334" s="187"/>
      <c r="C334" s="188"/>
      <c r="D334" s="189"/>
      <c r="E334" s="189"/>
      <c r="F334" s="191"/>
      <c r="G334" s="179"/>
    </row>
    <row r="335" ht="14.25" customHeight="1">
      <c r="A335" s="185"/>
      <c r="B335" s="187"/>
      <c r="C335" s="188"/>
      <c r="D335" s="189"/>
      <c r="E335" s="189"/>
      <c r="F335" s="191"/>
      <c r="G335" s="179"/>
    </row>
    <row r="336" ht="14.25" customHeight="1">
      <c r="A336" s="185"/>
      <c r="B336" s="187"/>
      <c r="C336" s="188"/>
      <c r="D336" s="189"/>
      <c r="E336" s="189"/>
      <c r="F336" s="191"/>
      <c r="G336" s="179"/>
    </row>
    <row r="337" ht="14.25" customHeight="1">
      <c r="A337" s="185"/>
      <c r="B337" s="187"/>
      <c r="C337" s="188"/>
      <c r="D337" s="189"/>
      <c r="E337" s="189"/>
      <c r="F337" s="191"/>
      <c r="G337" s="179"/>
    </row>
    <row r="338" ht="14.25" customHeight="1">
      <c r="A338" s="185"/>
      <c r="B338" s="187"/>
      <c r="C338" s="188"/>
      <c r="D338" s="189"/>
      <c r="E338" s="189"/>
      <c r="F338" s="191"/>
      <c r="G338" s="179"/>
    </row>
    <row r="339" ht="14.25" customHeight="1">
      <c r="A339" s="185"/>
      <c r="B339" s="187"/>
      <c r="C339" s="188"/>
      <c r="D339" s="189"/>
      <c r="E339" s="189"/>
      <c r="F339" s="191"/>
      <c r="G339" s="179"/>
    </row>
    <row r="340" ht="14.25" customHeight="1">
      <c r="A340" s="185"/>
      <c r="B340" s="187"/>
      <c r="C340" s="188"/>
      <c r="D340" s="189"/>
      <c r="E340" s="189"/>
      <c r="F340" s="191"/>
      <c r="G340" s="179"/>
    </row>
    <row r="341" ht="14.25" customHeight="1">
      <c r="A341" s="185"/>
      <c r="B341" s="187"/>
      <c r="C341" s="188"/>
      <c r="D341" s="189"/>
      <c r="E341" s="189"/>
      <c r="F341" s="191"/>
      <c r="G341" s="179"/>
    </row>
    <row r="342" ht="14.25" customHeight="1">
      <c r="A342" s="185"/>
      <c r="B342" s="187"/>
      <c r="C342" s="188"/>
      <c r="D342" s="189"/>
      <c r="E342" s="189"/>
      <c r="F342" s="191"/>
      <c r="G342" s="179"/>
    </row>
    <row r="343" ht="14.25" customHeight="1">
      <c r="A343" s="185"/>
      <c r="B343" s="187"/>
      <c r="C343" s="188"/>
      <c r="D343" s="189"/>
      <c r="E343" s="189"/>
      <c r="F343" s="191"/>
      <c r="G343" s="179"/>
    </row>
    <row r="344" ht="14.25" customHeight="1">
      <c r="A344" s="185"/>
      <c r="B344" s="187"/>
      <c r="C344" s="188"/>
      <c r="D344" s="189"/>
      <c r="E344" s="189"/>
      <c r="F344" s="191"/>
      <c r="G344" s="179"/>
    </row>
    <row r="345" ht="14.25" customHeight="1">
      <c r="A345" s="185"/>
      <c r="B345" s="187"/>
      <c r="C345" s="188"/>
      <c r="D345" s="189"/>
      <c r="E345" s="189"/>
      <c r="F345" s="191"/>
      <c r="G345" s="179"/>
    </row>
    <row r="346" ht="14.25" customHeight="1">
      <c r="A346" s="185"/>
      <c r="B346" s="187"/>
      <c r="C346" s="188"/>
      <c r="D346" s="189"/>
      <c r="E346" s="189"/>
      <c r="F346" s="191"/>
      <c r="G346" s="179"/>
    </row>
    <row r="347" ht="14.25" customHeight="1">
      <c r="A347" s="185"/>
      <c r="B347" s="187"/>
      <c r="C347" s="188"/>
      <c r="D347" s="189"/>
      <c r="E347" s="189"/>
      <c r="F347" s="191"/>
      <c r="G347" s="179"/>
    </row>
    <row r="348" ht="14.25" customHeight="1">
      <c r="A348" s="185"/>
      <c r="B348" s="187"/>
      <c r="C348" s="188"/>
      <c r="D348" s="189"/>
      <c r="E348" s="189"/>
      <c r="F348" s="191"/>
      <c r="G348" s="179"/>
    </row>
    <row r="349" ht="14.25" customHeight="1">
      <c r="A349" s="185"/>
      <c r="B349" s="187"/>
      <c r="C349" s="188"/>
      <c r="D349" s="189"/>
      <c r="E349" s="189"/>
      <c r="F349" s="191"/>
      <c r="G349" s="179"/>
    </row>
    <row r="350" ht="14.25" customHeight="1">
      <c r="A350" s="185"/>
      <c r="B350" s="187"/>
      <c r="C350" s="188"/>
      <c r="D350" s="189"/>
      <c r="E350" s="189"/>
      <c r="F350" s="191"/>
      <c r="G350" s="179"/>
    </row>
    <row r="351" ht="14.25" customHeight="1">
      <c r="A351" s="185"/>
      <c r="B351" s="187"/>
      <c r="C351" s="188"/>
      <c r="D351" s="189"/>
      <c r="E351" s="189"/>
      <c r="F351" s="191"/>
      <c r="G351" s="179"/>
    </row>
    <row r="352" ht="14.25" customHeight="1">
      <c r="A352" s="185"/>
      <c r="B352" s="187"/>
      <c r="C352" s="188"/>
      <c r="D352" s="189"/>
      <c r="E352" s="189"/>
      <c r="F352" s="191"/>
      <c r="G352" s="179"/>
    </row>
    <row r="353" ht="14.25" customHeight="1">
      <c r="A353" s="185"/>
      <c r="B353" s="187"/>
      <c r="C353" s="188"/>
      <c r="D353" s="189"/>
      <c r="E353" s="189"/>
      <c r="F353" s="191"/>
      <c r="G353" s="179"/>
    </row>
    <row r="354" ht="14.25" customHeight="1">
      <c r="A354" s="185"/>
      <c r="B354" s="187"/>
      <c r="C354" s="188"/>
      <c r="D354" s="189"/>
      <c r="E354" s="189"/>
      <c r="F354" s="191"/>
      <c r="G354" s="179"/>
    </row>
    <row r="355" ht="14.25" customHeight="1">
      <c r="A355" s="185"/>
      <c r="B355" s="187"/>
      <c r="C355" s="188"/>
      <c r="D355" s="189"/>
      <c r="E355" s="189"/>
      <c r="F355" s="191"/>
      <c r="G355" s="179"/>
    </row>
    <row r="356" ht="14.25" customHeight="1">
      <c r="A356" s="185"/>
      <c r="B356" s="187"/>
      <c r="C356" s="188"/>
      <c r="D356" s="189"/>
      <c r="E356" s="189"/>
      <c r="F356" s="191"/>
      <c r="G356" s="179"/>
    </row>
    <row r="357" ht="14.25" customHeight="1">
      <c r="A357" s="185"/>
      <c r="B357" s="187"/>
      <c r="C357" s="188"/>
      <c r="D357" s="189"/>
      <c r="E357" s="189"/>
      <c r="F357" s="191"/>
      <c r="G357" s="179"/>
    </row>
    <row r="358" ht="14.25" customHeight="1">
      <c r="A358" s="185"/>
      <c r="B358" s="187"/>
      <c r="C358" s="188"/>
      <c r="D358" s="189"/>
      <c r="E358" s="189"/>
      <c r="F358" s="191"/>
      <c r="G358" s="179"/>
    </row>
    <row r="359" ht="14.25" customHeight="1">
      <c r="A359" s="185"/>
      <c r="B359" s="187"/>
      <c r="C359" s="188"/>
      <c r="D359" s="189"/>
      <c r="E359" s="189"/>
      <c r="F359" s="191"/>
      <c r="G359" s="179"/>
    </row>
    <row r="360" ht="14.25" customHeight="1">
      <c r="A360" s="185"/>
      <c r="B360" s="187"/>
      <c r="C360" s="188"/>
      <c r="D360" s="189"/>
      <c r="E360" s="189"/>
      <c r="F360" s="191"/>
      <c r="G360" s="179"/>
    </row>
    <row r="361" ht="14.25" customHeight="1">
      <c r="A361" s="185"/>
      <c r="B361" s="187"/>
      <c r="C361" s="188"/>
      <c r="D361" s="189"/>
      <c r="E361" s="189"/>
      <c r="F361" s="191"/>
      <c r="G361" s="179"/>
    </row>
    <row r="362" ht="14.25" customHeight="1">
      <c r="A362" s="185"/>
      <c r="B362" s="187"/>
      <c r="C362" s="188"/>
      <c r="D362" s="189"/>
      <c r="E362" s="189"/>
      <c r="F362" s="191"/>
      <c r="G362" s="179"/>
    </row>
    <row r="363" ht="14.25" customHeight="1">
      <c r="A363" s="185"/>
      <c r="B363" s="187"/>
      <c r="C363" s="188"/>
      <c r="D363" s="189"/>
      <c r="E363" s="189"/>
      <c r="F363" s="191"/>
      <c r="G363" s="179"/>
    </row>
    <row r="364" ht="14.25" customHeight="1">
      <c r="A364" s="185"/>
      <c r="B364" s="187"/>
      <c r="C364" s="188"/>
      <c r="D364" s="189"/>
      <c r="E364" s="189"/>
      <c r="F364" s="191"/>
      <c r="G364" s="179"/>
    </row>
    <row r="365" ht="14.25" customHeight="1">
      <c r="A365" s="185"/>
      <c r="B365" s="187"/>
      <c r="C365" s="188"/>
      <c r="D365" s="189"/>
      <c r="E365" s="189"/>
      <c r="F365" s="191"/>
      <c r="G365" s="179"/>
    </row>
    <row r="366" ht="14.25" customHeight="1">
      <c r="A366" s="185"/>
      <c r="B366" s="187"/>
      <c r="C366" s="188"/>
      <c r="D366" s="189"/>
      <c r="E366" s="189"/>
      <c r="F366" s="191"/>
      <c r="G366" s="179"/>
    </row>
    <row r="367" ht="14.25" customHeight="1">
      <c r="A367" s="185"/>
      <c r="B367" s="187"/>
      <c r="C367" s="188"/>
      <c r="D367" s="189"/>
      <c r="E367" s="189"/>
      <c r="F367" s="191"/>
      <c r="G367" s="179"/>
    </row>
    <row r="368" ht="14.25" customHeight="1">
      <c r="A368" s="185"/>
      <c r="B368" s="187"/>
      <c r="C368" s="188"/>
      <c r="D368" s="189"/>
      <c r="E368" s="189"/>
      <c r="F368" s="191"/>
      <c r="G368" s="179"/>
    </row>
    <row r="369" ht="14.25" customHeight="1">
      <c r="A369" s="185"/>
      <c r="B369" s="187"/>
      <c r="C369" s="188"/>
      <c r="D369" s="189"/>
      <c r="E369" s="189"/>
      <c r="F369" s="191"/>
      <c r="G369" s="179"/>
    </row>
    <row r="370" ht="14.25" customHeight="1">
      <c r="A370" s="185"/>
      <c r="B370" s="187"/>
      <c r="C370" s="188"/>
      <c r="D370" s="189"/>
      <c r="E370" s="189"/>
      <c r="F370" s="191"/>
      <c r="G370" s="179"/>
    </row>
    <row r="371" ht="14.25" customHeight="1">
      <c r="A371" s="185"/>
      <c r="B371" s="187"/>
      <c r="C371" s="188"/>
      <c r="D371" s="189"/>
      <c r="E371" s="189"/>
      <c r="F371" s="191"/>
      <c r="G371" s="179"/>
    </row>
    <row r="372" ht="14.25" customHeight="1">
      <c r="A372" s="185"/>
      <c r="B372" s="187"/>
      <c r="C372" s="188"/>
      <c r="D372" s="189"/>
      <c r="E372" s="189"/>
      <c r="F372" s="191"/>
      <c r="G372" s="179"/>
    </row>
    <row r="373" ht="14.25" customHeight="1">
      <c r="A373" s="185"/>
      <c r="B373" s="187"/>
      <c r="C373" s="188"/>
      <c r="D373" s="189"/>
      <c r="E373" s="189"/>
      <c r="F373" s="191"/>
      <c r="G373" s="179"/>
    </row>
    <row r="374" ht="14.25" customHeight="1">
      <c r="A374" s="185"/>
      <c r="B374" s="187"/>
      <c r="C374" s="188"/>
      <c r="D374" s="189"/>
      <c r="E374" s="189"/>
      <c r="F374" s="191"/>
      <c r="G374" s="179"/>
    </row>
    <row r="375" ht="14.25" customHeight="1">
      <c r="A375" s="185"/>
      <c r="B375" s="187"/>
      <c r="C375" s="188"/>
      <c r="D375" s="189"/>
      <c r="E375" s="189"/>
      <c r="F375" s="191"/>
      <c r="G375" s="179"/>
    </row>
    <row r="376" ht="14.25" customHeight="1">
      <c r="A376" s="185"/>
      <c r="B376" s="187"/>
      <c r="C376" s="188"/>
      <c r="D376" s="189"/>
      <c r="E376" s="189"/>
      <c r="F376" s="191"/>
      <c r="G376" s="179"/>
    </row>
    <row r="377" ht="14.25" customHeight="1">
      <c r="A377" s="185"/>
      <c r="B377" s="187"/>
      <c r="C377" s="188"/>
      <c r="D377" s="189"/>
      <c r="E377" s="189"/>
      <c r="F377" s="191"/>
      <c r="G377" s="179"/>
    </row>
    <row r="378" ht="14.25" customHeight="1">
      <c r="A378" s="185"/>
      <c r="B378" s="187"/>
      <c r="C378" s="188"/>
      <c r="D378" s="189"/>
      <c r="E378" s="189"/>
      <c r="F378" s="191"/>
      <c r="G378" s="179"/>
    </row>
    <row r="379" ht="14.25" customHeight="1">
      <c r="A379" s="185"/>
      <c r="B379" s="187"/>
      <c r="C379" s="188"/>
      <c r="D379" s="189"/>
      <c r="E379" s="189"/>
      <c r="F379" s="191"/>
      <c r="G379" s="179"/>
    </row>
    <row r="380" ht="14.25" customHeight="1">
      <c r="A380" s="185"/>
      <c r="B380" s="187"/>
      <c r="C380" s="188"/>
      <c r="D380" s="189"/>
      <c r="E380" s="189"/>
      <c r="F380" s="191"/>
      <c r="G380" s="179"/>
    </row>
    <row r="381" ht="14.25" customHeight="1">
      <c r="A381" s="185"/>
      <c r="B381" s="187"/>
      <c r="C381" s="188"/>
      <c r="D381" s="189"/>
      <c r="E381" s="189"/>
      <c r="F381" s="191"/>
      <c r="G381" s="179"/>
    </row>
    <row r="382" ht="14.25" customHeight="1">
      <c r="A382" s="185"/>
      <c r="B382" s="187"/>
      <c r="C382" s="188"/>
      <c r="D382" s="189"/>
      <c r="E382" s="189"/>
      <c r="F382" s="191"/>
      <c r="G382" s="179"/>
    </row>
    <row r="383" ht="14.25" customHeight="1">
      <c r="A383" s="185"/>
      <c r="B383" s="187"/>
      <c r="C383" s="188"/>
      <c r="D383" s="189"/>
      <c r="E383" s="189"/>
      <c r="F383" s="191"/>
      <c r="G383" s="179"/>
    </row>
    <row r="384" ht="14.25" customHeight="1">
      <c r="A384" s="185"/>
      <c r="B384" s="187"/>
      <c r="C384" s="188"/>
      <c r="D384" s="189"/>
      <c r="E384" s="189"/>
      <c r="F384" s="191"/>
      <c r="G384" s="179"/>
    </row>
    <row r="385" ht="14.25" customHeight="1">
      <c r="A385" s="185"/>
      <c r="B385" s="187"/>
      <c r="C385" s="188"/>
      <c r="D385" s="189"/>
      <c r="E385" s="189"/>
      <c r="F385" s="191"/>
      <c r="G385" s="179"/>
    </row>
    <row r="386" ht="14.25" customHeight="1">
      <c r="A386" s="185"/>
      <c r="B386" s="187"/>
      <c r="C386" s="188"/>
      <c r="D386" s="189"/>
      <c r="E386" s="189"/>
      <c r="F386" s="191"/>
      <c r="G386" s="179"/>
    </row>
    <row r="387" ht="14.25" customHeight="1">
      <c r="A387" s="185"/>
      <c r="B387" s="187"/>
      <c r="C387" s="188"/>
      <c r="D387" s="189"/>
      <c r="E387" s="189"/>
      <c r="F387" s="191"/>
      <c r="G387" s="179"/>
    </row>
    <row r="388" ht="14.25" customHeight="1">
      <c r="A388" s="185"/>
      <c r="B388" s="187"/>
      <c r="C388" s="188"/>
      <c r="D388" s="189"/>
      <c r="E388" s="189"/>
      <c r="F388" s="191"/>
      <c r="G388" s="179"/>
    </row>
    <row r="389" ht="14.25" customHeight="1">
      <c r="A389" s="185"/>
      <c r="B389" s="187"/>
      <c r="C389" s="188"/>
      <c r="D389" s="189"/>
      <c r="E389" s="189"/>
      <c r="F389" s="191"/>
      <c r="G389" s="179"/>
    </row>
    <row r="390" ht="14.25" customHeight="1">
      <c r="A390" s="185"/>
      <c r="B390" s="187"/>
      <c r="C390" s="188"/>
      <c r="D390" s="189"/>
      <c r="E390" s="189"/>
      <c r="F390" s="191"/>
      <c r="G390" s="179"/>
    </row>
    <row r="391" ht="14.25" customHeight="1">
      <c r="A391" s="185"/>
      <c r="B391" s="187"/>
      <c r="C391" s="188"/>
      <c r="D391" s="189"/>
      <c r="E391" s="189"/>
      <c r="F391" s="191"/>
      <c r="G391" s="179"/>
    </row>
    <row r="392" ht="14.25" customHeight="1">
      <c r="A392" s="185"/>
      <c r="B392" s="187"/>
      <c r="C392" s="188"/>
      <c r="D392" s="189"/>
      <c r="E392" s="189"/>
      <c r="F392" s="191"/>
      <c r="G392" s="179"/>
    </row>
    <row r="393" ht="14.25" customHeight="1">
      <c r="A393" s="185"/>
      <c r="B393" s="187"/>
      <c r="C393" s="188"/>
      <c r="D393" s="189"/>
      <c r="E393" s="189"/>
      <c r="F393" s="191"/>
      <c r="G393" s="179"/>
    </row>
    <row r="394" ht="14.25" customHeight="1">
      <c r="A394" s="185"/>
      <c r="B394" s="187"/>
      <c r="C394" s="188"/>
      <c r="D394" s="189"/>
      <c r="E394" s="189"/>
      <c r="F394" s="191"/>
      <c r="G394" s="179"/>
    </row>
    <row r="395" ht="14.25" customHeight="1">
      <c r="A395" s="185"/>
      <c r="B395" s="187"/>
      <c r="C395" s="188"/>
      <c r="D395" s="189"/>
      <c r="E395" s="189"/>
      <c r="F395" s="191"/>
      <c r="G395" s="179"/>
    </row>
    <row r="396" ht="14.25" customHeight="1">
      <c r="A396" s="185"/>
      <c r="B396" s="187"/>
      <c r="C396" s="188"/>
      <c r="D396" s="189"/>
      <c r="E396" s="189"/>
      <c r="F396" s="191"/>
      <c r="G396" s="179"/>
    </row>
    <row r="397" ht="14.25" customHeight="1">
      <c r="A397" s="185"/>
      <c r="B397" s="187"/>
      <c r="C397" s="188"/>
      <c r="D397" s="189"/>
      <c r="E397" s="189"/>
      <c r="F397" s="191"/>
      <c r="G397" s="179"/>
    </row>
    <row r="398" ht="14.25" customHeight="1">
      <c r="A398" s="185"/>
      <c r="B398" s="187"/>
      <c r="C398" s="188"/>
      <c r="D398" s="189"/>
      <c r="E398" s="189"/>
      <c r="F398" s="191"/>
      <c r="G398" s="179"/>
    </row>
    <row r="399" ht="14.25" customHeight="1">
      <c r="A399" s="185"/>
      <c r="B399" s="187"/>
      <c r="C399" s="188"/>
      <c r="D399" s="189"/>
      <c r="E399" s="189"/>
      <c r="F399" s="191"/>
      <c r="G399" s="179"/>
    </row>
    <row r="400" ht="14.25" customHeight="1">
      <c r="A400" s="185"/>
      <c r="B400" s="187"/>
      <c r="C400" s="188"/>
      <c r="D400" s="189"/>
      <c r="E400" s="189"/>
      <c r="F400" s="191"/>
      <c r="G400" s="179"/>
    </row>
    <row r="401" ht="14.25" customHeight="1">
      <c r="A401" s="185"/>
      <c r="B401" s="187"/>
      <c r="C401" s="188"/>
      <c r="D401" s="189"/>
      <c r="E401" s="189"/>
      <c r="F401" s="191"/>
      <c r="G401" s="179"/>
    </row>
    <row r="402" ht="14.25" customHeight="1">
      <c r="A402" s="185"/>
      <c r="B402" s="187"/>
      <c r="C402" s="188"/>
      <c r="D402" s="189"/>
      <c r="E402" s="189"/>
      <c r="F402" s="191"/>
      <c r="G402" s="179"/>
    </row>
    <row r="403" ht="14.25" customHeight="1">
      <c r="A403" s="185"/>
      <c r="B403" s="187"/>
      <c r="C403" s="188"/>
      <c r="D403" s="189"/>
      <c r="E403" s="189"/>
      <c r="F403" s="191"/>
      <c r="G403" s="179"/>
    </row>
    <row r="404" ht="14.25" customHeight="1">
      <c r="A404" s="185"/>
      <c r="B404" s="187"/>
      <c r="C404" s="188"/>
      <c r="D404" s="189"/>
      <c r="E404" s="189"/>
      <c r="F404" s="191"/>
      <c r="G404" s="179"/>
    </row>
    <row r="405" ht="14.25" customHeight="1">
      <c r="A405" s="185"/>
      <c r="B405" s="187"/>
      <c r="C405" s="188"/>
      <c r="D405" s="189"/>
      <c r="E405" s="189"/>
      <c r="F405" s="191"/>
      <c r="G405" s="179"/>
    </row>
    <row r="406" ht="14.25" customHeight="1">
      <c r="A406" s="185"/>
      <c r="B406" s="187"/>
      <c r="C406" s="188"/>
      <c r="D406" s="189"/>
      <c r="E406" s="189"/>
      <c r="F406" s="191"/>
      <c r="G406" s="179"/>
    </row>
    <row r="407" ht="14.25" customHeight="1">
      <c r="A407" s="185"/>
      <c r="B407" s="187"/>
      <c r="C407" s="188"/>
      <c r="D407" s="189"/>
      <c r="E407" s="189"/>
      <c r="F407" s="191"/>
      <c r="G407" s="179"/>
    </row>
    <row r="408" ht="14.25" customHeight="1">
      <c r="A408" s="185"/>
      <c r="B408" s="187"/>
      <c r="C408" s="188"/>
      <c r="D408" s="189"/>
      <c r="E408" s="189"/>
      <c r="F408" s="191"/>
      <c r="G408" s="179"/>
    </row>
    <row r="409" ht="14.25" customHeight="1">
      <c r="A409" s="185"/>
      <c r="B409" s="187"/>
      <c r="C409" s="188"/>
      <c r="D409" s="189"/>
      <c r="E409" s="189"/>
      <c r="F409" s="191"/>
      <c r="G409" s="179"/>
    </row>
    <row r="410" ht="14.25" customHeight="1">
      <c r="A410" s="185"/>
      <c r="B410" s="187"/>
      <c r="C410" s="188"/>
      <c r="D410" s="189"/>
      <c r="E410" s="189"/>
      <c r="F410" s="191"/>
      <c r="G410" s="179"/>
    </row>
    <row r="411" ht="14.25" customHeight="1">
      <c r="A411" s="185"/>
      <c r="B411" s="187"/>
      <c r="C411" s="188"/>
      <c r="D411" s="189"/>
      <c r="E411" s="189"/>
      <c r="F411" s="191"/>
      <c r="G411" s="179"/>
    </row>
    <row r="412" ht="14.25" customHeight="1">
      <c r="A412" s="185"/>
      <c r="B412" s="187"/>
      <c r="C412" s="188"/>
      <c r="D412" s="189"/>
      <c r="E412" s="189"/>
      <c r="F412" s="191"/>
      <c r="G412" s="179"/>
    </row>
    <row r="413" ht="14.25" customHeight="1">
      <c r="A413" s="185"/>
      <c r="B413" s="187"/>
      <c r="C413" s="188"/>
      <c r="D413" s="189"/>
      <c r="E413" s="189"/>
      <c r="F413" s="191"/>
      <c r="G413" s="179"/>
    </row>
    <row r="414" ht="14.25" customHeight="1">
      <c r="A414" s="185"/>
      <c r="B414" s="187"/>
      <c r="C414" s="188"/>
      <c r="D414" s="189"/>
      <c r="E414" s="189"/>
      <c r="F414" s="191"/>
      <c r="G414" s="179"/>
    </row>
    <row r="415" ht="14.25" customHeight="1">
      <c r="A415" s="185"/>
      <c r="B415" s="187"/>
      <c r="C415" s="188"/>
      <c r="D415" s="189"/>
      <c r="E415" s="189"/>
      <c r="F415" s="191"/>
      <c r="G415" s="179"/>
    </row>
    <row r="416" ht="14.25" customHeight="1">
      <c r="A416" s="185"/>
      <c r="B416" s="187"/>
      <c r="C416" s="188"/>
      <c r="D416" s="189"/>
      <c r="E416" s="189"/>
      <c r="F416" s="191"/>
      <c r="G416" s="179"/>
    </row>
    <row r="417" ht="14.25" customHeight="1">
      <c r="A417" s="185"/>
      <c r="B417" s="187"/>
      <c r="C417" s="188"/>
      <c r="D417" s="189"/>
      <c r="E417" s="189"/>
      <c r="F417" s="191"/>
      <c r="G417" s="179"/>
    </row>
    <row r="418" ht="14.25" customHeight="1">
      <c r="A418" s="185"/>
      <c r="B418" s="187"/>
      <c r="C418" s="188"/>
      <c r="D418" s="189"/>
      <c r="E418" s="189"/>
      <c r="F418" s="191"/>
      <c r="G418" s="179"/>
    </row>
    <row r="419" ht="14.25" customHeight="1">
      <c r="A419" s="185"/>
      <c r="B419" s="187"/>
      <c r="C419" s="188"/>
      <c r="D419" s="189"/>
      <c r="E419" s="189"/>
      <c r="F419" s="191"/>
      <c r="G419" s="179"/>
    </row>
    <row r="420" ht="14.25" customHeight="1">
      <c r="A420" s="185"/>
      <c r="B420" s="187"/>
      <c r="C420" s="188"/>
      <c r="D420" s="189"/>
      <c r="E420" s="189"/>
      <c r="F420" s="191"/>
      <c r="G420" s="179"/>
    </row>
    <row r="421" ht="14.25" customHeight="1">
      <c r="A421" s="185"/>
      <c r="B421" s="187"/>
      <c r="C421" s="188"/>
      <c r="D421" s="189"/>
      <c r="E421" s="189"/>
      <c r="F421" s="191"/>
      <c r="G421" s="179"/>
    </row>
    <row r="422" ht="14.25" customHeight="1">
      <c r="A422" s="185"/>
      <c r="B422" s="187"/>
      <c r="C422" s="188"/>
      <c r="D422" s="189"/>
      <c r="E422" s="189"/>
      <c r="F422" s="191"/>
      <c r="G422" s="179"/>
    </row>
    <row r="423" ht="14.25" customHeight="1">
      <c r="A423" s="185"/>
      <c r="B423" s="187"/>
      <c r="C423" s="188"/>
      <c r="D423" s="189"/>
      <c r="E423" s="189"/>
      <c r="F423" s="191"/>
      <c r="G423" s="179"/>
    </row>
    <row r="424" ht="14.25" customHeight="1">
      <c r="A424" s="185"/>
      <c r="B424" s="187"/>
      <c r="C424" s="188"/>
      <c r="D424" s="189"/>
      <c r="E424" s="189"/>
      <c r="F424" s="191"/>
      <c r="G424" s="179"/>
    </row>
    <row r="425" ht="14.25" customHeight="1">
      <c r="A425" s="185"/>
      <c r="B425" s="187"/>
      <c r="C425" s="188"/>
      <c r="D425" s="189"/>
      <c r="E425" s="189"/>
      <c r="F425" s="191"/>
      <c r="G425" s="179"/>
    </row>
    <row r="426" ht="14.25" customHeight="1">
      <c r="A426" s="185"/>
      <c r="B426" s="187"/>
      <c r="C426" s="188"/>
      <c r="D426" s="189"/>
      <c r="E426" s="189"/>
      <c r="F426" s="191"/>
      <c r="G426" s="179"/>
    </row>
    <row r="427" ht="14.25" customHeight="1">
      <c r="A427" s="185"/>
      <c r="B427" s="187"/>
      <c r="C427" s="188"/>
      <c r="D427" s="189"/>
      <c r="E427" s="189"/>
      <c r="F427" s="191"/>
      <c r="G427" s="179"/>
    </row>
    <row r="428" ht="14.25" customHeight="1">
      <c r="A428" s="185"/>
      <c r="B428" s="187"/>
      <c r="C428" s="188"/>
      <c r="D428" s="189"/>
      <c r="E428" s="189"/>
      <c r="F428" s="191"/>
      <c r="G428" s="179"/>
    </row>
    <row r="429" ht="14.25" customHeight="1">
      <c r="A429" s="185"/>
      <c r="B429" s="187"/>
      <c r="C429" s="188"/>
      <c r="D429" s="189"/>
      <c r="E429" s="189"/>
      <c r="F429" s="191"/>
      <c r="G429" s="179"/>
    </row>
    <row r="430" ht="14.25" customHeight="1">
      <c r="A430" s="185"/>
      <c r="B430" s="187"/>
      <c r="C430" s="188"/>
      <c r="D430" s="189"/>
      <c r="E430" s="189"/>
      <c r="F430" s="191"/>
      <c r="G430" s="179"/>
    </row>
    <row r="431" ht="14.25" customHeight="1">
      <c r="A431" s="185"/>
      <c r="B431" s="187"/>
      <c r="C431" s="188"/>
      <c r="D431" s="189"/>
      <c r="E431" s="189"/>
      <c r="F431" s="191"/>
      <c r="G431" s="179"/>
    </row>
    <row r="432" ht="14.25" customHeight="1">
      <c r="A432" s="185"/>
      <c r="B432" s="187"/>
      <c r="C432" s="188"/>
      <c r="D432" s="189"/>
      <c r="E432" s="189"/>
      <c r="F432" s="191"/>
      <c r="G432" s="179"/>
    </row>
    <row r="433" ht="14.25" customHeight="1">
      <c r="A433" s="185"/>
      <c r="B433" s="187"/>
      <c r="C433" s="188"/>
      <c r="D433" s="189"/>
      <c r="E433" s="189"/>
      <c r="F433" s="191"/>
      <c r="G433" s="179"/>
    </row>
    <row r="434" ht="14.25" customHeight="1">
      <c r="A434" s="185"/>
      <c r="B434" s="187"/>
      <c r="C434" s="188"/>
      <c r="D434" s="189"/>
      <c r="E434" s="189"/>
      <c r="F434" s="191"/>
      <c r="G434" s="179"/>
    </row>
    <row r="435" ht="14.25" customHeight="1">
      <c r="A435" s="185"/>
      <c r="B435" s="187"/>
      <c r="C435" s="188"/>
      <c r="D435" s="189"/>
      <c r="E435" s="189"/>
      <c r="F435" s="191"/>
      <c r="G435" s="179"/>
    </row>
    <row r="436" ht="14.25" customHeight="1">
      <c r="A436" s="185"/>
      <c r="B436" s="187"/>
      <c r="C436" s="188"/>
      <c r="D436" s="189"/>
      <c r="E436" s="189"/>
      <c r="F436" s="191"/>
      <c r="G436" s="179"/>
    </row>
    <row r="437" ht="14.25" customHeight="1">
      <c r="A437" s="185"/>
      <c r="B437" s="187"/>
      <c r="C437" s="188"/>
      <c r="D437" s="189"/>
      <c r="E437" s="189"/>
      <c r="F437" s="191"/>
      <c r="G437" s="179"/>
    </row>
    <row r="438" ht="14.25" customHeight="1">
      <c r="A438" s="185"/>
      <c r="B438" s="187"/>
      <c r="C438" s="188"/>
      <c r="D438" s="189"/>
      <c r="E438" s="189"/>
      <c r="F438" s="191"/>
      <c r="G438" s="179"/>
    </row>
    <row r="439" ht="14.25" customHeight="1">
      <c r="A439" s="185"/>
      <c r="B439" s="187"/>
      <c r="C439" s="188"/>
      <c r="D439" s="189"/>
      <c r="E439" s="189"/>
      <c r="F439" s="191"/>
      <c r="G439" s="179"/>
    </row>
    <row r="440" ht="14.25" customHeight="1">
      <c r="A440" s="185"/>
      <c r="B440" s="187"/>
      <c r="C440" s="188"/>
      <c r="D440" s="189"/>
      <c r="E440" s="189"/>
      <c r="F440" s="191"/>
      <c r="G440" s="179"/>
    </row>
    <row r="441" ht="14.25" customHeight="1">
      <c r="A441" s="185"/>
      <c r="B441" s="187"/>
      <c r="C441" s="188"/>
      <c r="D441" s="189"/>
      <c r="E441" s="189"/>
      <c r="F441" s="191"/>
      <c r="G441" s="179"/>
    </row>
    <row r="442" ht="14.25" customHeight="1">
      <c r="A442" s="185"/>
      <c r="B442" s="187"/>
      <c r="C442" s="188"/>
      <c r="D442" s="189"/>
      <c r="E442" s="189"/>
      <c r="F442" s="191"/>
      <c r="G442" s="179"/>
    </row>
    <row r="443" ht="14.25" customHeight="1">
      <c r="A443" s="185"/>
      <c r="B443" s="187"/>
      <c r="C443" s="188"/>
      <c r="D443" s="189"/>
      <c r="E443" s="189"/>
      <c r="F443" s="191"/>
      <c r="G443" s="179"/>
    </row>
    <row r="444" ht="14.25" customHeight="1">
      <c r="A444" s="185"/>
      <c r="B444" s="187"/>
      <c r="C444" s="188"/>
      <c r="D444" s="189"/>
      <c r="E444" s="189"/>
      <c r="F444" s="191"/>
      <c r="G444" s="179"/>
    </row>
    <row r="445" ht="14.25" customHeight="1">
      <c r="A445" s="185"/>
      <c r="B445" s="187"/>
      <c r="C445" s="188"/>
      <c r="D445" s="189"/>
      <c r="E445" s="189"/>
      <c r="F445" s="191"/>
      <c r="G445" s="179"/>
    </row>
    <row r="446" ht="14.25" customHeight="1">
      <c r="A446" s="185"/>
      <c r="B446" s="187"/>
      <c r="C446" s="188"/>
      <c r="D446" s="189"/>
      <c r="E446" s="189"/>
      <c r="F446" s="191"/>
      <c r="G446" s="179"/>
    </row>
    <row r="447" ht="14.25" customHeight="1">
      <c r="A447" s="185"/>
      <c r="B447" s="187"/>
      <c r="C447" s="188"/>
      <c r="D447" s="189"/>
      <c r="E447" s="189"/>
      <c r="F447" s="191"/>
      <c r="G447" s="179"/>
    </row>
    <row r="448" ht="14.25" customHeight="1">
      <c r="A448" s="185"/>
      <c r="B448" s="187"/>
      <c r="C448" s="188"/>
      <c r="D448" s="189"/>
      <c r="E448" s="189"/>
      <c r="F448" s="191"/>
      <c r="G448" s="179"/>
    </row>
    <row r="449" ht="14.25" customHeight="1">
      <c r="A449" s="185"/>
      <c r="B449" s="187"/>
      <c r="C449" s="188"/>
      <c r="D449" s="189"/>
      <c r="E449" s="189"/>
      <c r="F449" s="191"/>
      <c r="G449" s="179"/>
    </row>
    <row r="450" ht="14.25" customHeight="1">
      <c r="A450" s="185"/>
      <c r="B450" s="187"/>
      <c r="C450" s="188"/>
      <c r="D450" s="189"/>
      <c r="E450" s="189"/>
      <c r="F450" s="191"/>
      <c r="G450" s="179"/>
    </row>
    <row r="451" ht="14.25" customHeight="1">
      <c r="A451" s="185"/>
      <c r="B451" s="187"/>
      <c r="C451" s="188"/>
      <c r="D451" s="189"/>
      <c r="E451" s="189"/>
      <c r="F451" s="191"/>
      <c r="G451" s="179"/>
    </row>
    <row r="452" ht="14.25" customHeight="1">
      <c r="A452" s="185"/>
      <c r="B452" s="187"/>
      <c r="C452" s="188"/>
      <c r="D452" s="189"/>
      <c r="E452" s="189"/>
      <c r="F452" s="191"/>
      <c r="G452" s="179"/>
    </row>
    <row r="453" ht="14.25" customHeight="1">
      <c r="A453" s="185"/>
      <c r="B453" s="187"/>
      <c r="C453" s="188"/>
      <c r="D453" s="189"/>
      <c r="E453" s="189"/>
      <c r="F453" s="191"/>
      <c r="G453" s="179"/>
    </row>
    <row r="454" ht="14.25" customHeight="1">
      <c r="A454" s="185"/>
      <c r="B454" s="187"/>
      <c r="C454" s="188"/>
      <c r="D454" s="189"/>
      <c r="E454" s="189"/>
      <c r="F454" s="191"/>
      <c r="G454" s="179"/>
    </row>
    <row r="455" ht="14.25" customHeight="1">
      <c r="A455" s="185"/>
      <c r="B455" s="187"/>
      <c r="C455" s="188"/>
      <c r="D455" s="189"/>
      <c r="E455" s="189"/>
      <c r="F455" s="191"/>
      <c r="G455" s="179"/>
    </row>
    <row r="456" ht="14.25" customHeight="1">
      <c r="A456" s="185"/>
      <c r="B456" s="187"/>
      <c r="C456" s="188"/>
      <c r="D456" s="189"/>
      <c r="E456" s="189"/>
      <c r="F456" s="191"/>
      <c r="G456" s="179"/>
    </row>
    <row r="457" ht="14.25" customHeight="1">
      <c r="A457" s="185"/>
      <c r="B457" s="187"/>
      <c r="C457" s="188"/>
      <c r="D457" s="189"/>
      <c r="E457" s="189"/>
      <c r="F457" s="191"/>
      <c r="G457" s="179"/>
    </row>
    <row r="458" ht="14.25" customHeight="1">
      <c r="A458" s="185"/>
      <c r="B458" s="187"/>
      <c r="C458" s="188"/>
      <c r="D458" s="189"/>
      <c r="E458" s="189"/>
      <c r="F458" s="191"/>
      <c r="G458" s="179"/>
    </row>
    <row r="459" ht="14.25" customHeight="1">
      <c r="A459" s="185"/>
      <c r="B459" s="187"/>
      <c r="C459" s="188"/>
      <c r="D459" s="189"/>
      <c r="E459" s="189"/>
      <c r="F459" s="191"/>
      <c r="G459" s="179"/>
    </row>
    <row r="460" ht="14.25" customHeight="1">
      <c r="A460" s="185"/>
      <c r="B460" s="187"/>
      <c r="C460" s="188"/>
      <c r="D460" s="189"/>
      <c r="E460" s="189"/>
      <c r="F460" s="191"/>
      <c r="G460" s="179"/>
    </row>
    <row r="461" ht="14.25" customHeight="1">
      <c r="A461" s="185"/>
      <c r="B461" s="187"/>
      <c r="C461" s="188"/>
      <c r="D461" s="189"/>
      <c r="E461" s="189"/>
      <c r="F461" s="191"/>
      <c r="G461" s="179"/>
    </row>
    <row r="462" ht="14.25" customHeight="1">
      <c r="A462" s="185"/>
      <c r="B462" s="187"/>
      <c r="C462" s="188"/>
      <c r="D462" s="189"/>
      <c r="E462" s="189"/>
      <c r="F462" s="191"/>
      <c r="G462" s="179"/>
    </row>
    <row r="463" ht="14.25" customHeight="1">
      <c r="A463" s="185"/>
      <c r="B463" s="187"/>
      <c r="C463" s="188"/>
      <c r="D463" s="189"/>
      <c r="E463" s="189"/>
      <c r="F463" s="191"/>
      <c r="G463" s="179"/>
    </row>
    <row r="464" ht="14.25" customHeight="1">
      <c r="A464" s="185"/>
      <c r="B464" s="187"/>
      <c r="C464" s="188"/>
      <c r="D464" s="189"/>
      <c r="E464" s="189"/>
      <c r="F464" s="191"/>
      <c r="G464" s="179"/>
    </row>
    <row r="465" ht="14.25" customHeight="1">
      <c r="A465" s="185"/>
      <c r="B465" s="187"/>
      <c r="C465" s="188"/>
      <c r="D465" s="189"/>
      <c r="E465" s="189"/>
      <c r="F465" s="191"/>
      <c r="G465" s="179"/>
    </row>
    <row r="466" ht="14.25" customHeight="1">
      <c r="A466" s="185"/>
      <c r="B466" s="187"/>
      <c r="C466" s="188"/>
      <c r="D466" s="189"/>
      <c r="E466" s="189"/>
      <c r="F466" s="191"/>
      <c r="G466" s="179"/>
    </row>
    <row r="467" ht="14.25" customHeight="1">
      <c r="A467" s="185"/>
      <c r="B467" s="187"/>
      <c r="C467" s="188"/>
      <c r="D467" s="189"/>
      <c r="E467" s="189"/>
      <c r="F467" s="191"/>
      <c r="G467" s="179"/>
    </row>
    <row r="468" ht="14.25" customHeight="1">
      <c r="A468" s="185"/>
      <c r="B468" s="187"/>
      <c r="C468" s="188"/>
      <c r="D468" s="189"/>
      <c r="E468" s="189"/>
      <c r="F468" s="191"/>
      <c r="G468" s="179"/>
    </row>
    <row r="469" ht="14.25" customHeight="1">
      <c r="A469" s="185"/>
      <c r="B469" s="187"/>
      <c r="C469" s="188"/>
      <c r="D469" s="189"/>
      <c r="E469" s="189"/>
      <c r="F469" s="191"/>
      <c r="G469" s="179"/>
    </row>
    <row r="470" ht="14.25" customHeight="1">
      <c r="A470" s="185"/>
      <c r="B470" s="187"/>
      <c r="C470" s="188"/>
      <c r="D470" s="189"/>
      <c r="E470" s="189"/>
      <c r="F470" s="191"/>
      <c r="G470" s="179"/>
    </row>
    <row r="471" ht="14.25" customHeight="1">
      <c r="A471" s="185"/>
      <c r="B471" s="187"/>
      <c r="C471" s="188"/>
      <c r="D471" s="189"/>
      <c r="E471" s="189"/>
      <c r="F471" s="191"/>
      <c r="G471" s="179"/>
    </row>
    <row r="472" ht="14.25" customHeight="1">
      <c r="A472" s="185"/>
      <c r="B472" s="187"/>
      <c r="C472" s="188"/>
      <c r="D472" s="189"/>
      <c r="E472" s="189"/>
      <c r="F472" s="191"/>
      <c r="G472" s="179"/>
    </row>
    <row r="473" ht="14.25" customHeight="1">
      <c r="A473" s="185"/>
      <c r="B473" s="187"/>
      <c r="C473" s="188"/>
      <c r="D473" s="189"/>
      <c r="E473" s="189"/>
      <c r="F473" s="191"/>
      <c r="G473" s="179"/>
    </row>
    <row r="474" ht="14.25" customHeight="1">
      <c r="A474" s="185"/>
      <c r="B474" s="187"/>
      <c r="C474" s="188"/>
      <c r="D474" s="189"/>
      <c r="E474" s="189"/>
      <c r="F474" s="191"/>
      <c r="G474" s="179"/>
    </row>
    <row r="475" ht="14.25" customHeight="1">
      <c r="A475" s="185"/>
      <c r="B475" s="187"/>
      <c r="C475" s="188"/>
      <c r="D475" s="189"/>
      <c r="E475" s="189"/>
      <c r="F475" s="191"/>
      <c r="G475" s="179"/>
    </row>
    <row r="476" ht="14.25" customHeight="1">
      <c r="A476" s="185"/>
      <c r="B476" s="187"/>
      <c r="C476" s="188"/>
      <c r="D476" s="189"/>
      <c r="E476" s="189"/>
      <c r="F476" s="191"/>
      <c r="G476" s="179"/>
    </row>
    <row r="477" ht="14.25" customHeight="1">
      <c r="A477" s="185"/>
      <c r="B477" s="187"/>
      <c r="C477" s="188"/>
      <c r="D477" s="189"/>
      <c r="E477" s="189"/>
      <c r="F477" s="191"/>
      <c r="G477" s="179"/>
    </row>
    <row r="478" ht="14.25" customHeight="1">
      <c r="A478" s="185"/>
      <c r="B478" s="187"/>
      <c r="C478" s="188"/>
      <c r="D478" s="189"/>
      <c r="E478" s="189"/>
      <c r="F478" s="191"/>
      <c r="G478" s="179"/>
    </row>
    <row r="479" ht="14.25" customHeight="1">
      <c r="A479" s="185"/>
      <c r="B479" s="187"/>
      <c r="C479" s="188"/>
      <c r="D479" s="189"/>
      <c r="E479" s="189"/>
      <c r="F479" s="191"/>
      <c r="G479" s="179"/>
    </row>
    <row r="480" ht="14.25" customHeight="1">
      <c r="A480" s="185"/>
      <c r="B480" s="187"/>
      <c r="C480" s="188"/>
      <c r="D480" s="189"/>
      <c r="E480" s="189"/>
      <c r="F480" s="191"/>
      <c r="G480" s="179"/>
    </row>
    <row r="481" ht="14.25" customHeight="1">
      <c r="A481" s="185"/>
      <c r="B481" s="187"/>
      <c r="C481" s="188"/>
      <c r="D481" s="189"/>
      <c r="E481" s="189"/>
      <c r="F481" s="191"/>
      <c r="G481" s="179"/>
    </row>
    <row r="482" ht="14.25" customHeight="1">
      <c r="A482" s="185"/>
      <c r="B482" s="187"/>
      <c r="C482" s="188"/>
      <c r="D482" s="189"/>
      <c r="E482" s="189"/>
      <c r="F482" s="191"/>
      <c r="G482" s="179"/>
    </row>
    <row r="483" ht="14.25" customHeight="1">
      <c r="A483" s="185"/>
      <c r="B483" s="187"/>
      <c r="C483" s="188"/>
      <c r="D483" s="189"/>
      <c r="E483" s="189"/>
      <c r="F483" s="191"/>
      <c r="G483" s="179"/>
    </row>
    <row r="484" ht="14.25" customHeight="1">
      <c r="A484" s="185"/>
      <c r="B484" s="187"/>
      <c r="C484" s="188"/>
      <c r="D484" s="189"/>
      <c r="E484" s="189"/>
      <c r="F484" s="191"/>
      <c r="G484" s="179"/>
    </row>
    <row r="485" ht="14.25" customHeight="1">
      <c r="A485" s="185"/>
      <c r="B485" s="187"/>
      <c r="C485" s="188"/>
      <c r="D485" s="189"/>
      <c r="E485" s="189"/>
      <c r="F485" s="191"/>
      <c r="G485" s="179"/>
    </row>
    <row r="486" ht="14.25" customHeight="1">
      <c r="A486" s="185"/>
      <c r="B486" s="187"/>
      <c r="C486" s="188"/>
      <c r="D486" s="189"/>
      <c r="E486" s="189"/>
      <c r="F486" s="191"/>
      <c r="G486" s="179"/>
    </row>
    <row r="487" ht="14.25" customHeight="1">
      <c r="A487" s="185"/>
      <c r="B487" s="187"/>
      <c r="C487" s="188"/>
      <c r="D487" s="189"/>
      <c r="E487" s="189"/>
      <c r="F487" s="191"/>
      <c r="G487" s="179"/>
    </row>
    <row r="488" ht="14.25" customHeight="1">
      <c r="A488" s="185"/>
      <c r="B488" s="187"/>
      <c r="C488" s="188"/>
      <c r="D488" s="189"/>
      <c r="E488" s="189"/>
      <c r="F488" s="191"/>
      <c r="G488" s="179"/>
    </row>
    <row r="489" ht="14.25" customHeight="1">
      <c r="A489" s="185"/>
      <c r="B489" s="187"/>
      <c r="C489" s="188"/>
      <c r="D489" s="189"/>
      <c r="E489" s="189"/>
      <c r="F489" s="191"/>
      <c r="G489" s="179"/>
    </row>
    <row r="490" ht="14.25" customHeight="1">
      <c r="A490" s="185"/>
      <c r="B490" s="187"/>
      <c r="C490" s="188"/>
      <c r="D490" s="189"/>
      <c r="E490" s="189"/>
      <c r="F490" s="191"/>
      <c r="G490" s="179"/>
    </row>
    <row r="491" ht="14.25" customHeight="1">
      <c r="A491" s="185"/>
      <c r="B491" s="187"/>
      <c r="C491" s="188"/>
      <c r="D491" s="189"/>
      <c r="E491" s="189"/>
      <c r="F491" s="191"/>
      <c r="G491" s="179"/>
    </row>
    <row r="492" ht="14.25" customHeight="1">
      <c r="A492" s="185"/>
      <c r="B492" s="187"/>
      <c r="C492" s="188"/>
      <c r="D492" s="189"/>
      <c r="E492" s="189"/>
      <c r="F492" s="191"/>
      <c r="G492" s="179"/>
    </row>
    <row r="493" ht="14.25" customHeight="1">
      <c r="A493" s="185"/>
      <c r="B493" s="187"/>
      <c r="C493" s="188"/>
      <c r="D493" s="189"/>
      <c r="E493" s="189"/>
      <c r="F493" s="191"/>
      <c r="G493" s="179"/>
    </row>
    <row r="494" ht="14.25" customHeight="1">
      <c r="A494" s="185"/>
      <c r="B494" s="187"/>
      <c r="C494" s="188"/>
      <c r="D494" s="189"/>
      <c r="E494" s="189"/>
      <c r="F494" s="191"/>
      <c r="G494" s="179"/>
    </row>
    <row r="495" ht="14.25" customHeight="1">
      <c r="A495" s="185"/>
      <c r="B495" s="187"/>
      <c r="C495" s="188"/>
      <c r="D495" s="189"/>
      <c r="E495" s="189"/>
      <c r="F495" s="191"/>
      <c r="G495" s="179"/>
    </row>
    <row r="496" ht="14.25" customHeight="1">
      <c r="A496" s="185"/>
      <c r="B496" s="187"/>
      <c r="C496" s="188"/>
      <c r="D496" s="189"/>
      <c r="E496" s="189"/>
      <c r="F496" s="191"/>
      <c r="G496" s="179"/>
    </row>
    <row r="497" ht="14.25" customHeight="1">
      <c r="A497" s="185"/>
      <c r="B497" s="187"/>
      <c r="C497" s="188"/>
      <c r="D497" s="189"/>
      <c r="E497" s="189"/>
      <c r="F497" s="191"/>
      <c r="G497" s="179"/>
    </row>
    <row r="498" ht="14.25" customHeight="1">
      <c r="A498" s="185"/>
      <c r="B498" s="187"/>
      <c r="C498" s="188"/>
      <c r="D498" s="189"/>
      <c r="E498" s="189"/>
      <c r="F498" s="191"/>
      <c r="G498" s="179"/>
    </row>
    <row r="499" ht="14.25" customHeight="1">
      <c r="A499" s="185"/>
      <c r="B499" s="187"/>
      <c r="C499" s="188"/>
      <c r="D499" s="189"/>
      <c r="E499" s="189"/>
      <c r="F499" s="191"/>
      <c r="G499" s="179"/>
    </row>
    <row r="500" ht="14.25" customHeight="1">
      <c r="A500" s="185"/>
      <c r="B500" s="187"/>
      <c r="C500" s="188"/>
      <c r="D500" s="189"/>
      <c r="E500" s="189"/>
      <c r="F500" s="191"/>
      <c r="G500" s="179"/>
    </row>
    <row r="501" ht="14.25" customHeight="1">
      <c r="A501" s="185"/>
      <c r="B501" s="187"/>
      <c r="C501" s="188"/>
      <c r="D501" s="189"/>
      <c r="E501" s="189"/>
      <c r="F501" s="191"/>
      <c r="G501" s="179"/>
    </row>
    <row r="502" ht="14.25" customHeight="1">
      <c r="A502" s="185"/>
      <c r="B502" s="187"/>
      <c r="C502" s="188"/>
      <c r="D502" s="189"/>
      <c r="E502" s="189"/>
      <c r="F502" s="191"/>
      <c r="G502" s="179"/>
    </row>
    <row r="503" ht="14.25" customHeight="1">
      <c r="A503" s="185"/>
      <c r="B503" s="187"/>
      <c r="C503" s="188"/>
      <c r="D503" s="189"/>
      <c r="E503" s="189"/>
      <c r="F503" s="191"/>
      <c r="G503" s="179"/>
    </row>
    <row r="504" ht="14.25" customHeight="1">
      <c r="A504" s="185"/>
      <c r="B504" s="187"/>
      <c r="C504" s="188"/>
      <c r="D504" s="189"/>
      <c r="E504" s="189"/>
      <c r="F504" s="191"/>
      <c r="G504" s="179"/>
    </row>
    <row r="505" ht="14.25" customHeight="1">
      <c r="A505" s="185"/>
      <c r="B505" s="187"/>
      <c r="C505" s="188"/>
      <c r="D505" s="189"/>
      <c r="E505" s="189"/>
      <c r="F505" s="191"/>
      <c r="G505" s="179"/>
    </row>
    <row r="506" ht="14.25" customHeight="1">
      <c r="A506" s="185"/>
      <c r="B506" s="187"/>
      <c r="C506" s="188"/>
      <c r="D506" s="189"/>
      <c r="E506" s="189"/>
      <c r="F506" s="191"/>
      <c r="G506" s="179"/>
    </row>
    <row r="507" ht="14.25" customHeight="1">
      <c r="A507" s="185"/>
      <c r="B507" s="187"/>
      <c r="C507" s="188"/>
      <c r="D507" s="189"/>
      <c r="E507" s="189"/>
      <c r="F507" s="191"/>
      <c r="G507" s="179"/>
    </row>
    <row r="508" ht="14.25" customHeight="1">
      <c r="A508" s="185"/>
      <c r="B508" s="187"/>
      <c r="C508" s="188"/>
      <c r="D508" s="189"/>
      <c r="E508" s="189"/>
      <c r="F508" s="191"/>
      <c r="G508" s="179"/>
    </row>
    <row r="509" ht="14.25" customHeight="1">
      <c r="A509" s="185"/>
      <c r="B509" s="187"/>
      <c r="C509" s="188"/>
      <c r="D509" s="189"/>
      <c r="E509" s="189"/>
      <c r="F509" s="191"/>
      <c r="G509" s="179"/>
    </row>
    <row r="510" ht="14.25" customHeight="1">
      <c r="A510" s="185"/>
      <c r="B510" s="187"/>
      <c r="C510" s="188"/>
      <c r="D510" s="189"/>
      <c r="E510" s="189"/>
      <c r="F510" s="191"/>
      <c r="G510" s="179"/>
    </row>
    <row r="511" ht="14.25" customHeight="1">
      <c r="A511" s="185"/>
      <c r="B511" s="187"/>
      <c r="C511" s="188"/>
      <c r="D511" s="189"/>
      <c r="E511" s="189"/>
      <c r="F511" s="191"/>
      <c r="G511" s="179"/>
    </row>
    <row r="512" ht="14.25" customHeight="1">
      <c r="A512" s="185"/>
      <c r="B512" s="187"/>
      <c r="C512" s="188"/>
      <c r="D512" s="189"/>
      <c r="E512" s="189"/>
      <c r="F512" s="191"/>
      <c r="G512" s="179"/>
    </row>
    <row r="513" ht="14.25" customHeight="1">
      <c r="A513" s="185"/>
      <c r="B513" s="187"/>
      <c r="C513" s="188"/>
      <c r="D513" s="189"/>
      <c r="E513" s="189"/>
      <c r="F513" s="191"/>
      <c r="G513" s="179"/>
    </row>
    <row r="514" ht="14.25" customHeight="1">
      <c r="A514" s="185"/>
      <c r="B514" s="187"/>
      <c r="C514" s="188"/>
      <c r="D514" s="189"/>
      <c r="E514" s="189"/>
      <c r="F514" s="191"/>
      <c r="G514" s="179"/>
    </row>
    <row r="515" ht="14.25" customHeight="1">
      <c r="A515" s="185"/>
      <c r="B515" s="187"/>
      <c r="C515" s="188"/>
      <c r="D515" s="189"/>
      <c r="E515" s="189"/>
      <c r="F515" s="191"/>
      <c r="G515" s="179"/>
    </row>
    <row r="516" ht="14.25" customHeight="1">
      <c r="A516" s="185"/>
      <c r="B516" s="187"/>
      <c r="C516" s="188"/>
      <c r="D516" s="189"/>
      <c r="E516" s="189"/>
      <c r="F516" s="191"/>
      <c r="G516" s="179"/>
    </row>
    <row r="517" ht="14.25" customHeight="1">
      <c r="A517" s="185"/>
      <c r="B517" s="187"/>
      <c r="C517" s="188"/>
      <c r="D517" s="189"/>
      <c r="E517" s="189"/>
      <c r="F517" s="191"/>
      <c r="G517" s="179"/>
    </row>
    <row r="518" ht="14.25" customHeight="1">
      <c r="A518" s="185"/>
      <c r="B518" s="187"/>
      <c r="C518" s="188"/>
      <c r="D518" s="189"/>
      <c r="E518" s="189"/>
      <c r="F518" s="191"/>
      <c r="G518" s="179"/>
    </row>
    <row r="519" ht="14.25" customHeight="1">
      <c r="A519" s="185"/>
      <c r="B519" s="187"/>
      <c r="C519" s="188"/>
      <c r="D519" s="189"/>
      <c r="E519" s="189"/>
      <c r="F519" s="191"/>
      <c r="G519" s="179"/>
    </row>
    <row r="520" ht="14.25" customHeight="1">
      <c r="A520" s="185"/>
      <c r="B520" s="187"/>
      <c r="C520" s="188"/>
      <c r="D520" s="189"/>
      <c r="E520" s="189"/>
      <c r="F520" s="191"/>
      <c r="G520" s="179"/>
    </row>
    <row r="521" ht="14.25" customHeight="1">
      <c r="A521" s="185"/>
      <c r="B521" s="187"/>
      <c r="C521" s="188"/>
      <c r="D521" s="189"/>
      <c r="E521" s="189"/>
      <c r="F521" s="191"/>
      <c r="G521" s="179"/>
    </row>
    <row r="522" ht="14.25" customHeight="1">
      <c r="A522" s="185"/>
      <c r="B522" s="187"/>
      <c r="C522" s="188"/>
      <c r="D522" s="189"/>
      <c r="E522" s="189"/>
      <c r="F522" s="191"/>
      <c r="G522" s="179"/>
    </row>
    <row r="523" ht="14.25" customHeight="1">
      <c r="A523" s="185"/>
      <c r="B523" s="187"/>
      <c r="C523" s="188"/>
      <c r="D523" s="189"/>
      <c r="E523" s="189"/>
      <c r="F523" s="191"/>
      <c r="G523" s="179"/>
    </row>
    <row r="524" ht="14.25" customHeight="1">
      <c r="A524" s="185"/>
      <c r="B524" s="187"/>
      <c r="C524" s="188"/>
      <c r="D524" s="189"/>
      <c r="E524" s="189"/>
      <c r="F524" s="191"/>
      <c r="G524" s="179"/>
    </row>
    <row r="525" ht="14.25" customHeight="1">
      <c r="A525" s="185"/>
      <c r="B525" s="187"/>
      <c r="C525" s="188"/>
      <c r="D525" s="189"/>
      <c r="E525" s="189"/>
      <c r="F525" s="191"/>
      <c r="G525" s="179"/>
    </row>
    <row r="526" ht="14.25" customHeight="1">
      <c r="A526" s="185"/>
      <c r="B526" s="187"/>
      <c r="C526" s="188"/>
      <c r="D526" s="189"/>
      <c r="E526" s="189"/>
      <c r="F526" s="191"/>
      <c r="G526" s="179"/>
    </row>
    <row r="527" ht="14.25" customHeight="1">
      <c r="A527" s="185"/>
      <c r="B527" s="187"/>
      <c r="C527" s="188"/>
      <c r="D527" s="189"/>
      <c r="E527" s="189"/>
      <c r="F527" s="191"/>
      <c r="G527" s="179"/>
    </row>
    <row r="528" ht="14.25" customHeight="1">
      <c r="A528" s="185"/>
      <c r="B528" s="187"/>
      <c r="C528" s="188"/>
      <c r="D528" s="189"/>
      <c r="E528" s="189"/>
      <c r="F528" s="191"/>
      <c r="G528" s="179"/>
    </row>
    <row r="529" ht="14.25" customHeight="1">
      <c r="A529" s="185"/>
      <c r="B529" s="187"/>
      <c r="C529" s="188"/>
      <c r="D529" s="189"/>
      <c r="E529" s="189"/>
      <c r="F529" s="191"/>
      <c r="G529" s="179"/>
    </row>
    <row r="530" ht="14.25" customHeight="1">
      <c r="A530" s="185"/>
      <c r="B530" s="187"/>
      <c r="C530" s="188"/>
      <c r="D530" s="189"/>
      <c r="E530" s="189"/>
      <c r="F530" s="191"/>
      <c r="G530" s="179"/>
    </row>
    <row r="531" ht="14.25" customHeight="1">
      <c r="A531" s="185"/>
      <c r="B531" s="187"/>
      <c r="C531" s="188"/>
      <c r="D531" s="189"/>
      <c r="E531" s="189"/>
      <c r="F531" s="191"/>
      <c r="G531" s="179"/>
    </row>
    <row r="532" ht="14.25" customHeight="1">
      <c r="A532" s="185"/>
      <c r="B532" s="187"/>
      <c r="C532" s="188"/>
      <c r="D532" s="189"/>
      <c r="E532" s="189"/>
      <c r="F532" s="191"/>
      <c r="G532" s="179"/>
    </row>
    <row r="533" ht="14.25" customHeight="1">
      <c r="A533" s="185"/>
      <c r="B533" s="187"/>
      <c r="C533" s="188"/>
      <c r="D533" s="189"/>
      <c r="E533" s="189"/>
      <c r="F533" s="191"/>
      <c r="G533" s="179"/>
    </row>
    <row r="534" ht="14.25" customHeight="1">
      <c r="A534" s="185"/>
      <c r="B534" s="187"/>
      <c r="C534" s="188"/>
      <c r="D534" s="189"/>
      <c r="E534" s="189"/>
      <c r="F534" s="191"/>
      <c r="G534" s="179"/>
    </row>
    <row r="535" ht="14.25" customHeight="1">
      <c r="A535" s="185"/>
      <c r="B535" s="187"/>
      <c r="C535" s="188"/>
      <c r="D535" s="189"/>
      <c r="E535" s="189"/>
      <c r="F535" s="191"/>
      <c r="G535" s="179"/>
    </row>
    <row r="536" ht="14.25" customHeight="1">
      <c r="A536" s="185"/>
      <c r="B536" s="187"/>
      <c r="C536" s="188"/>
      <c r="D536" s="189"/>
      <c r="E536" s="189"/>
      <c r="F536" s="191"/>
      <c r="G536" s="179"/>
    </row>
    <row r="537" ht="14.25" customHeight="1">
      <c r="A537" s="185"/>
      <c r="B537" s="187"/>
      <c r="C537" s="188"/>
      <c r="D537" s="189"/>
      <c r="E537" s="189"/>
      <c r="F537" s="191"/>
      <c r="G537" s="179"/>
    </row>
    <row r="538" ht="14.25" customHeight="1">
      <c r="A538" s="185"/>
      <c r="B538" s="187"/>
      <c r="C538" s="188"/>
      <c r="D538" s="189"/>
      <c r="E538" s="189"/>
      <c r="F538" s="191"/>
      <c r="G538" s="179"/>
    </row>
    <row r="539" ht="14.25" customHeight="1">
      <c r="A539" s="185"/>
      <c r="B539" s="187"/>
      <c r="C539" s="188"/>
      <c r="D539" s="189"/>
      <c r="E539" s="189"/>
      <c r="F539" s="191"/>
      <c r="G539" s="179"/>
    </row>
    <row r="540" ht="14.25" customHeight="1">
      <c r="A540" s="185"/>
      <c r="B540" s="187"/>
      <c r="C540" s="188"/>
      <c r="D540" s="189"/>
      <c r="E540" s="189"/>
      <c r="F540" s="191"/>
      <c r="G540" s="179"/>
    </row>
    <row r="541" ht="14.25" customHeight="1">
      <c r="A541" s="185"/>
      <c r="B541" s="187"/>
      <c r="C541" s="188"/>
      <c r="D541" s="189"/>
      <c r="E541" s="189"/>
      <c r="F541" s="191"/>
      <c r="G541" s="179"/>
    </row>
    <row r="542" ht="14.25" customHeight="1">
      <c r="A542" s="185"/>
      <c r="B542" s="187"/>
      <c r="C542" s="188"/>
      <c r="D542" s="189"/>
      <c r="E542" s="189"/>
      <c r="F542" s="191"/>
      <c r="G542" s="179"/>
    </row>
    <row r="543" ht="14.25" customHeight="1">
      <c r="A543" s="185"/>
      <c r="B543" s="187"/>
      <c r="C543" s="188"/>
      <c r="D543" s="189"/>
      <c r="E543" s="189"/>
      <c r="F543" s="191"/>
      <c r="G543" s="179"/>
    </row>
    <row r="544" ht="14.25" customHeight="1">
      <c r="A544" s="185"/>
      <c r="B544" s="187"/>
      <c r="C544" s="188"/>
      <c r="D544" s="189"/>
      <c r="E544" s="189"/>
      <c r="F544" s="191"/>
      <c r="G544" s="179"/>
    </row>
    <row r="545" ht="14.25" customHeight="1">
      <c r="A545" s="185"/>
      <c r="B545" s="187"/>
      <c r="C545" s="188"/>
      <c r="D545" s="189"/>
      <c r="E545" s="189"/>
      <c r="F545" s="191"/>
      <c r="G545" s="179"/>
    </row>
    <row r="546" ht="14.25" customHeight="1">
      <c r="A546" s="185"/>
      <c r="B546" s="187"/>
      <c r="C546" s="188"/>
      <c r="D546" s="189"/>
      <c r="E546" s="189"/>
      <c r="F546" s="191"/>
      <c r="G546" s="179"/>
    </row>
    <row r="547" ht="14.25" customHeight="1">
      <c r="A547" s="185"/>
      <c r="B547" s="187"/>
      <c r="C547" s="188"/>
      <c r="D547" s="189"/>
      <c r="E547" s="189"/>
      <c r="F547" s="191"/>
      <c r="G547" s="179"/>
    </row>
    <row r="548" ht="14.25" customHeight="1">
      <c r="A548" s="185"/>
      <c r="B548" s="187"/>
      <c r="C548" s="188"/>
      <c r="D548" s="189"/>
      <c r="E548" s="189"/>
      <c r="F548" s="191"/>
      <c r="G548" s="179"/>
    </row>
    <row r="549" ht="14.25" customHeight="1">
      <c r="A549" s="185"/>
      <c r="B549" s="187"/>
      <c r="C549" s="188"/>
      <c r="D549" s="189"/>
      <c r="E549" s="189"/>
      <c r="F549" s="191"/>
      <c r="G549" s="179"/>
    </row>
    <row r="550" ht="14.25" customHeight="1">
      <c r="A550" s="185"/>
      <c r="B550" s="187"/>
      <c r="C550" s="188"/>
      <c r="D550" s="189"/>
      <c r="E550" s="189"/>
      <c r="F550" s="191"/>
      <c r="G550" s="179"/>
    </row>
    <row r="551" ht="14.25" customHeight="1">
      <c r="A551" s="185"/>
      <c r="B551" s="187"/>
      <c r="C551" s="188"/>
      <c r="D551" s="189"/>
      <c r="E551" s="189"/>
      <c r="F551" s="191"/>
      <c r="G551" s="179"/>
    </row>
    <row r="552" ht="14.25" customHeight="1">
      <c r="A552" s="185"/>
      <c r="B552" s="187"/>
      <c r="C552" s="188"/>
      <c r="D552" s="189"/>
      <c r="E552" s="189"/>
      <c r="F552" s="191"/>
      <c r="G552" s="179"/>
    </row>
    <row r="553" ht="14.25" customHeight="1">
      <c r="A553" s="185"/>
      <c r="B553" s="187"/>
      <c r="C553" s="188"/>
      <c r="D553" s="189"/>
      <c r="E553" s="189"/>
      <c r="F553" s="191"/>
      <c r="G553" s="179"/>
    </row>
    <row r="554" ht="14.25" customHeight="1">
      <c r="A554" s="185"/>
      <c r="B554" s="187"/>
      <c r="C554" s="188"/>
      <c r="D554" s="189"/>
      <c r="E554" s="189"/>
      <c r="F554" s="191"/>
      <c r="G554" s="179"/>
    </row>
    <row r="555" ht="14.25" customHeight="1">
      <c r="A555" s="185"/>
      <c r="B555" s="187"/>
      <c r="C555" s="188"/>
      <c r="D555" s="189"/>
      <c r="E555" s="189"/>
      <c r="F555" s="191"/>
      <c r="G555" s="179"/>
    </row>
    <row r="556" ht="14.25" customHeight="1">
      <c r="A556" s="185"/>
      <c r="B556" s="187"/>
      <c r="C556" s="188"/>
      <c r="D556" s="189"/>
      <c r="E556" s="189"/>
      <c r="F556" s="191"/>
      <c r="G556" s="179"/>
    </row>
    <row r="557" ht="14.25" customHeight="1">
      <c r="A557" s="185"/>
      <c r="B557" s="187"/>
      <c r="C557" s="188"/>
      <c r="D557" s="189"/>
      <c r="E557" s="189"/>
      <c r="F557" s="191"/>
      <c r="G557" s="179"/>
    </row>
    <row r="558" ht="14.25" customHeight="1">
      <c r="A558" s="185"/>
      <c r="B558" s="187"/>
      <c r="C558" s="188"/>
      <c r="D558" s="189"/>
      <c r="E558" s="189"/>
      <c r="F558" s="191"/>
      <c r="G558" s="179"/>
    </row>
    <row r="559" ht="14.25" customHeight="1">
      <c r="A559" s="185"/>
      <c r="B559" s="187"/>
      <c r="C559" s="188"/>
      <c r="D559" s="189"/>
      <c r="E559" s="189"/>
      <c r="F559" s="191"/>
      <c r="G559" s="179"/>
    </row>
    <row r="560" ht="14.25" customHeight="1">
      <c r="A560" s="185"/>
      <c r="B560" s="187"/>
      <c r="C560" s="188"/>
      <c r="D560" s="189"/>
      <c r="E560" s="189"/>
      <c r="F560" s="191"/>
      <c r="G560" s="179"/>
    </row>
    <row r="561" ht="14.25" customHeight="1">
      <c r="A561" s="185"/>
      <c r="B561" s="187"/>
      <c r="C561" s="188"/>
      <c r="D561" s="189"/>
      <c r="E561" s="189"/>
      <c r="F561" s="191"/>
      <c r="G561" s="179"/>
    </row>
    <row r="562" ht="14.25" customHeight="1">
      <c r="A562" s="185"/>
      <c r="B562" s="187"/>
      <c r="C562" s="188"/>
      <c r="D562" s="189"/>
      <c r="E562" s="189"/>
      <c r="F562" s="191"/>
      <c r="G562" s="179"/>
    </row>
    <row r="563" ht="14.25" customHeight="1">
      <c r="A563" s="185"/>
      <c r="B563" s="187"/>
      <c r="C563" s="188"/>
      <c r="D563" s="189"/>
      <c r="E563" s="189"/>
      <c r="F563" s="191"/>
      <c r="G563" s="179"/>
    </row>
    <row r="564" ht="14.25" customHeight="1">
      <c r="A564" s="185"/>
      <c r="B564" s="187"/>
      <c r="C564" s="188"/>
      <c r="D564" s="189"/>
      <c r="E564" s="189"/>
      <c r="F564" s="191"/>
      <c r="G564" s="179"/>
    </row>
    <row r="565" ht="14.25" customHeight="1">
      <c r="A565" s="185"/>
      <c r="B565" s="187"/>
      <c r="C565" s="188"/>
      <c r="D565" s="189"/>
      <c r="E565" s="189"/>
      <c r="F565" s="191"/>
      <c r="G565" s="179"/>
    </row>
    <row r="566" ht="14.25" customHeight="1">
      <c r="A566" s="185"/>
      <c r="B566" s="187"/>
      <c r="C566" s="188"/>
      <c r="D566" s="189"/>
      <c r="E566" s="189"/>
      <c r="F566" s="191"/>
      <c r="G566" s="179"/>
    </row>
    <row r="567" ht="14.25" customHeight="1">
      <c r="A567" s="185"/>
      <c r="B567" s="187"/>
      <c r="C567" s="188"/>
      <c r="D567" s="189"/>
      <c r="E567" s="189"/>
      <c r="F567" s="191"/>
      <c r="G567" s="179"/>
    </row>
    <row r="568" ht="14.25" customHeight="1">
      <c r="A568" s="185"/>
      <c r="B568" s="187"/>
      <c r="C568" s="188"/>
      <c r="D568" s="189"/>
      <c r="E568" s="189"/>
      <c r="F568" s="191"/>
      <c r="G568" s="179"/>
    </row>
    <row r="569" ht="14.25" customHeight="1">
      <c r="A569" s="185"/>
      <c r="B569" s="187"/>
      <c r="C569" s="188"/>
      <c r="D569" s="189"/>
      <c r="E569" s="189"/>
      <c r="F569" s="191"/>
      <c r="G569" s="179"/>
    </row>
    <row r="570" ht="14.25" customHeight="1">
      <c r="A570" s="185"/>
      <c r="B570" s="187"/>
      <c r="C570" s="188"/>
      <c r="D570" s="189"/>
      <c r="E570" s="189"/>
      <c r="F570" s="191"/>
      <c r="G570" s="179"/>
    </row>
    <row r="571" ht="14.25" customHeight="1">
      <c r="A571" s="185"/>
      <c r="B571" s="187"/>
      <c r="C571" s="188"/>
      <c r="D571" s="189"/>
      <c r="E571" s="189"/>
      <c r="F571" s="191"/>
      <c r="G571" s="179"/>
    </row>
    <row r="572" ht="14.25" customHeight="1">
      <c r="A572" s="185"/>
      <c r="B572" s="187"/>
      <c r="C572" s="188"/>
      <c r="D572" s="189"/>
      <c r="E572" s="189"/>
      <c r="F572" s="191"/>
      <c r="G572" s="179"/>
    </row>
    <row r="573" ht="14.25" customHeight="1">
      <c r="A573" s="185"/>
      <c r="B573" s="187"/>
      <c r="C573" s="188"/>
      <c r="D573" s="189"/>
      <c r="E573" s="189"/>
      <c r="F573" s="191"/>
      <c r="G573" s="179"/>
    </row>
    <row r="574" ht="14.25" customHeight="1">
      <c r="A574" s="185"/>
      <c r="B574" s="187"/>
      <c r="C574" s="188"/>
      <c r="D574" s="189"/>
      <c r="E574" s="189"/>
      <c r="F574" s="191"/>
      <c r="G574" s="179"/>
    </row>
    <row r="575" ht="14.25" customHeight="1">
      <c r="A575" s="185"/>
      <c r="B575" s="187"/>
      <c r="C575" s="188"/>
      <c r="D575" s="189"/>
      <c r="E575" s="189"/>
      <c r="F575" s="191"/>
      <c r="G575" s="179"/>
    </row>
    <row r="576" ht="14.25" customHeight="1">
      <c r="A576" s="185"/>
      <c r="B576" s="187"/>
      <c r="C576" s="188"/>
      <c r="D576" s="189"/>
      <c r="E576" s="189"/>
      <c r="F576" s="191"/>
      <c r="G576" s="179"/>
    </row>
    <row r="577" ht="14.25" customHeight="1">
      <c r="A577" s="185"/>
      <c r="B577" s="187"/>
      <c r="C577" s="188"/>
      <c r="D577" s="189"/>
      <c r="E577" s="189"/>
      <c r="F577" s="191"/>
      <c r="G577" s="179"/>
    </row>
    <row r="578" ht="14.25" customHeight="1">
      <c r="A578" s="185"/>
      <c r="B578" s="187"/>
      <c r="C578" s="188"/>
      <c r="D578" s="189"/>
      <c r="E578" s="189"/>
      <c r="F578" s="191"/>
      <c r="G578" s="179"/>
    </row>
    <row r="579" ht="14.25" customHeight="1">
      <c r="A579" s="185"/>
      <c r="B579" s="187"/>
      <c r="C579" s="188"/>
      <c r="D579" s="189"/>
      <c r="E579" s="189"/>
      <c r="F579" s="191"/>
      <c r="G579" s="179"/>
    </row>
    <row r="580" ht="14.25" customHeight="1">
      <c r="A580" s="185"/>
      <c r="B580" s="187"/>
      <c r="C580" s="188"/>
      <c r="D580" s="189"/>
      <c r="E580" s="189"/>
      <c r="F580" s="191"/>
      <c r="G580" s="179"/>
    </row>
    <row r="581" ht="14.25" customHeight="1">
      <c r="A581" s="185"/>
      <c r="B581" s="187"/>
      <c r="C581" s="188"/>
      <c r="D581" s="189"/>
      <c r="E581" s="189"/>
      <c r="F581" s="191"/>
      <c r="G581" s="179"/>
    </row>
    <row r="582" ht="14.25" customHeight="1">
      <c r="A582" s="185"/>
      <c r="B582" s="187"/>
      <c r="C582" s="188"/>
      <c r="D582" s="189"/>
      <c r="E582" s="189"/>
      <c r="F582" s="191"/>
      <c r="G582" s="179"/>
    </row>
    <row r="583" ht="14.25" customHeight="1">
      <c r="A583" s="185"/>
      <c r="B583" s="187"/>
      <c r="C583" s="188"/>
      <c r="D583" s="189"/>
      <c r="E583" s="189"/>
      <c r="F583" s="191"/>
      <c r="G583" s="179"/>
    </row>
    <row r="584" ht="14.25" customHeight="1">
      <c r="A584" s="185"/>
      <c r="B584" s="187"/>
      <c r="C584" s="188"/>
      <c r="D584" s="189"/>
      <c r="E584" s="189"/>
      <c r="F584" s="191"/>
      <c r="G584" s="179"/>
    </row>
    <row r="585" ht="14.25" customHeight="1">
      <c r="A585" s="185"/>
      <c r="B585" s="187"/>
      <c r="C585" s="188"/>
      <c r="D585" s="189"/>
      <c r="E585" s="189"/>
      <c r="F585" s="191"/>
      <c r="G585" s="179"/>
    </row>
    <row r="586" ht="14.25" customHeight="1">
      <c r="A586" s="185"/>
      <c r="B586" s="187"/>
      <c r="C586" s="188"/>
      <c r="D586" s="189"/>
      <c r="E586" s="189"/>
      <c r="F586" s="191"/>
      <c r="G586" s="179"/>
    </row>
    <row r="587" ht="14.25" customHeight="1">
      <c r="A587" s="185"/>
      <c r="B587" s="187"/>
      <c r="C587" s="188"/>
      <c r="D587" s="189"/>
      <c r="E587" s="189"/>
      <c r="F587" s="191"/>
      <c r="G587" s="179"/>
    </row>
    <row r="588" ht="14.25" customHeight="1">
      <c r="A588" s="185"/>
      <c r="B588" s="187"/>
      <c r="C588" s="188"/>
      <c r="D588" s="189"/>
      <c r="E588" s="189"/>
      <c r="F588" s="191"/>
      <c r="G588" s="179"/>
    </row>
    <row r="589" ht="14.25" customHeight="1">
      <c r="A589" s="185"/>
      <c r="B589" s="187"/>
      <c r="C589" s="188"/>
      <c r="D589" s="189"/>
      <c r="E589" s="189"/>
      <c r="F589" s="191"/>
      <c r="G589" s="179"/>
    </row>
    <row r="590" ht="14.25" customHeight="1">
      <c r="A590" s="185"/>
      <c r="B590" s="187"/>
      <c r="C590" s="188"/>
      <c r="D590" s="189"/>
      <c r="E590" s="189"/>
      <c r="F590" s="191"/>
      <c r="G590" s="179"/>
    </row>
    <row r="591" ht="14.25" customHeight="1">
      <c r="A591" s="185"/>
      <c r="B591" s="187"/>
      <c r="C591" s="188"/>
      <c r="D591" s="189"/>
      <c r="E591" s="189"/>
      <c r="F591" s="191"/>
      <c r="G591" s="179"/>
    </row>
    <row r="592" ht="14.25" customHeight="1">
      <c r="A592" s="185"/>
      <c r="B592" s="187"/>
      <c r="C592" s="188"/>
      <c r="D592" s="189"/>
      <c r="E592" s="189"/>
      <c r="F592" s="191"/>
      <c r="G592" s="179"/>
    </row>
    <row r="593" ht="14.25" customHeight="1">
      <c r="A593" s="185"/>
      <c r="B593" s="187"/>
      <c r="C593" s="188"/>
      <c r="D593" s="189"/>
      <c r="E593" s="189"/>
      <c r="F593" s="191"/>
      <c r="G593" s="179"/>
    </row>
    <row r="594" ht="14.25" customHeight="1">
      <c r="A594" s="185"/>
      <c r="B594" s="187"/>
      <c r="C594" s="188"/>
      <c r="D594" s="189"/>
      <c r="E594" s="189"/>
      <c r="F594" s="191"/>
      <c r="G594" s="179"/>
    </row>
    <row r="595" ht="14.25" customHeight="1">
      <c r="A595" s="185"/>
      <c r="B595" s="187"/>
      <c r="C595" s="188"/>
      <c r="D595" s="189"/>
      <c r="E595" s="189"/>
      <c r="F595" s="191"/>
      <c r="G595" s="179"/>
    </row>
    <row r="596" ht="14.25" customHeight="1">
      <c r="A596" s="185"/>
      <c r="B596" s="187"/>
      <c r="C596" s="188"/>
      <c r="D596" s="189"/>
      <c r="E596" s="189"/>
      <c r="F596" s="191"/>
      <c r="G596" s="179"/>
    </row>
    <row r="597" ht="14.25" customHeight="1">
      <c r="A597" s="185"/>
      <c r="B597" s="187"/>
      <c r="C597" s="188"/>
      <c r="D597" s="189"/>
      <c r="E597" s="189"/>
      <c r="F597" s="191"/>
      <c r="G597" s="179"/>
    </row>
    <row r="598" ht="14.25" customHeight="1">
      <c r="A598" s="185"/>
      <c r="B598" s="187"/>
      <c r="C598" s="188"/>
      <c r="D598" s="189"/>
      <c r="E598" s="189"/>
      <c r="F598" s="191"/>
      <c r="G598" s="179"/>
    </row>
    <row r="599" ht="14.25" customHeight="1">
      <c r="A599" s="185"/>
      <c r="B599" s="187"/>
      <c r="C599" s="188"/>
      <c r="D599" s="189"/>
      <c r="E599" s="189"/>
      <c r="F599" s="191"/>
      <c r="G599" s="179"/>
    </row>
    <row r="600" ht="14.25" customHeight="1">
      <c r="A600" s="185"/>
      <c r="B600" s="187"/>
      <c r="C600" s="188"/>
      <c r="D600" s="189"/>
      <c r="E600" s="189"/>
      <c r="F600" s="191"/>
      <c r="G600" s="179"/>
    </row>
    <row r="601" ht="14.25" customHeight="1">
      <c r="A601" s="185"/>
      <c r="B601" s="187"/>
      <c r="C601" s="188"/>
      <c r="D601" s="189"/>
      <c r="E601" s="189"/>
      <c r="F601" s="191"/>
      <c r="G601" s="179"/>
    </row>
    <row r="602" ht="14.25" customHeight="1">
      <c r="A602" s="185"/>
      <c r="B602" s="187"/>
      <c r="C602" s="188"/>
      <c r="D602" s="189"/>
      <c r="E602" s="189"/>
      <c r="F602" s="191"/>
      <c r="G602" s="179"/>
    </row>
    <row r="603" ht="14.25" customHeight="1">
      <c r="A603" s="185"/>
      <c r="B603" s="187"/>
      <c r="C603" s="188"/>
      <c r="D603" s="189"/>
      <c r="E603" s="189"/>
      <c r="F603" s="191"/>
      <c r="G603" s="179"/>
    </row>
    <row r="604" ht="14.25" customHeight="1">
      <c r="A604" s="185"/>
      <c r="B604" s="187"/>
      <c r="C604" s="188"/>
      <c r="D604" s="189"/>
      <c r="E604" s="189"/>
      <c r="F604" s="191"/>
      <c r="G604" s="179"/>
    </row>
    <row r="605" ht="14.25" customHeight="1">
      <c r="A605" s="185"/>
      <c r="B605" s="187"/>
      <c r="C605" s="188"/>
      <c r="D605" s="189"/>
      <c r="E605" s="189"/>
      <c r="F605" s="191"/>
      <c r="G605" s="179"/>
    </row>
    <row r="606" ht="14.25" customHeight="1">
      <c r="A606" s="185"/>
      <c r="B606" s="187"/>
      <c r="C606" s="188"/>
      <c r="D606" s="189"/>
      <c r="E606" s="189"/>
      <c r="F606" s="191"/>
      <c r="G606" s="179"/>
    </row>
    <row r="607" ht="14.25" customHeight="1">
      <c r="A607" s="185"/>
      <c r="B607" s="187"/>
      <c r="C607" s="188"/>
      <c r="D607" s="189"/>
      <c r="E607" s="189"/>
      <c r="F607" s="191"/>
      <c r="G607" s="179"/>
    </row>
    <row r="608" ht="14.25" customHeight="1">
      <c r="A608" s="185"/>
      <c r="B608" s="187"/>
      <c r="C608" s="188"/>
      <c r="D608" s="189"/>
      <c r="E608" s="189"/>
      <c r="F608" s="191"/>
      <c r="G608" s="179"/>
    </row>
    <row r="609" ht="14.25" customHeight="1">
      <c r="A609" s="185"/>
      <c r="B609" s="187"/>
      <c r="C609" s="188"/>
      <c r="D609" s="189"/>
      <c r="E609" s="189"/>
      <c r="F609" s="191"/>
      <c r="G609" s="179"/>
    </row>
    <row r="610" ht="14.25" customHeight="1">
      <c r="A610" s="185"/>
      <c r="B610" s="187"/>
      <c r="C610" s="188"/>
      <c r="D610" s="189"/>
      <c r="E610" s="189"/>
      <c r="F610" s="191"/>
      <c r="G610" s="179"/>
    </row>
    <row r="611" ht="14.25" customHeight="1">
      <c r="A611" s="185"/>
      <c r="B611" s="187"/>
      <c r="C611" s="188"/>
      <c r="D611" s="189"/>
      <c r="E611" s="189"/>
      <c r="F611" s="191"/>
      <c r="G611" s="179"/>
    </row>
    <row r="612" ht="14.25" customHeight="1">
      <c r="A612" s="185"/>
      <c r="B612" s="187"/>
      <c r="C612" s="188"/>
      <c r="D612" s="189"/>
      <c r="E612" s="189"/>
      <c r="F612" s="191"/>
      <c r="G612" s="179"/>
    </row>
    <row r="613" ht="14.25" customHeight="1">
      <c r="A613" s="185"/>
      <c r="B613" s="187"/>
      <c r="C613" s="188"/>
      <c r="D613" s="189"/>
      <c r="E613" s="189"/>
      <c r="F613" s="191"/>
      <c r="G613" s="179"/>
    </row>
    <row r="614" ht="14.25" customHeight="1">
      <c r="A614" s="185"/>
      <c r="B614" s="187"/>
      <c r="C614" s="188"/>
      <c r="D614" s="189"/>
      <c r="E614" s="189"/>
      <c r="F614" s="191"/>
      <c r="G614" s="179"/>
    </row>
    <row r="615" ht="14.25" customHeight="1">
      <c r="A615" s="185"/>
      <c r="B615" s="187"/>
      <c r="C615" s="188"/>
      <c r="D615" s="189"/>
      <c r="E615" s="189"/>
      <c r="F615" s="191"/>
      <c r="G615" s="179"/>
    </row>
    <row r="616" ht="14.25" customHeight="1">
      <c r="A616" s="185"/>
      <c r="B616" s="187"/>
      <c r="C616" s="188"/>
      <c r="D616" s="189"/>
      <c r="E616" s="189"/>
      <c r="F616" s="191"/>
      <c r="G616" s="179"/>
    </row>
    <row r="617" ht="14.25" customHeight="1">
      <c r="A617" s="185"/>
      <c r="B617" s="187"/>
      <c r="C617" s="188"/>
      <c r="D617" s="189"/>
      <c r="E617" s="189"/>
      <c r="F617" s="191"/>
      <c r="G617" s="179"/>
    </row>
    <row r="618" ht="14.25" customHeight="1">
      <c r="A618" s="185"/>
      <c r="B618" s="187"/>
      <c r="C618" s="188"/>
      <c r="D618" s="189"/>
      <c r="E618" s="189"/>
      <c r="F618" s="191"/>
      <c r="G618" s="179"/>
    </row>
    <row r="619" ht="14.25" customHeight="1">
      <c r="A619" s="185"/>
      <c r="B619" s="187"/>
      <c r="C619" s="188"/>
      <c r="D619" s="189"/>
      <c r="E619" s="189"/>
      <c r="F619" s="191"/>
      <c r="G619" s="179"/>
    </row>
    <row r="620" ht="14.25" customHeight="1">
      <c r="A620" s="185"/>
      <c r="B620" s="187"/>
      <c r="C620" s="188"/>
      <c r="D620" s="189"/>
      <c r="E620" s="189"/>
      <c r="F620" s="191"/>
      <c r="G620" s="179"/>
    </row>
    <row r="621" ht="14.25" customHeight="1">
      <c r="A621" s="185"/>
      <c r="B621" s="187"/>
      <c r="C621" s="188"/>
      <c r="D621" s="189"/>
      <c r="E621" s="189"/>
      <c r="F621" s="191"/>
      <c r="G621" s="179"/>
    </row>
    <row r="622" ht="14.25" customHeight="1">
      <c r="A622" s="185"/>
      <c r="B622" s="187"/>
      <c r="C622" s="188"/>
      <c r="D622" s="189"/>
      <c r="E622" s="189"/>
      <c r="F622" s="191"/>
      <c r="G622" s="179"/>
    </row>
    <row r="623" ht="14.25" customHeight="1">
      <c r="A623" s="185"/>
      <c r="B623" s="187"/>
      <c r="C623" s="188"/>
      <c r="D623" s="189"/>
      <c r="E623" s="189"/>
      <c r="F623" s="191"/>
      <c r="G623" s="179"/>
    </row>
    <row r="624" ht="14.25" customHeight="1">
      <c r="A624" s="185"/>
      <c r="B624" s="187"/>
      <c r="C624" s="188"/>
      <c r="D624" s="189"/>
      <c r="E624" s="189"/>
      <c r="F624" s="191"/>
      <c r="G624" s="179"/>
    </row>
    <row r="625" ht="14.25" customHeight="1">
      <c r="A625" s="185"/>
      <c r="B625" s="187"/>
      <c r="C625" s="188"/>
      <c r="D625" s="189"/>
      <c r="E625" s="189"/>
      <c r="F625" s="191"/>
      <c r="G625" s="179"/>
    </row>
    <row r="626" ht="14.25" customHeight="1">
      <c r="A626" s="185"/>
      <c r="B626" s="187"/>
      <c r="C626" s="188"/>
      <c r="D626" s="189"/>
      <c r="E626" s="189"/>
      <c r="F626" s="191"/>
      <c r="G626" s="179"/>
    </row>
    <row r="627" ht="14.25" customHeight="1">
      <c r="A627" s="185"/>
      <c r="B627" s="187"/>
      <c r="C627" s="188"/>
      <c r="D627" s="189"/>
      <c r="E627" s="189"/>
      <c r="F627" s="191"/>
      <c r="G627" s="179"/>
    </row>
    <row r="628" ht="14.25" customHeight="1">
      <c r="A628" s="185"/>
      <c r="B628" s="187"/>
      <c r="C628" s="188"/>
      <c r="D628" s="189"/>
      <c r="E628" s="189"/>
      <c r="F628" s="191"/>
      <c r="G628" s="179"/>
    </row>
    <row r="629" ht="14.25" customHeight="1">
      <c r="A629" s="185"/>
      <c r="B629" s="187"/>
      <c r="C629" s="188"/>
      <c r="D629" s="189"/>
      <c r="E629" s="189"/>
      <c r="F629" s="191"/>
      <c r="G629" s="179"/>
    </row>
    <row r="630" ht="14.25" customHeight="1">
      <c r="A630" s="185"/>
      <c r="B630" s="187"/>
      <c r="C630" s="188"/>
      <c r="D630" s="189"/>
      <c r="E630" s="189"/>
      <c r="F630" s="191"/>
      <c r="G630" s="179"/>
    </row>
    <row r="631" ht="14.25" customHeight="1">
      <c r="A631" s="185"/>
      <c r="B631" s="187"/>
      <c r="C631" s="188"/>
      <c r="D631" s="189"/>
      <c r="E631" s="189"/>
      <c r="F631" s="191"/>
      <c r="G631" s="179"/>
    </row>
    <row r="632" ht="14.25" customHeight="1">
      <c r="A632" s="185"/>
      <c r="B632" s="187"/>
      <c r="C632" s="188"/>
      <c r="D632" s="189"/>
      <c r="E632" s="189"/>
      <c r="F632" s="191"/>
      <c r="G632" s="179"/>
    </row>
    <row r="633" ht="14.25" customHeight="1">
      <c r="A633" s="185"/>
      <c r="B633" s="187"/>
      <c r="C633" s="188"/>
      <c r="D633" s="189"/>
      <c r="E633" s="189"/>
      <c r="F633" s="191"/>
      <c r="G633" s="179"/>
    </row>
    <row r="634" ht="14.25" customHeight="1">
      <c r="A634" s="185"/>
      <c r="B634" s="187"/>
      <c r="C634" s="188"/>
      <c r="D634" s="189"/>
      <c r="E634" s="189"/>
      <c r="F634" s="191"/>
      <c r="G634" s="179"/>
    </row>
    <row r="635" ht="14.25" customHeight="1">
      <c r="A635" s="185"/>
      <c r="B635" s="187"/>
      <c r="C635" s="188"/>
      <c r="D635" s="189"/>
      <c r="E635" s="189"/>
      <c r="F635" s="191"/>
      <c r="G635" s="179"/>
    </row>
    <row r="636" ht="14.25" customHeight="1">
      <c r="A636" s="185"/>
      <c r="B636" s="187"/>
      <c r="C636" s="188"/>
      <c r="D636" s="189"/>
      <c r="E636" s="189"/>
      <c r="F636" s="191"/>
      <c r="G636" s="179"/>
    </row>
    <row r="637" ht="14.25" customHeight="1">
      <c r="A637" s="185"/>
      <c r="B637" s="187"/>
      <c r="C637" s="188"/>
      <c r="D637" s="189"/>
      <c r="E637" s="189"/>
      <c r="F637" s="191"/>
      <c r="G637" s="179"/>
    </row>
    <row r="638" ht="14.25" customHeight="1">
      <c r="A638" s="185"/>
      <c r="B638" s="187"/>
      <c r="C638" s="188"/>
      <c r="D638" s="189"/>
      <c r="E638" s="189"/>
      <c r="F638" s="191"/>
      <c r="G638" s="179"/>
    </row>
    <row r="639" ht="14.25" customHeight="1">
      <c r="A639" s="185"/>
      <c r="B639" s="187"/>
      <c r="C639" s="188"/>
      <c r="D639" s="189"/>
      <c r="E639" s="189"/>
      <c r="F639" s="191"/>
      <c r="G639" s="179"/>
    </row>
    <row r="640" ht="14.25" customHeight="1">
      <c r="A640" s="185"/>
      <c r="B640" s="187"/>
      <c r="C640" s="188"/>
      <c r="D640" s="189"/>
      <c r="E640" s="189"/>
      <c r="F640" s="191"/>
      <c r="G640" s="179"/>
    </row>
    <row r="641" ht="14.25" customHeight="1">
      <c r="A641" s="185"/>
      <c r="B641" s="187"/>
      <c r="C641" s="188"/>
      <c r="D641" s="189"/>
      <c r="E641" s="189"/>
      <c r="F641" s="191"/>
      <c r="G641" s="179"/>
    </row>
    <row r="642" ht="14.25" customHeight="1">
      <c r="A642" s="185"/>
      <c r="B642" s="187"/>
      <c r="C642" s="188"/>
      <c r="D642" s="189"/>
      <c r="E642" s="189"/>
      <c r="F642" s="191"/>
      <c r="G642" s="179"/>
    </row>
    <row r="643" ht="14.25" customHeight="1">
      <c r="A643" s="185"/>
      <c r="B643" s="187"/>
      <c r="C643" s="188"/>
      <c r="D643" s="189"/>
      <c r="E643" s="189"/>
      <c r="F643" s="191"/>
      <c r="G643" s="179"/>
    </row>
    <row r="644" ht="14.25" customHeight="1">
      <c r="A644" s="185"/>
      <c r="B644" s="187"/>
      <c r="C644" s="188"/>
      <c r="D644" s="189"/>
      <c r="E644" s="189"/>
      <c r="F644" s="191"/>
      <c r="G644" s="179"/>
    </row>
    <row r="645" ht="14.25" customHeight="1">
      <c r="A645" s="185"/>
      <c r="B645" s="187"/>
      <c r="C645" s="188"/>
      <c r="D645" s="189"/>
      <c r="E645" s="189"/>
      <c r="F645" s="191"/>
      <c r="G645" s="179"/>
    </row>
    <row r="646" ht="14.25" customHeight="1">
      <c r="A646" s="185"/>
      <c r="B646" s="187"/>
      <c r="C646" s="188"/>
      <c r="D646" s="189"/>
      <c r="E646" s="189"/>
      <c r="F646" s="191"/>
      <c r="G646" s="179"/>
    </row>
    <row r="647" ht="14.25" customHeight="1">
      <c r="A647" s="185"/>
      <c r="B647" s="187"/>
      <c r="C647" s="188"/>
      <c r="D647" s="189"/>
      <c r="E647" s="189"/>
      <c r="F647" s="191"/>
      <c r="G647" s="179"/>
    </row>
    <row r="648" ht="14.25" customHeight="1">
      <c r="A648" s="185"/>
      <c r="B648" s="187"/>
      <c r="C648" s="188"/>
      <c r="D648" s="189"/>
      <c r="E648" s="189"/>
      <c r="F648" s="191"/>
      <c r="G648" s="179"/>
    </row>
    <row r="649" ht="14.25" customHeight="1">
      <c r="A649" s="185"/>
      <c r="B649" s="187"/>
      <c r="C649" s="188"/>
      <c r="D649" s="189"/>
      <c r="E649" s="189"/>
      <c r="F649" s="191"/>
      <c r="G649" s="179"/>
    </row>
    <row r="650" ht="14.25" customHeight="1">
      <c r="A650" s="185"/>
      <c r="B650" s="187"/>
      <c r="C650" s="188"/>
      <c r="D650" s="189"/>
      <c r="E650" s="189"/>
      <c r="F650" s="191"/>
      <c r="G650" s="179"/>
    </row>
    <row r="651" ht="14.25" customHeight="1">
      <c r="A651" s="185"/>
      <c r="B651" s="187"/>
      <c r="C651" s="188"/>
      <c r="D651" s="189"/>
      <c r="E651" s="189"/>
      <c r="F651" s="191"/>
      <c r="G651" s="179"/>
    </row>
    <row r="652" ht="14.25" customHeight="1">
      <c r="A652" s="185"/>
      <c r="B652" s="187"/>
      <c r="C652" s="188"/>
      <c r="D652" s="189"/>
      <c r="E652" s="189"/>
      <c r="F652" s="191"/>
      <c r="G652" s="179"/>
    </row>
    <row r="653" ht="14.25" customHeight="1">
      <c r="A653" s="185"/>
      <c r="B653" s="187"/>
      <c r="C653" s="188"/>
      <c r="D653" s="189"/>
      <c r="E653" s="189"/>
      <c r="F653" s="191"/>
      <c r="G653" s="179"/>
    </row>
    <row r="654" ht="14.25" customHeight="1">
      <c r="A654" s="185"/>
      <c r="B654" s="187"/>
      <c r="C654" s="188"/>
      <c r="D654" s="189"/>
      <c r="E654" s="189"/>
      <c r="F654" s="191"/>
      <c r="G654" s="179"/>
    </row>
    <row r="655" ht="14.25" customHeight="1">
      <c r="A655" s="185"/>
      <c r="B655" s="187"/>
      <c r="C655" s="188"/>
      <c r="D655" s="189"/>
      <c r="E655" s="189"/>
      <c r="F655" s="191"/>
      <c r="G655" s="179"/>
    </row>
    <row r="656" ht="14.25" customHeight="1">
      <c r="A656" s="185"/>
      <c r="B656" s="187"/>
      <c r="C656" s="188"/>
      <c r="D656" s="189"/>
      <c r="E656" s="189"/>
      <c r="F656" s="191"/>
      <c r="G656" s="179"/>
    </row>
    <row r="657" ht="14.25" customHeight="1">
      <c r="A657" s="185"/>
      <c r="B657" s="187"/>
      <c r="C657" s="188"/>
      <c r="D657" s="189"/>
      <c r="E657" s="189"/>
      <c r="F657" s="191"/>
      <c r="G657" s="179"/>
    </row>
    <row r="658" ht="14.25" customHeight="1">
      <c r="A658" s="185"/>
      <c r="B658" s="187"/>
      <c r="C658" s="188"/>
      <c r="D658" s="189"/>
      <c r="E658" s="189"/>
      <c r="F658" s="191"/>
      <c r="G658" s="179"/>
    </row>
    <row r="659" ht="14.25" customHeight="1">
      <c r="A659" s="185"/>
      <c r="B659" s="187"/>
      <c r="C659" s="188"/>
      <c r="D659" s="189"/>
      <c r="E659" s="189"/>
      <c r="F659" s="191"/>
      <c r="G659" s="179"/>
    </row>
    <row r="660" ht="14.25" customHeight="1">
      <c r="A660" s="185"/>
      <c r="B660" s="187"/>
      <c r="C660" s="188"/>
      <c r="D660" s="189"/>
      <c r="E660" s="189"/>
      <c r="F660" s="191"/>
      <c r="G660" s="179"/>
    </row>
    <row r="661" ht="14.25" customHeight="1">
      <c r="A661" s="185"/>
      <c r="B661" s="187"/>
      <c r="C661" s="188"/>
      <c r="D661" s="189"/>
      <c r="E661" s="189"/>
      <c r="F661" s="191"/>
      <c r="G661" s="179"/>
    </row>
    <row r="662" ht="14.25" customHeight="1">
      <c r="A662" s="185"/>
      <c r="B662" s="187"/>
      <c r="C662" s="188"/>
      <c r="D662" s="189"/>
      <c r="E662" s="189"/>
      <c r="F662" s="191"/>
      <c r="G662" s="179"/>
    </row>
    <row r="663" ht="14.25" customHeight="1">
      <c r="A663" s="185"/>
      <c r="B663" s="187"/>
      <c r="C663" s="188"/>
      <c r="D663" s="189"/>
      <c r="E663" s="189"/>
      <c r="F663" s="191"/>
      <c r="G663" s="179"/>
    </row>
    <row r="664" ht="14.25" customHeight="1">
      <c r="A664" s="185"/>
      <c r="B664" s="187"/>
      <c r="C664" s="188"/>
      <c r="D664" s="189"/>
      <c r="E664" s="189"/>
      <c r="F664" s="191"/>
      <c r="G664" s="179"/>
    </row>
    <row r="665" ht="14.25" customHeight="1">
      <c r="A665" s="185"/>
      <c r="B665" s="187"/>
      <c r="C665" s="188"/>
      <c r="D665" s="189"/>
      <c r="E665" s="189"/>
      <c r="F665" s="191"/>
      <c r="G665" s="179"/>
    </row>
    <row r="666" ht="14.25" customHeight="1">
      <c r="A666" s="185"/>
      <c r="B666" s="187"/>
      <c r="C666" s="188"/>
      <c r="D666" s="189"/>
      <c r="E666" s="189"/>
      <c r="F666" s="191"/>
      <c r="G666" s="179"/>
    </row>
    <row r="667" ht="14.25" customHeight="1">
      <c r="A667" s="185"/>
      <c r="B667" s="187"/>
      <c r="C667" s="188"/>
      <c r="D667" s="189"/>
      <c r="E667" s="189"/>
      <c r="F667" s="191"/>
      <c r="G667" s="179"/>
    </row>
    <row r="668" ht="14.25" customHeight="1">
      <c r="A668" s="185"/>
      <c r="B668" s="187"/>
      <c r="C668" s="188"/>
      <c r="D668" s="189"/>
      <c r="E668" s="189"/>
      <c r="F668" s="191"/>
      <c r="G668" s="179"/>
    </row>
    <row r="669" ht="14.25" customHeight="1">
      <c r="A669" s="185"/>
      <c r="B669" s="187"/>
      <c r="C669" s="188"/>
      <c r="D669" s="189"/>
      <c r="E669" s="189"/>
      <c r="F669" s="191"/>
      <c r="G669" s="179"/>
    </row>
    <row r="670" ht="14.25" customHeight="1">
      <c r="A670" s="185"/>
      <c r="B670" s="187"/>
      <c r="C670" s="188"/>
      <c r="D670" s="189"/>
      <c r="E670" s="189"/>
      <c r="F670" s="191"/>
      <c r="G670" s="179"/>
    </row>
    <row r="671" ht="14.25" customHeight="1">
      <c r="A671" s="185"/>
      <c r="B671" s="187"/>
      <c r="C671" s="188"/>
      <c r="D671" s="189"/>
      <c r="E671" s="189"/>
      <c r="F671" s="191"/>
      <c r="G671" s="179"/>
    </row>
    <row r="672" ht="14.25" customHeight="1">
      <c r="A672" s="185"/>
      <c r="B672" s="187"/>
      <c r="C672" s="188"/>
      <c r="D672" s="189"/>
      <c r="E672" s="189"/>
      <c r="F672" s="191"/>
      <c r="G672" s="179"/>
    </row>
    <row r="673" ht="14.25" customHeight="1">
      <c r="A673" s="185"/>
      <c r="B673" s="187"/>
      <c r="C673" s="188"/>
      <c r="D673" s="189"/>
      <c r="E673" s="189"/>
      <c r="F673" s="191"/>
      <c r="G673" s="179"/>
    </row>
    <row r="674" ht="14.25" customHeight="1">
      <c r="A674" s="185"/>
      <c r="B674" s="187"/>
      <c r="C674" s="188"/>
      <c r="D674" s="189"/>
      <c r="E674" s="189"/>
      <c r="F674" s="191"/>
      <c r="G674" s="179"/>
    </row>
    <row r="675" ht="14.25" customHeight="1">
      <c r="A675" s="185"/>
      <c r="B675" s="187"/>
      <c r="C675" s="188"/>
      <c r="D675" s="189"/>
      <c r="E675" s="189"/>
      <c r="F675" s="191"/>
      <c r="G675" s="179"/>
    </row>
    <row r="676" ht="14.25" customHeight="1">
      <c r="A676" s="185"/>
      <c r="B676" s="187"/>
      <c r="C676" s="188"/>
      <c r="D676" s="189"/>
      <c r="E676" s="189"/>
      <c r="F676" s="191"/>
      <c r="G676" s="179"/>
    </row>
    <row r="677" ht="14.25" customHeight="1">
      <c r="A677" s="185"/>
      <c r="B677" s="187"/>
      <c r="C677" s="188"/>
      <c r="D677" s="189"/>
      <c r="E677" s="189"/>
      <c r="F677" s="191"/>
      <c r="G677" s="179"/>
    </row>
    <row r="678" ht="14.25" customHeight="1">
      <c r="A678" s="185"/>
      <c r="B678" s="187"/>
      <c r="C678" s="188"/>
      <c r="D678" s="189"/>
      <c r="E678" s="189"/>
      <c r="F678" s="191"/>
      <c r="G678" s="179"/>
    </row>
    <row r="679" ht="14.25" customHeight="1">
      <c r="A679" s="185"/>
      <c r="B679" s="187"/>
      <c r="C679" s="188"/>
      <c r="D679" s="189"/>
      <c r="E679" s="189"/>
      <c r="F679" s="191"/>
      <c r="G679" s="179"/>
    </row>
    <row r="680" ht="14.25" customHeight="1">
      <c r="A680" s="185"/>
      <c r="B680" s="187"/>
      <c r="C680" s="188"/>
      <c r="D680" s="189"/>
      <c r="E680" s="189"/>
      <c r="F680" s="191"/>
      <c r="G680" s="179"/>
    </row>
    <row r="681" ht="14.25" customHeight="1">
      <c r="A681" s="185"/>
      <c r="B681" s="187"/>
      <c r="C681" s="188"/>
      <c r="D681" s="189"/>
      <c r="E681" s="189"/>
      <c r="F681" s="191"/>
      <c r="G681" s="179"/>
    </row>
    <row r="682" ht="14.25" customHeight="1">
      <c r="A682" s="185"/>
      <c r="B682" s="187"/>
      <c r="C682" s="188"/>
      <c r="D682" s="189"/>
      <c r="E682" s="189"/>
      <c r="F682" s="191"/>
      <c r="G682" s="179"/>
    </row>
    <row r="683" ht="14.25" customHeight="1">
      <c r="A683" s="185"/>
      <c r="B683" s="187"/>
      <c r="C683" s="188"/>
      <c r="D683" s="189"/>
      <c r="E683" s="189"/>
      <c r="F683" s="191"/>
      <c r="G683" s="179"/>
    </row>
    <row r="684" ht="14.25" customHeight="1">
      <c r="A684" s="185"/>
      <c r="B684" s="187"/>
      <c r="C684" s="188"/>
      <c r="D684" s="189"/>
      <c r="E684" s="189"/>
      <c r="F684" s="191"/>
      <c r="G684" s="179"/>
    </row>
    <row r="685" ht="14.25" customHeight="1">
      <c r="A685" s="185"/>
      <c r="B685" s="187"/>
      <c r="C685" s="188"/>
      <c r="D685" s="189"/>
      <c r="E685" s="189"/>
      <c r="F685" s="191"/>
      <c r="G685" s="179"/>
    </row>
    <row r="686" ht="14.25" customHeight="1">
      <c r="A686" s="185"/>
      <c r="B686" s="187"/>
      <c r="C686" s="188"/>
      <c r="D686" s="189"/>
      <c r="E686" s="189"/>
      <c r="F686" s="191"/>
      <c r="G686" s="179"/>
    </row>
    <row r="687" ht="14.25" customHeight="1">
      <c r="A687" s="185"/>
      <c r="B687" s="187"/>
      <c r="C687" s="188"/>
      <c r="D687" s="189"/>
      <c r="E687" s="189"/>
      <c r="F687" s="191"/>
      <c r="G687" s="179"/>
    </row>
    <row r="688" ht="14.25" customHeight="1">
      <c r="A688" s="185"/>
      <c r="B688" s="187"/>
      <c r="C688" s="188"/>
      <c r="D688" s="189"/>
      <c r="E688" s="189"/>
      <c r="F688" s="191"/>
      <c r="G688" s="179"/>
    </row>
    <row r="689" ht="14.25" customHeight="1">
      <c r="A689" s="185"/>
      <c r="B689" s="187"/>
      <c r="C689" s="188"/>
      <c r="D689" s="189"/>
      <c r="E689" s="189"/>
      <c r="F689" s="191"/>
      <c r="G689" s="179"/>
    </row>
    <row r="690" ht="14.25" customHeight="1">
      <c r="A690" s="185"/>
      <c r="B690" s="187"/>
      <c r="C690" s="188"/>
      <c r="D690" s="189"/>
      <c r="E690" s="189"/>
      <c r="F690" s="191"/>
      <c r="G690" s="179"/>
    </row>
    <row r="691" ht="14.25" customHeight="1">
      <c r="A691" s="185"/>
      <c r="B691" s="187"/>
      <c r="C691" s="188"/>
      <c r="D691" s="189"/>
      <c r="E691" s="189"/>
      <c r="F691" s="191"/>
      <c r="G691" s="179"/>
    </row>
    <row r="692" ht="14.25" customHeight="1">
      <c r="A692" s="185"/>
      <c r="B692" s="187"/>
      <c r="C692" s="188"/>
      <c r="D692" s="189"/>
      <c r="E692" s="189"/>
      <c r="F692" s="191"/>
      <c r="G692" s="179"/>
    </row>
    <row r="693" ht="14.25" customHeight="1">
      <c r="A693" s="185"/>
      <c r="B693" s="187"/>
      <c r="C693" s="188"/>
      <c r="D693" s="189"/>
      <c r="E693" s="189"/>
      <c r="F693" s="191"/>
      <c r="G693" s="179"/>
    </row>
    <row r="694" ht="14.25" customHeight="1">
      <c r="A694" s="185"/>
      <c r="B694" s="187"/>
      <c r="C694" s="188"/>
      <c r="D694" s="189"/>
      <c r="E694" s="189"/>
      <c r="F694" s="191"/>
      <c r="G694" s="179"/>
    </row>
    <row r="695" ht="14.25" customHeight="1">
      <c r="A695" s="185"/>
      <c r="B695" s="187"/>
      <c r="C695" s="188"/>
      <c r="D695" s="189"/>
      <c r="E695" s="189"/>
      <c r="F695" s="191"/>
      <c r="G695" s="179"/>
    </row>
    <row r="696" ht="14.25" customHeight="1">
      <c r="A696" s="185"/>
      <c r="B696" s="187"/>
      <c r="C696" s="188"/>
      <c r="D696" s="189"/>
      <c r="E696" s="189"/>
      <c r="F696" s="191"/>
      <c r="G696" s="179"/>
    </row>
    <row r="697" ht="14.25" customHeight="1">
      <c r="A697" s="185"/>
      <c r="B697" s="187"/>
      <c r="C697" s="188"/>
      <c r="D697" s="189"/>
      <c r="E697" s="189"/>
      <c r="F697" s="191"/>
      <c r="G697" s="179"/>
    </row>
    <row r="698" ht="14.25" customHeight="1">
      <c r="A698" s="185"/>
      <c r="B698" s="187"/>
      <c r="C698" s="188"/>
      <c r="D698" s="189"/>
      <c r="E698" s="189"/>
      <c r="F698" s="191"/>
      <c r="G698" s="179"/>
    </row>
    <row r="699" ht="14.25" customHeight="1">
      <c r="A699" s="185"/>
      <c r="B699" s="187"/>
      <c r="C699" s="188"/>
      <c r="D699" s="189"/>
      <c r="E699" s="189"/>
      <c r="F699" s="191"/>
      <c r="G699" s="179"/>
    </row>
    <row r="700" ht="14.25" customHeight="1">
      <c r="A700" s="185"/>
      <c r="B700" s="187"/>
      <c r="C700" s="188"/>
      <c r="D700" s="189"/>
      <c r="E700" s="189"/>
      <c r="F700" s="191"/>
      <c r="G700" s="179"/>
    </row>
    <row r="701" ht="14.25" customHeight="1">
      <c r="A701" s="185"/>
      <c r="B701" s="187"/>
      <c r="C701" s="188"/>
      <c r="D701" s="189"/>
      <c r="E701" s="189"/>
      <c r="F701" s="191"/>
      <c r="G701" s="179"/>
    </row>
    <row r="702" ht="14.25" customHeight="1">
      <c r="A702" s="185"/>
      <c r="B702" s="187"/>
      <c r="C702" s="188"/>
      <c r="D702" s="189"/>
      <c r="E702" s="189"/>
      <c r="F702" s="191"/>
      <c r="G702" s="179"/>
    </row>
    <row r="703" ht="14.25" customHeight="1">
      <c r="A703" s="185"/>
      <c r="B703" s="187"/>
      <c r="C703" s="188"/>
      <c r="D703" s="189"/>
      <c r="E703" s="189"/>
      <c r="F703" s="191"/>
      <c r="G703" s="179"/>
    </row>
    <row r="704" ht="14.25" customHeight="1">
      <c r="A704" s="185"/>
      <c r="B704" s="187"/>
      <c r="C704" s="188"/>
      <c r="D704" s="189"/>
      <c r="E704" s="189"/>
      <c r="F704" s="191"/>
      <c r="G704" s="179"/>
    </row>
    <row r="705" ht="14.25" customHeight="1">
      <c r="A705" s="185"/>
      <c r="B705" s="187"/>
      <c r="C705" s="188"/>
      <c r="D705" s="189"/>
      <c r="E705" s="189"/>
      <c r="F705" s="191"/>
      <c r="G705" s="179"/>
    </row>
    <row r="706" ht="14.25" customHeight="1">
      <c r="A706" s="185"/>
      <c r="B706" s="187"/>
      <c r="C706" s="188"/>
      <c r="D706" s="189"/>
      <c r="E706" s="189"/>
      <c r="F706" s="191"/>
      <c r="G706" s="179"/>
    </row>
    <row r="707" ht="14.25" customHeight="1">
      <c r="A707" s="185"/>
      <c r="B707" s="187"/>
      <c r="C707" s="188"/>
      <c r="D707" s="189"/>
      <c r="E707" s="189"/>
      <c r="F707" s="191"/>
      <c r="G707" s="179"/>
    </row>
    <row r="708" ht="14.25" customHeight="1">
      <c r="A708" s="185"/>
      <c r="B708" s="187"/>
      <c r="C708" s="188"/>
      <c r="D708" s="189"/>
      <c r="E708" s="189"/>
      <c r="F708" s="191"/>
      <c r="G708" s="179"/>
    </row>
    <row r="709" ht="14.25" customHeight="1">
      <c r="A709" s="185"/>
      <c r="B709" s="187"/>
      <c r="C709" s="188"/>
      <c r="D709" s="189"/>
      <c r="E709" s="189"/>
      <c r="F709" s="191"/>
      <c r="G709" s="179"/>
    </row>
    <row r="710" ht="14.25" customHeight="1">
      <c r="A710" s="185"/>
      <c r="B710" s="187"/>
      <c r="C710" s="188"/>
      <c r="D710" s="189"/>
      <c r="E710" s="189"/>
      <c r="F710" s="191"/>
      <c r="G710" s="179"/>
    </row>
    <row r="711" ht="14.25" customHeight="1">
      <c r="A711" s="185"/>
      <c r="B711" s="187"/>
      <c r="C711" s="188"/>
      <c r="D711" s="189"/>
      <c r="E711" s="189"/>
      <c r="F711" s="191"/>
      <c r="G711" s="179"/>
    </row>
    <row r="712" ht="14.25" customHeight="1">
      <c r="A712" s="185"/>
      <c r="B712" s="187"/>
      <c r="C712" s="188"/>
      <c r="D712" s="189"/>
      <c r="E712" s="189"/>
      <c r="F712" s="191"/>
      <c r="G712" s="179"/>
    </row>
    <row r="713" ht="14.25" customHeight="1">
      <c r="A713" s="185"/>
      <c r="B713" s="187"/>
      <c r="C713" s="188"/>
      <c r="D713" s="189"/>
      <c r="E713" s="189"/>
      <c r="F713" s="191"/>
      <c r="G713" s="179"/>
    </row>
    <row r="714" ht="14.25" customHeight="1">
      <c r="A714" s="185"/>
      <c r="B714" s="187"/>
      <c r="C714" s="188"/>
      <c r="D714" s="189"/>
      <c r="E714" s="189"/>
      <c r="F714" s="191"/>
      <c r="G714" s="179"/>
    </row>
    <row r="715" ht="14.25" customHeight="1">
      <c r="A715" s="185"/>
      <c r="B715" s="187"/>
      <c r="C715" s="188"/>
      <c r="D715" s="189"/>
      <c r="E715" s="189"/>
      <c r="F715" s="191"/>
      <c r="G715" s="179"/>
    </row>
    <row r="716" ht="14.25" customHeight="1">
      <c r="A716" s="185"/>
      <c r="B716" s="187"/>
      <c r="C716" s="188"/>
      <c r="D716" s="189"/>
      <c r="E716" s="189"/>
      <c r="F716" s="191"/>
      <c r="G716" s="179"/>
    </row>
    <row r="717" ht="14.25" customHeight="1">
      <c r="A717" s="185"/>
      <c r="B717" s="187"/>
      <c r="C717" s="188"/>
      <c r="D717" s="189"/>
      <c r="E717" s="189"/>
      <c r="F717" s="191"/>
      <c r="G717" s="179"/>
    </row>
    <row r="718" ht="14.25" customHeight="1">
      <c r="A718" s="185"/>
      <c r="B718" s="187"/>
      <c r="C718" s="188"/>
      <c r="D718" s="189"/>
      <c r="E718" s="189"/>
      <c r="F718" s="191"/>
      <c r="G718" s="179"/>
    </row>
    <row r="719" ht="14.25" customHeight="1">
      <c r="A719" s="185"/>
      <c r="B719" s="187"/>
      <c r="C719" s="188"/>
      <c r="D719" s="189"/>
      <c r="E719" s="189"/>
      <c r="F719" s="191"/>
      <c r="G719" s="179"/>
    </row>
    <row r="720" ht="14.25" customHeight="1">
      <c r="A720" s="185"/>
      <c r="B720" s="187"/>
      <c r="C720" s="188"/>
      <c r="D720" s="189"/>
      <c r="E720" s="189"/>
      <c r="F720" s="191"/>
      <c r="G720" s="179"/>
    </row>
    <row r="721" ht="14.25" customHeight="1">
      <c r="A721" s="185"/>
      <c r="B721" s="187"/>
      <c r="C721" s="188"/>
      <c r="D721" s="189"/>
      <c r="E721" s="189"/>
      <c r="F721" s="191"/>
      <c r="G721" s="179"/>
    </row>
    <row r="722" ht="14.25" customHeight="1">
      <c r="A722" s="185"/>
      <c r="B722" s="187"/>
      <c r="C722" s="188"/>
      <c r="D722" s="189"/>
      <c r="E722" s="189"/>
      <c r="F722" s="191"/>
      <c r="G722" s="179"/>
    </row>
    <row r="723" ht="14.25" customHeight="1">
      <c r="A723" s="185"/>
      <c r="B723" s="187"/>
      <c r="C723" s="188"/>
      <c r="D723" s="189"/>
      <c r="E723" s="189"/>
      <c r="F723" s="191"/>
      <c r="G723" s="179"/>
    </row>
    <row r="724" ht="14.25" customHeight="1">
      <c r="A724" s="185"/>
      <c r="B724" s="187"/>
      <c r="C724" s="188"/>
      <c r="D724" s="189"/>
      <c r="E724" s="189"/>
      <c r="F724" s="191"/>
      <c r="G724" s="179"/>
    </row>
    <row r="725" ht="14.25" customHeight="1">
      <c r="A725" s="185"/>
      <c r="B725" s="187"/>
      <c r="C725" s="188"/>
      <c r="D725" s="189"/>
      <c r="E725" s="189"/>
      <c r="F725" s="191"/>
      <c r="G725" s="179"/>
    </row>
    <row r="726" ht="14.25" customHeight="1">
      <c r="A726" s="185"/>
      <c r="B726" s="187"/>
      <c r="C726" s="188"/>
      <c r="D726" s="189"/>
      <c r="E726" s="189"/>
      <c r="F726" s="191"/>
      <c r="G726" s="179"/>
    </row>
    <row r="727" ht="14.25" customHeight="1">
      <c r="A727" s="185"/>
      <c r="B727" s="187"/>
      <c r="C727" s="188"/>
      <c r="D727" s="189"/>
      <c r="E727" s="189"/>
      <c r="F727" s="191"/>
      <c r="G727" s="179"/>
    </row>
    <row r="728" ht="14.25" customHeight="1">
      <c r="A728" s="185"/>
      <c r="B728" s="187"/>
      <c r="C728" s="188"/>
      <c r="D728" s="189"/>
      <c r="E728" s="189"/>
      <c r="F728" s="191"/>
      <c r="G728" s="179"/>
    </row>
    <row r="729" ht="14.25" customHeight="1">
      <c r="A729" s="185"/>
      <c r="B729" s="187"/>
      <c r="C729" s="188"/>
      <c r="D729" s="189"/>
      <c r="E729" s="189"/>
      <c r="F729" s="191"/>
      <c r="G729" s="179"/>
    </row>
    <row r="730" ht="14.25" customHeight="1">
      <c r="A730" s="185"/>
      <c r="B730" s="187"/>
      <c r="C730" s="188"/>
      <c r="D730" s="189"/>
      <c r="E730" s="189"/>
      <c r="F730" s="191"/>
      <c r="G730" s="179"/>
    </row>
    <row r="731" ht="14.25" customHeight="1">
      <c r="A731" s="185"/>
      <c r="B731" s="187"/>
      <c r="C731" s="188"/>
      <c r="D731" s="189"/>
      <c r="E731" s="189"/>
      <c r="F731" s="191"/>
      <c r="G731" s="179"/>
    </row>
    <row r="732" ht="14.25" customHeight="1">
      <c r="A732" s="185"/>
      <c r="B732" s="187"/>
      <c r="C732" s="188"/>
      <c r="D732" s="189"/>
      <c r="E732" s="189"/>
      <c r="F732" s="191"/>
      <c r="G732" s="179"/>
    </row>
    <row r="733" ht="14.25" customHeight="1">
      <c r="A733" s="185"/>
      <c r="B733" s="187"/>
      <c r="C733" s="188"/>
      <c r="D733" s="189"/>
      <c r="E733" s="189"/>
      <c r="F733" s="191"/>
      <c r="G733" s="179"/>
    </row>
    <row r="734" ht="14.25" customHeight="1">
      <c r="A734" s="185"/>
      <c r="B734" s="187"/>
      <c r="C734" s="188"/>
      <c r="D734" s="189"/>
      <c r="E734" s="189"/>
      <c r="F734" s="191"/>
      <c r="G734" s="179"/>
    </row>
    <row r="735" ht="14.25" customHeight="1">
      <c r="A735" s="185"/>
      <c r="B735" s="187"/>
      <c r="C735" s="188"/>
      <c r="D735" s="189"/>
      <c r="E735" s="189"/>
      <c r="F735" s="191"/>
      <c r="G735" s="179"/>
    </row>
    <row r="736" ht="14.25" customHeight="1">
      <c r="A736" s="185"/>
      <c r="B736" s="187"/>
      <c r="C736" s="188"/>
      <c r="D736" s="189"/>
      <c r="E736" s="189"/>
      <c r="F736" s="191"/>
      <c r="G736" s="179"/>
    </row>
    <row r="737" ht="14.25" customHeight="1">
      <c r="A737" s="185"/>
      <c r="B737" s="187"/>
      <c r="C737" s="188"/>
      <c r="D737" s="189"/>
      <c r="E737" s="189"/>
      <c r="F737" s="191"/>
      <c r="G737" s="179"/>
    </row>
    <row r="738" ht="14.25" customHeight="1">
      <c r="A738" s="185"/>
      <c r="B738" s="187"/>
      <c r="C738" s="188"/>
      <c r="D738" s="189"/>
      <c r="E738" s="189"/>
      <c r="F738" s="191"/>
      <c r="G738" s="179"/>
    </row>
    <row r="739" ht="14.25" customHeight="1">
      <c r="A739" s="185"/>
      <c r="B739" s="187"/>
      <c r="C739" s="188"/>
      <c r="D739" s="189"/>
      <c r="E739" s="189"/>
      <c r="F739" s="191"/>
      <c r="G739" s="179"/>
    </row>
    <row r="740" ht="14.25" customHeight="1">
      <c r="A740" s="185"/>
      <c r="B740" s="187"/>
      <c r="C740" s="188"/>
      <c r="D740" s="189"/>
      <c r="E740" s="189"/>
      <c r="F740" s="191"/>
      <c r="G740" s="179"/>
    </row>
    <row r="741" ht="14.25" customHeight="1">
      <c r="A741" s="185"/>
      <c r="B741" s="187"/>
      <c r="C741" s="188"/>
      <c r="D741" s="189"/>
      <c r="E741" s="189"/>
      <c r="F741" s="191"/>
      <c r="G741" s="179"/>
    </row>
    <row r="742" ht="14.25" customHeight="1">
      <c r="A742" s="185"/>
      <c r="B742" s="187"/>
      <c r="C742" s="188"/>
      <c r="D742" s="189"/>
      <c r="E742" s="189"/>
      <c r="F742" s="191"/>
      <c r="G742" s="179"/>
    </row>
    <row r="743" ht="14.25" customHeight="1">
      <c r="A743" s="185"/>
      <c r="B743" s="187"/>
      <c r="C743" s="188"/>
      <c r="D743" s="189"/>
      <c r="E743" s="189"/>
      <c r="F743" s="191"/>
      <c r="G743" s="179"/>
    </row>
    <row r="744" ht="14.25" customHeight="1">
      <c r="A744" s="185"/>
      <c r="B744" s="187"/>
      <c r="C744" s="188"/>
      <c r="D744" s="189"/>
      <c r="E744" s="189"/>
      <c r="F744" s="191"/>
      <c r="G744" s="179"/>
    </row>
    <row r="745" ht="14.25" customHeight="1">
      <c r="A745" s="185"/>
      <c r="B745" s="187"/>
      <c r="C745" s="188"/>
      <c r="D745" s="189"/>
      <c r="E745" s="189"/>
      <c r="F745" s="191"/>
      <c r="G745" s="179"/>
    </row>
    <row r="746" ht="14.25" customHeight="1">
      <c r="A746" s="185"/>
      <c r="B746" s="187"/>
      <c r="C746" s="188"/>
      <c r="D746" s="189"/>
      <c r="E746" s="189"/>
      <c r="F746" s="191"/>
      <c r="G746" s="179"/>
    </row>
    <row r="747" ht="14.25" customHeight="1">
      <c r="A747" s="185"/>
      <c r="B747" s="187"/>
      <c r="C747" s="188"/>
      <c r="D747" s="189"/>
      <c r="E747" s="189"/>
      <c r="F747" s="191"/>
      <c r="G747" s="179"/>
    </row>
    <row r="748" ht="14.25" customHeight="1">
      <c r="A748" s="185"/>
      <c r="B748" s="187"/>
      <c r="C748" s="188"/>
      <c r="D748" s="189"/>
      <c r="E748" s="189"/>
      <c r="F748" s="191"/>
      <c r="G748" s="179"/>
    </row>
    <row r="749" ht="14.25" customHeight="1">
      <c r="A749" s="185"/>
      <c r="B749" s="187"/>
      <c r="C749" s="188"/>
      <c r="D749" s="189"/>
      <c r="E749" s="189"/>
      <c r="F749" s="191"/>
      <c r="G749" s="179"/>
    </row>
    <row r="750" ht="14.25" customHeight="1">
      <c r="A750" s="185"/>
      <c r="B750" s="187"/>
      <c r="C750" s="188"/>
      <c r="D750" s="189"/>
      <c r="E750" s="189"/>
      <c r="F750" s="191"/>
      <c r="G750" s="179"/>
    </row>
    <row r="751" ht="14.25" customHeight="1">
      <c r="A751" s="185"/>
      <c r="B751" s="187"/>
      <c r="C751" s="188"/>
      <c r="D751" s="189"/>
      <c r="E751" s="189"/>
      <c r="F751" s="191"/>
      <c r="G751" s="179"/>
    </row>
    <row r="752" ht="14.25" customHeight="1">
      <c r="A752" s="185"/>
      <c r="B752" s="187"/>
      <c r="C752" s="188"/>
      <c r="D752" s="189"/>
      <c r="E752" s="189"/>
      <c r="F752" s="191"/>
      <c r="G752" s="179"/>
    </row>
    <row r="753" ht="14.25" customHeight="1">
      <c r="A753" s="185"/>
      <c r="B753" s="187"/>
      <c r="C753" s="188"/>
      <c r="D753" s="189"/>
      <c r="E753" s="189"/>
      <c r="F753" s="191"/>
      <c r="G753" s="179"/>
    </row>
    <row r="754" ht="14.25" customHeight="1">
      <c r="A754" s="185"/>
      <c r="B754" s="187"/>
      <c r="C754" s="188"/>
      <c r="D754" s="189"/>
      <c r="E754" s="189"/>
      <c r="F754" s="191"/>
      <c r="G754" s="179"/>
    </row>
    <row r="755" ht="14.25" customHeight="1">
      <c r="A755" s="185"/>
      <c r="B755" s="187"/>
      <c r="C755" s="188"/>
      <c r="D755" s="189"/>
      <c r="E755" s="189"/>
      <c r="F755" s="191"/>
      <c r="G755" s="179"/>
    </row>
    <row r="756" ht="14.25" customHeight="1">
      <c r="A756" s="185"/>
      <c r="B756" s="187"/>
      <c r="C756" s="188"/>
      <c r="D756" s="189"/>
      <c r="E756" s="189"/>
      <c r="F756" s="191"/>
      <c r="G756" s="179"/>
    </row>
    <row r="757" ht="14.25" customHeight="1">
      <c r="A757" s="185"/>
      <c r="B757" s="187"/>
      <c r="C757" s="188"/>
      <c r="D757" s="189"/>
      <c r="E757" s="189"/>
      <c r="F757" s="191"/>
      <c r="G757" s="179"/>
    </row>
    <row r="758" ht="14.25" customHeight="1">
      <c r="A758" s="185"/>
      <c r="B758" s="187"/>
      <c r="C758" s="188"/>
      <c r="D758" s="189"/>
      <c r="E758" s="189"/>
      <c r="F758" s="191"/>
      <c r="G758" s="179"/>
    </row>
    <row r="759" ht="14.25" customHeight="1">
      <c r="A759" s="185"/>
      <c r="B759" s="187"/>
      <c r="C759" s="188"/>
      <c r="D759" s="189"/>
      <c r="E759" s="189"/>
      <c r="F759" s="191"/>
      <c r="G759" s="179"/>
    </row>
    <row r="760" ht="14.25" customHeight="1">
      <c r="A760" s="185"/>
      <c r="B760" s="187"/>
      <c r="C760" s="188"/>
      <c r="D760" s="189"/>
      <c r="E760" s="189"/>
      <c r="F760" s="191"/>
      <c r="G760" s="179"/>
    </row>
    <row r="761" ht="14.25" customHeight="1">
      <c r="A761" s="185"/>
      <c r="B761" s="187"/>
      <c r="C761" s="188"/>
      <c r="D761" s="189"/>
      <c r="E761" s="189"/>
      <c r="F761" s="191"/>
      <c r="G761" s="179"/>
    </row>
    <row r="762" ht="14.25" customHeight="1">
      <c r="A762" s="185"/>
      <c r="B762" s="187"/>
      <c r="C762" s="188"/>
      <c r="D762" s="189"/>
      <c r="E762" s="189"/>
      <c r="F762" s="191"/>
      <c r="G762" s="179"/>
    </row>
    <row r="763" ht="14.25" customHeight="1">
      <c r="A763" s="185"/>
      <c r="B763" s="187"/>
      <c r="C763" s="188"/>
      <c r="D763" s="189"/>
      <c r="E763" s="189"/>
      <c r="F763" s="191"/>
      <c r="G763" s="179"/>
    </row>
    <row r="764" ht="14.25" customHeight="1">
      <c r="A764" s="185"/>
      <c r="B764" s="187"/>
      <c r="C764" s="188"/>
      <c r="D764" s="189"/>
      <c r="E764" s="189"/>
      <c r="F764" s="191"/>
      <c r="G764" s="179"/>
    </row>
    <row r="765" ht="14.25" customHeight="1">
      <c r="A765" s="185"/>
      <c r="B765" s="187"/>
      <c r="C765" s="188"/>
      <c r="D765" s="189"/>
      <c r="E765" s="189"/>
      <c r="F765" s="191"/>
      <c r="G765" s="179"/>
    </row>
    <row r="766" ht="14.25" customHeight="1">
      <c r="A766" s="185"/>
      <c r="B766" s="187"/>
      <c r="C766" s="188"/>
      <c r="D766" s="189"/>
      <c r="E766" s="189"/>
      <c r="F766" s="191"/>
      <c r="G766" s="179"/>
    </row>
    <row r="767" ht="14.25" customHeight="1">
      <c r="A767" s="185"/>
      <c r="B767" s="187"/>
      <c r="C767" s="188"/>
      <c r="D767" s="189"/>
      <c r="E767" s="189"/>
      <c r="F767" s="191"/>
      <c r="G767" s="179"/>
    </row>
    <row r="768" ht="14.25" customHeight="1">
      <c r="A768" s="185"/>
      <c r="B768" s="187"/>
      <c r="C768" s="188"/>
      <c r="D768" s="189"/>
      <c r="E768" s="189"/>
      <c r="F768" s="191"/>
      <c r="G768" s="179"/>
    </row>
    <row r="769" ht="14.25" customHeight="1">
      <c r="A769" s="185"/>
      <c r="B769" s="187"/>
      <c r="C769" s="188"/>
      <c r="D769" s="189"/>
      <c r="E769" s="189"/>
      <c r="F769" s="191"/>
      <c r="G769" s="179"/>
    </row>
    <row r="770" ht="14.25" customHeight="1">
      <c r="A770" s="185"/>
      <c r="B770" s="187"/>
      <c r="C770" s="188"/>
      <c r="D770" s="189"/>
      <c r="E770" s="189"/>
      <c r="F770" s="191"/>
      <c r="G770" s="179"/>
    </row>
    <row r="771" ht="14.25" customHeight="1">
      <c r="A771" s="185"/>
      <c r="B771" s="187"/>
      <c r="C771" s="188"/>
      <c r="D771" s="189"/>
      <c r="E771" s="189"/>
      <c r="F771" s="191"/>
      <c r="G771" s="179"/>
    </row>
    <row r="772" ht="14.25" customHeight="1">
      <c r="A772" s="185"/>
      <c r="B772" s="187"/>
      <c r="C772" s="188"/>
      <c r="D772" s="189"/>
      <c r="E772" s="189"/>
      <c r="F772" s="191"/>
      <c r="G772" s="179"/>
    </row>
    <row r="773" ht="14.25" customHeight="1">
      <c r="A773" s="185"/>
      <c r="B773" s="187"/>
      <c r="C773" s="188"/>
      <c r="D773" s="189"/>
      <c r="E773" s="189"/>
      <c r="F773" s="191"/>
      <c r="G773" s="179"/>
    </row>
    <row r="774" ht="14.25" customHeight="1">
      <c r="A774" s="185"/>
      <c r="B774" s="187"/>
      <c r="C774" s="188"/>
      <c r="D774" s="189"/>
      <c r="E774" s="189"/>
      <c r="F774" s="191"/>
      <c r="G774" s="179"/>
    </row>
    <row r="775" ht="14.25" customHeight="1">
      <c r="A775" s="185"/>
      <c r="B775" s="187"/>
      <c r="C775" s="188"/>
      <c r="D775" s="189"/>
      <c r="E775" s="189"/>
      <c r="F775" s="191"/>
      <c r="G775" s="179"/>
    </row>
    <row r="776" ht="14.25" customHeight="1">
      <c r="A776" s="185"/>
      <c r="B776" s="187"/>
      <c r="C776" s="188"/>
      <c r="D776" s="189"/>
      <c r="E776" s="189"/>
      <c r="F776" s="191"/>
      <c r="G776" s="179"/>
    </row>
    <row r="777" ht="14.25" customHeight="1">
      <c r="A777" s="185"/>
      <c r="B777" s="187"/>
      <c r="C777" s="188"/>
      <c r="D777" s="189"/>
      <c r="E777" s="189"/>
      <c r="F777" s="191"/>
      <c r="G777" s="179"/>
    </row>
    <row r="778" ht="14.25" customHeight="1">
      <c r="A778" s="185"/>
      <c r="B778" s="187"/>
      <c r="C778" s="188"/>
      <c r="D778" s="189"/>
      <c r="E778" s="189"/>
      <c r="F778" s="191"/>
      <c r="G778" s="179"/>
    </row>
    <row r="779" ht="14.25" customHeight="1">
      <c r="A779" s="185"/>
      <c r="B779" s="187"/>
      <c r="C779" s="188"/>
      <c r="D779" s="189"/>
      <c r="E779" s="189"/>
      <c r="F779" s="191"/>
      <c r="G779" s="179"/>
    </row>
    <row r="780" ht="14.25" customHeight="1">
      <c r="A780" s="185"/>
      <c r="B780" s="187"/>
      <c r="C780" s="188"/>
      <c r="D780" s="189"/>
      <c r="E780" s="189"/>
      <c r="F780" s="191"/>
      <c r="G780" s="179"/>
    </row>
    <row r="781" ht="14.25" customHeight="1">
      <c r="A781" s="185"/>
      <c r="B781" s="187"/>
      <c r="C781" s="188"/>
      <c r="D781" s="189"/>
      <c r="E781" s="189"/>
      <c r="F781" s="191"/>
      <c r="G781" s="179"/>
    </row>
    <row r="782" ht="14.25" customHeight="1">
      <c r="A782" s="185"/>
      <c r="B782" s="187"/>
      <c r="C782" s="188"/>
      <c r="D782" s="189"/>
      <c r="E782" s="189"/>
      <c r="F782" s="191"/>
      <c r="G782" s="179"/>
    </row>
    <row r="783" ht="14.25" customHeight="1">
      <c r="A783" s="185"/>
      <c r="B783" s="187"/>
      <c r="C783" s="188"/>
      <c r="D783" s="189"/>
      <c r="E783" s="189"/>
      <c r="F783" s="191"/>
      <c r="G783" s="179"/>
    </row>
    <row r="784" ht="14.25" customHeight="1">
      <c r="A784" s="185"/>
      <c r="B784" s="187"/>
      <c r="C784" s="188"/>
      <c r="D784" s="189"/>
      <c r="E784" s="189"/>
      <c r="F784" s="191"/>
      <c r="G784" s="179"/>
    </row>
    <row r="785" ht="14.25" customHeight="1">
      <c r="A785" s="185"/>
      <c r="B785" s="187"/>
      <c r="C785" s="188"/>
      <c r="D785" s="189"/>
      <c r="E785" s="189"/>
      <c r="F785" s="191"/>
      <c r="G785" s="179"/>
    </row>
    <row r="786" ht="14.25" customHeight="1">
      <c r="A786" s="185"/>
      <c r="B786" s="187"/>
      <c r="C786" s="188"/>
      <c r="D786" s="189"/>
      <c r="E786" s="189"/>
      <c r="F786" s="191"/>
      <c r="G786" s="179"/>
    </row>
    <row r="787" ht="14.25" customHeight="1">
      <c r="A787" s="185"/>
      <c r="B787" s="187"/>
      <c r="C787" s="188"/>
      <c r="D787" s="189"/>
      <c r="E787" s="189"/>
      <c r="F787" s="191"/>
      <c r="G787" s="179"/>
    </row>
    <row r="788" ht="14.25" customHeight="1">
      <c r="A788" s="185"/>
      <c r="B788" s="187"/>
      <c r="C788" s="188"/>
      <c r="D788" s="189"/>
      <c r="E788" s="189"/>
      <c r="F788" s="191"/>
      <c r="G788" s="179"/>
    </row>
    <row r="789" ht="14.25" customHeight="1">
      <c r="A789" s="185"/>
      <c r="B789" s="187"/>
      <c r="C789" s="188"/>
      <c r="D789" s="189"/>
      <c r="E789" s="189"/>
      <c r="F789" s="191"/>
      <c r="G789" s="179"/>
    </row>
    <row r="790" ht="14.25" customHeight="1">
      <c r="A790" s="185"/>
      <c r="B790" s="187"/>
      <c r="C790" s="188"/>
      <c r="D790" s="189"/>
      <c r="E790" s="189"/>
      <c r="F790" s="191"/>
      <c r="G790" s="179"/>
    </row>
    <row r="791" ht="14.25" customHeight="1">
      <c r="A791" s="185"/>
      <c r="B791" s="187"/>
      <c r="C791" s="188"/>
      <c r="D791" s="189"/>
      <c r="E791" s="189"/>
      <c r="F791" s="191"/>
      <c r="G791" s="179"/>
    </row>
    <row r="792" ht="14.25" customHeight="1">
      <c r="A792" s="185"/>
      <c r="B792" s="187"/>
      <c r="C792" s="188"/>
      <c r="D792" s="189"/>
      <c r="E792" s="189"/>
      <c r="F792" s="191"/>
      <c r="G792" s="179"/>
    </row>
    <row r="793" ht="14.25" customHeight="1">
      <c r="A793" s="185"/>
      <c r="B793" s="187"/>
      <c r="C793" s="188"/>
      <c r="D793" s="189"/>
      <c r="E793" s="189"/>
      <c r="F793" s="191"/>
      <c r="G793" s="179"/>
    </row>
    <row r="794" ht="14.25" customHeight="1">
      <c r="A794" s="185"/>
      <c r="B794" s="187"/>
      <c r="C794" s="188"/>
      <c r="D794" s="189"/>
      <c r="E794" s="189"/>
      <c r="F794" s="191"/>
      <c r="G794" s="179"/>
    </row>
    <row r="795" ht="14.25" customHeight="1">
      <c r="A795" s="185"/>
      <c r="B795" s="187"/>
      <c r="C795" s="188"/>
      <c r="D795" s="189"/>
      <c r="E795" s="189"/>
      <c r="F795" s="191"/>
      <c r="G795" s="179"/>
    </row>
    <row r="796" ht="14.25" customHeight="1">
      <c r="A796" s="185"/>
      <c r="B796" s="187"/>
      <c r="C796" s="188"/>
      <c r="D796" s="189"/>
      <c r="E796" s="189"/>
      <c r="F796" s="191"/>
      <c r="G796" s="179"/>
    </row>
    <row r="797" ht="14.25" customHeight="1">
      <c r="A797" s="185"/>
      <c r="B797" s="187"/>
      <c r="C797" s="188"/>
      <c r="D797" s="189"/>
      <c r="E797" s="189"/>
      <c r="F797" s="191"/>
      <c r="G797" s="179"/>
    </row>
    <row r="798" ht="14.25" customHeight="1">
      <c r="A798" s="185"/>
      <c r="B798" s="187"/>
      <c r="C798" s="188"/>
      <c r="D798" s="189"/>
      <c r="E798" s="189"/>
      <c r="F798" s="191"/>
      <c r="G798" s="179"/>
    </row>
    <row r="799" ht="14.25" customHeight="1">
      <c r="A799" s="185"/>
      <c r="B799" s="187"/>
      <c r="C799" s="188"/>
      <c r="D799" s="189"/>
      <c r="E799" s="189"/>
      <c r="F799" s="191"/>
      <c r="G799" s="179"/>
    </row>
    <row r="800" ht="14.25" customHeight="1">
      <c r="A800" s="185"/>
      <c r="B800" s="187"/>
      <c r="C800" s="188"/>
      <c r="D800" s="189"/>
      <c r="E800" s="189"/>
      <c r="F800" s="191"/>
      <c r="G800" s="179"/>
    </row>
    <row r="801" ht="14.25" customHeight="1">
      <c r="A801" s="185"/>
      <c r="B801" s="187"/>
      <c r="C801" s="188"/>
      <c r="D801" s="189"/>
      <c r="E801" s="189"/>
      <c r="F801" s="191"/>
      <c r="G801" s="179"/>
    </row>
    <row r="802" ht="14.25" customHeight="1">
      <c r="A802" s="185"/>
      <c r="B802" s="187"/>
      <c r="C802" s="188"/>
      <c r="D802" s="189"/>
      <c r="E802" s="189"/>
      <c r="F802" s="191"/>
      <c r="G802" s="179"/>
    </row>
    <row r="803" ht="14.25" customHeight="1">
      <c r="A803" s="185"/>
      <c r="B803" s="187"/>
      <c r="C803" s="188"/>
      <c r="D803" s="189"/>
      <c r="E803" s="189"/>
      <c r="F803" s="191"/>
      <c r="G803" s="179"/>
    </row>
    <row r="804" ht="14.25" customHeight="1">
      <c r="A804" s="185"/>
      <c r="B804" s="187"/>
      <c r="C804" s="188"/>
      <c r="D804" s="189"/>
      <c r="E804" s="189"/>
      <c r="F804" s="191"/>
      <c r="G804" s="179"/>
    </row>
    <row r="805" ht="14.25" customHeight="1">
      <c r="A805" s="185"/>
      <c r="B805" s="187"/>
      <c r="C805" s="188"/>
      <c r="D805" s="189"/>
      <c r="E805" s="189"/>
      <c r="F805" s="191"/>
      <c r="G805" s="179"/>
    </row>
    <row r="806" ht="14.25" customHeight="1">
      <c r="A806" s="185"/>
      <c r="B806" s="187"/>
      <c r="C806" s="188"/>
      <c r="D806" s="189"/>
      <c r="E806" s="189"/>
      <c r="F806" s="191"/>
      <c r="G806" s="179"/>
    </row>
    <row r="807" ht="14.25" customHeight="1">
      <c r="A807" s="185"/>
      <c r="B807" s="187"/>
      <c r="C807" s="188"/>
      <c r="D807" s="189"/>
      <c r="E807" s="189"/>
      <c r="F807" s="191"/>
      <c r="G807" s="179"/>
    </row>
    <row r="808" ht="14.25" customHeight="1">
      <c r="A808" s="185"/>
      <c r="B808" s="187"/>
      <c r="C808" s="188"/>
      <c r="D808" s="189"/>
      <c r="E808" s="189"/>
      <c r="F808" s="191"/>
      <c r="G808" s="179"/>
    </row>
    <row r="809" ht="14.25" customHeight="1">
      <c r="A809" s="185"/>
      <c r="B809" s="187"/>
      <c r="C809" s="188"/>
      <c r="D809" s="189"/>
      <c r="E809" s="189"/>
      <c r="F809" s="191"/>
      <c r="G809" s="179"/>
    </row>
    <row r="810" ht="14.25" customHeight="1">
      <c r="A810" s="185"/>
      <c r="B810" s="187"/>
      <c r="C810" s="188"/>
      <c r="D810" s="189"/>
      <c r="E810" s="189"/>
      <c r="F810" s="191"/>
      <c r="G810" s="179"/>
    </row>
    <row r="811" ht="14.25" customHeight="1">
      <c r="A811" s="185"/>
      <c r="B811" s="187"/>
      <c r="C811" s="188"/>
      <c r="D811" s="189"/>
      <c r="E811" s="189"/>
      <c r="F811" s="191"/>
      <c r="G811" s="179"/>
    </row>
    <row r="812" ht="14.25" customHeight="1">
      <c r="A812" s="185"/>
      <c r="B812" s="187"/>
      <c r="C812" s="188"/>
      <c r="D812" s="189"/>
      <c r="E812" s="189"/>
      <c r="F812" s="191"/>
      <c r="G812" s="179"/>
    </row>
    <row r="813" ht="14.25" customHeight="1">
      <c r="A813" s="185"/>
      <c r="B813" s="187"/>
      <c r="C813" s="188"/>
      <c r="D813" s="189"/>
      <c r="E813" s="189"/>
      <c r="F813" s="191"/>
      <c r="G813" s="179"/>
    </row>
    <row r="814" ht="14.25" customHeight="1">
      <c r="A814" s="185"/>
      <c r="B814" s="187"/>
      <c r="C814" s="188"/>
      <c r="D814" s="189"/>
      <c r="E814" s="189"/>
      <c r="F814" s="191"/>
      <c r="G814" s="179"/>
    </row>
    <row r="815" ht="14.25" customHeight="1">
      <c r="A815" s="185"/>
      <c r="B815" s="187"/>
      <c r="C815" s="188"/>
      <c r="D815" s="189"/>
      <c r="E815" s="189"/>
      <c r="F815" s="191"/>
      <c r="G815" s="179"/>
    </row>
    <row r="816" ht="14.25" customHeight="1">
      <c r="A816" s="185"/>
      <c r="B816" s="187"/>
      <c r="C816" s="188"/>
      <c r="D816" s="189"/>
      <c r="E816" s="189"/>
      <c r="F816" s="191"/>
      <c r="G816" s="179"/>
    </row>
    <row r="817" ht="14.25" customHeight="1">
      <c r="A817" s="185"/>
      <c r="B817" s="187"/>
      <c r="C817" s="188"/>
      <c r="D817" s="189"/>
      <c r="E817" s="189"/>
      <c r="F817" s="191"/>
      <c r="G817" s="179"/>
    </row>
    <row r="818" ht="14.25" customHeight="1">
      <c r="A818" s="185"/>
      <c r="B818" s="187"/>
      <c r="C818" s="188"/>
      <c r="D818" s="189"/>
      <c r="E818" s="189"/>
      <c r="F818" s="191"/>
      <c r="G818" s="179"/>
    </row>
    <row r="819" ht="14.25" customHeight="1">
      <c r="A819" s="185"/>
      <c r="B819" s="187"/>
      <c r="C819" s="188"/>
      <c r="D819" s="189"/>
      <c r="E819" s="189"/>
      <c r="F819" s="191"/>
      <c r="G819" s="179"/>
    </row>
    <row r="820" ht="14.25" customHeight="1">
      <c r="A820" s="185"/>
      <c r="B820" s="187"/>
      <c r="C820" s="188"/>
      <c r="D820" s="189"/>
      <c r="E820" s="189"/>
      <c r="F820" s="191"/>
      <c r="G820" s="179"/>
    </row>
    <row r="821" ht="14.25" customHeight="1">
      <c r="A821" s="185"/>
      <c r="B821" s="187"/>
      <c r="C821" s="188"/>
      <c r="D821" s="189"/>
      <c r="E821" s="189"/>
      <c r="F821" s="191"/>
      <c r="G821" s="179"/>
    </row>
    <row r="822" ht="14.25" customHeight="1">
      <c r="A822" s="185"/>
      <c r="B822" s="187"/>
      <c r="C822" s="188"/>
      <c r="D822" s="189"/>
      <c r="E822" s="189"/>
      <c r="F822" s="191"/>
      <c r="G822" s="179"/>
    </row>
    <row r="823" ht="14.25" customHeight="1">
      <c r="A823" s="185"/>
      <c r="B823" s="187"/>
      <c r="C823" s="188"/>
      <c r="D823" s="189"/>
      <c r="E823" s="189"/>
      <c r="F823" s="191"/>
      <c r="G823" s="179"/>
    </row>
    <row r="824" ht="14.25" customHeight="1">
      <c r="A824" s="185"/>
      <c r="B824" s="187"/>
      <c r="C824" s="188"/>
      <c r="D824" s="189"/>
      <c r="E824" s="189"/>
      <c r="F824" s="191"/>
      <c r="G824" s="179"/>
    </row>
    <row r="825" ht="14.25" customHeight="1">
      <c r="A825" s="185"/>
      <c r="B825" s="187"/>
      <c r="C825" s="188"/>
      <c r="D825" s="189"/>
      <c r="E825" s="189"/>
      <c r="F825" s="191"/>
      <c r="G825" s="179"/>
    </row>
    <row r="826" ht="14.25" customHeight="1">
      <c r="A826" s="185"/>
      <c r="B826" s="187"/>
      <c r="C826" s="188"/>
      <c r="D826" s="189"/>
      <c r="E826" s="189"/>
      <c r="F826" s="191"/>
      <c r="G826" s="179"/>
    </row>
    <row r="827" ht="14.25" customHeight="1">
      <c r="A827" s="185"/>
      <c r="B827" s="187"/>
      <c r="C827" s="188"/>
      <c r="D827" s="189"/>
      <c r="E827" s="189"/>
      <c r="F827" s="191"/>
      <c r="G827" s="179"/>
    </row>
    <row r="828" ht="14.25" customHeight="1">
      <c r="A828" s="185"/>
      <c r="B828" s="187"/>
      <c r="C828" s="188"/>
      <c r="D828" s="189"/>
      <c r="E828" s="189"/>
      <c r="F828" s="191"/>
      <c r="G828" s="179"/>
    </row>
    <row r="829" ht="14.25" customHeight="1">
      <c r="A829" s="185"/>
      <c r="B829" s="187"/>
      <c r="C829" s="188"/>
      <c r="D829" s="189"/>
      <c r="E829" s="189"/>
      <c r="F829" s="191"/>
      <c r="G829" s="179"/>
    </row>
    <row r="830" ht="14.25" customHeight="1">
      <c r="A830" s="185"/>
      <c r="B830" s="187"/>
      <c r="C830" s="188"/>
      <c r="D830" s="189"/>
      <c r="E830" s="189"/>
      <c r="F830" s="191"/>
      <c r="G830" s="179"/>
    </row>
    <row r="831" ht="14.25" customHeight="1">
      <c r="A831" s="185"/>
      <c r="B831" s="187"/>
      <c r="C831" s="188"/>
      <c r="D831" s="189"/>
      <c r="E831" s="189"/>
      <c r="F831" s="191"/>
      <c r="G831" s="179"/>
    </row>
    <row r="832" ht="14.25" customHeight="1">
      <c r="A832" s="185"/>
      <c r="B832" s="187"/>
      <c r="C832" s="188"/>
      <c r="D832" s="189"/>
      <c r="E832" s="189"/>
      <c r="F832" s="191"/>
      <c r="G832" s="179"/>
    </row>
    <row r="833" ht="14.25" customHeight="1">
      <c r="A833" s="185"/>
      <c r="B833" s="187"/>
      <c r="C833" s="188"/>
      <c r="D833" s="189"/>
      <c r="E833" s="189"/>
      <c r="F833" s="191"/>
      <c r="G833" s="179"/>
    </row>
    <row r="834" ht="14.25" customHeight="1">
      <c r="A834" s="185"/>
      <c r="B834" s="187"/>
      <c r="C834" s="188"/>
      <c r="D834" s="189"/>
      <c r="E834" s="189"/>
      <c r="F834" s="191"/>
      <c r="G834" s="179"/>
    </row>
    <row r="835" ht="14.25" customHeight="1">
      <c r="A835" s="185"/>
      <c r="B835" s="187"/>
      <c r="C835" s="188"/>
      <c r="D835" s="189"/>
      <c r="E835" s="189"/>
      <c r="F835" s="191"/>
      <c r="G835" s="179"/>
    </row>
    <row r="836" ht="14.25" customHeight="1">
      <c r="A836" s="185"/>
      <c r="B836" s="187"/>
      <c r="C836" s="188"/>
      <c r="D836" s="189"/>
      <c r="E836" s="189"/>
      <c r="F836" s="191"/>
      <c r="G836" s="179"/>
    </row>
    <row r="837" ht="14.25" customHeight="1">
      <c r="A837" s="185"/>
      <c r="B837" s="187"/>
      <c r="C837" s="188"/>
      <c r="D837" s="189"/>
      <c r="E837" s="189"/>
      <c r="F837" s="191"/>
      <c r="G837" s="179"/>
    </row>
    <row r="838" ht="14.25" customHeight="1">
      <c r="A838" s="185"/>
      <c r="B838" s="187"/>
      <c r="C838" s="188"/>
      <c r="D838" s="189"/>
      <c r="E838" s="189"/>
      <c r="F838" s="191"/>
      <c r="G838" s="179"/>
    </row>
    <row r="839" ht="14.25" customHeight="1">
      <c r="A839" s="185"/>
      <c r="B839" s="187"/>
      <c r="C839" s="188"/>
      <c r="D839" s="189"/>
      <c r="E839" s="189"/>
      <c r="F839" s="191"/>
      <c r="G839" s="179"/>
    </row>
    <row r="840" ht="14.25" customHeight="1">
      <c r="A840" s="185"/>
      <c r="B840" s="187"/>
      <c r="C840" s="188"/>
      <c r="D840" s="189"/>
      <c r="E840" s="189"/>
      <c r="F840" s="191"/>
      <c r="G840" s="179"/>
    </row>
    <row r="841" ht="14.25" customHeight="1">
      <c r="A841" s="185"/>
      <c r="B841" s="187"/>
      <c r="C841" s="188"/>
      <c r="D841" s="189"/>
      <c r="E841" s="189"/>
      <c r="F841" s="191"/>
      <c r="G841" s="179"/>
    </row>
    <row r="842" ht="14.25" customHeight="1">
      <c r="A842" s="185"/>
      <c r="B842" s="187"/>
      <c r="C842" s="188"/>
      <c r="D842" s="189"/>
      <c r="E842" s="189"/>
      <c r="F842" s="191"/>
      <c r="G842" s="179"/>
    </row>
    <row r="843" ht="14.25" customHeight="1">
      <c r="A843" s="185"/>
      <c r="B843" s="187"/>
      <c r="C843" s="188"/>
      <c r="D843" s="189"/>
      <c r="E843" s="189"/>
      <c r="F843" s="191"/>
      <c r="G843" s="179"/>
    </row>
    <row r="844" ht="14.25" customHeight="1">
      <c r="A844" s="185"/>
      <c r="B844" s="187"/>
      <c r="C844" s="188"/>
      <c r="D844" s="189"/>
      <c r="E844" s="189"/>
      <c r="F844" s="191"/>
      <c r="G844" s="179"/>
    </row>
    <row r="845" ht="14.25" customHeight="1">
      <c r="A845" s="185"/>
      <c r="B845" s="187"/>
      <c r="C845" s="188"/>
      <c r="D845" s="189"/>
      <c r="E845" s="189"/>
      <c r="F845" s="191"/>
      <c r="G845" s="179"/>
    </row>
    <row r="846" ht="14.25" customHeight="1">
      <c r="A846" s="185"/>
      <c r="B846" s="187"/>
      <c r="C846" s="188"/>
      <c r="D846" s="189"/>
      <c r="E846" s="189"/>
      <c r="F846" s="191"/>
      <c r="G846" s="179"/>
    </row>
    <row r="847" ht="14.25" customHeight="1">
      <c r="A847" s="185"/>
      <c r="B847" s="187"/>
      <c r="C847" s="188"/>
      <c r="D847" s="189"/>
      <c r="E847" s="189"/>
      <c r="F847" s="191"/>
      <c r="G847" s="179"/>
    </row>
    <row r="848" ht="14.25" customHeight="1">
      <c r="A848" s="185"/>
      <c r="B848" s="187"/>
      <c r="C848" s="188"/>
      <c r="D848" s="189"/>
      <c r="E848" s="189"/>
      <c r="F848" s="191"/>
      <c r="G848" s="179"/>
    </row>
    <row r="849" ht="14.25" customHeight="1">
      <c r="A849" s="185"/>
      <c r="B849" s="187"/>
      <c r="C849" s="188"/>
      <c r="D849" s="189"/>
      <c r="E849" s="189"/>
      <c r="F849" s="191"/>
      <c r="G849" s="179"/>
    </row>
    <row r="850" ht="14.25" customHeight="1">
      <c r="A850" s="185"/>
      <c r="B850" s="187"/>
      <c r="C850" s="188"/>
      <c r="D850" s="189"/>
      <c r="E850" s="189"/>
      <c r="F850" s="191"/>
      <c r="G850" s="179"/>
    </row>
    <row r="851" ht="14.25" customHeight="1">
      <c r="A851" s="185"/>
      <c r="B851" s="187"/>
      <c r="C851" s="188"/>
      <c r="D851" s="189"/>
      <c r="E851" s="189"/>
      <c r="F851" s="191"/>
      <c r="G851" s="179"/>
    </row>
    <row r="852" ht="14.25" customHeight="1">
      <c r="A852" s="185"/>
      <c r="B852" s="187"/>
      <c r="C852" s="188"/>
      <c r="D852" s="189"/>
      <c r="E852" s="189"/>
      <c r="F852" s="191"/>
      <c r="G852" s="179"/>
    </row>
    <row r="853" ht="14.25" customHeight="1">
      <c r="A853" s="185"/>
      <c r="B853" s="187"/>
      <c r="C853" s="188"/>
      <c r="D853" s="189"/>
      <c r="E853" s="189"/>
      <c r="F853" s="191"/>
      <c r="G853" s="179"/>
    </row>
    <row r="854" ht="14.25" customHeight="1">
      <c r="A854" s="185"/>
      <c r="B854" s="187"/>
      <c r="C854" s="188"/>
      <c r="D854" s="189"/>
      <c r="E854" s="189"/>
      <c r="F854" s="191"/>
      <c r="G854" s="179"/>
    </row>
    <row r="855" ht="14.25" customHeight="1">
      <c r="A855" s="185"/>
      <c r="B855" s="187"/>
      <c r="C855" s="188"/>
      <c r="D855" s="189"/>
      <c r="E855" s="189"/>
      <c r="F855" s="191"/>
      <c r="G855" s="179"/>
    </row>
    <row r="856" ht="14.25" customHeight="1">
      <c r="A856" s="185"/>
      <c r="B856" s="187"/>
      <c r="C856" s="188"/>
      <c r="D856" s="189"/>
      <c r="E856" s="189"/>
      <c r="F856" s="191"/>
      <c r="G856" s="179"/>
    </row>
    <row r="857" ht="14.25" customHeight="1">
      <c r="A857" s="185"/>
      <c r="B857" s="187"/>
      <c r="C857" s="188"/>
      <c r="D857" s="189"/>
      <c r="E857" s="189"/>
      <c r="F857" s="191"/>
      <c r="G857" s="179"/>
    </row>
    <row r="858" ht="14.25" customHeight="1">
      <c r="A858" s="185"/>
      <c r="B858" s="187"/>
      <c r="C858" s="188"/>
      <c r="D858" s="189"/>
      <c r="E858" s="189"/>
      <c r="F858" s="191"/>
      <c r="G858" s="179"/>
    </row>
    <row r="859" ht="14.25" customHeight="1">
      <c r="A859" s="185"/>
      <c r="B859" s="187"/>
      <c r="C859" s="188"/>
      <c r="D859" s="189"/>
      <c r="E859" s="189"/>
      <c r="F859" s="191"/>
      <c r="G859" s="179"/>
    </row>
    <row r="860" ht="14.25" customHeight="1">
      <c r="A860" s="185"/>
      <c r="B860" s="187"/>
      <c r="C860" s="188"/>
      <c r="D860" s="189"/>
      <c r="E860" s="189"/>
      <c r="F860" s="191"/>
      <c r="G860" s="179"/>
    </row>
    <row r="861" ht="14.25" customHeight="1">
      <c r="A861" s="185"/>
      <c r="B861" s="187"/>
      <c r="C861" s="188"/>
      <c r="D861" s="189"/>
      <c r="E861" s="189"/>
      <c r="F861" s="191"/>
      <c r="G861" s="179"/>
    </row>
    <row r="862" ht="14.25" customHeight="1">
      <c r="A862" s="185"/>
      <c r="B862" s="187"/>
      <c r="C862" s="188"/>
      <c r="D862" s="189"/>
      <c r="E862" s="189"/>
      <c r="F862" s="191"/>
      <c r="G862" s="179"/>
    </row>
    <row r="863" ht="14.25" customHeight="1">
      <c r="A863" s="185"/>
      <c r="B863" s="187"/>
      <c r="C863" s="188"/>
      <c r="D863" s="189"/>
      <c r="E863" s="189"/>
      <c r="F863" s="191"/>
      <c r="G863" s="179"/>
    </row>
    <row r="864" ht="14.25" customHeight="1">
      <c r="A864" s="185"/>
      <c r="B864" s="187"/>
      <c r="C864" s="188"/>
      <c r="D864" s="189"/>
      <c r="E864" s="189"/>
      <c r="F864" s="191"/>
      <c r="G864" s="179"/>
    </row>
    <row r="865" ht="14.25" customHeight="1">
      <c r="A865" s="185"/>
      <c r="B865" s="187"/>
      <c r="C865" s="188"/>
      <c r="D865" s="189"/>
      <c r="E865" s="189"/>
      <c r="F865" s="191"/>
      <c r="G865" s="179"/>
    </row>
    <row r="866" ht="14.25" customHeight="1">
      <c r="A866" s="185"/>
      <c r="B866" s="187"/>
      <c r="C866" s="188"/>
      <c r="D866" s="189"/>
      <c r="E866" s="189"/>
      <c r="F866" s="191"/>
      <c r="G866" s="179"/>
    </row>
    <row r="867" ht="14.25" customHeight="1">
      <c r="A867" s="185"/>
      <c r="B867" s="187"/>
      <c r="C867" s="188"/>
      <c r="D867" s="189"/>
      <c r="E867" s="189"/>
      <c r="F867" s="191"/>
      <c r="G867" s="179"/>
    </row>
    <row r="868" ht="14.25" customHeight="1">
      <c r="A868" s="185"/>
      <c r="B868" s="187"/>
      <c r="C868" s="188"/>
      <c r="D868" s="189"/>
      <c r="E868" s="189"/>
      <c r="F868" s="191"/>
      <c r="G868" s="179"/>
    </row>
    <row r="869" ht="14.25" customHeight="1">
      <c r="A869" s="185"/>
      <c r="B869" s="187"/>
      <c r="C869" s="188"/>
      <c r="D869" s="189"/>
      <c r="E869" s="189"/>
      <c r="F869" s="191"/>
      <c r="G869" s="179"/>
    </row>
    <row r="870" ht="14.25" customHeight="1">
      <c r="A870" s="185"/>
      <c r="B870" s="187"/>
      <c r="C870" s="188"/>
      <c r="D870" s="189"/>
      <c r="E870" s="189"/>
      <c r="F870" s="191"/>
      <c r="G870" s="179"/>
    </row>
    <row r="871" ht="14.25" customHeight="1">
      <c r="A871" s="185"/>
      <c r="B871" s="187"/>
      <c r="C871" s="188"/>
      <c r="D871" s="189"/>
      <c r="E871" s="189"/>
      <c r="F871" s="191"/>
      <c r="G871" s="179"/>
    </row>
    <row r="872" ht="14.25" customHeight="1">
      <c r="A872" s="185"/>
      <c r="B872" s="187"/>
      <c r="C872" s="188"/>
      <c r="D872" s="189"/>
      <c r="E872" s="189"/>
      <c r="F872" s="191"/>
      <c r="G872" s="179"/>
    </row>
    <row r="873" ht="14.25" customHeight="1">
      <c r="A873" s="185"/>
      <c r="B873" s="187"/>
      <c r="C873" s="188"/>
      <c r="D873" s="189"/>
      <c r="E873" s="189"/>
      <c r="F873" s="191"/>
      <c r="G873" s="179"/>
    </row>
    <row r="874" ht="14.25" customHeight="1">
      <c r="A874" s="185"/>
      <c r="B874" s="187"/>
      <c r="C874" s="188"/>
      <c r="D874" s="189"/>
      <c r="E874" s="189"/>
      <c r="F874" s="191"/>
      <c r="G874" s="179"/>
    </row>
    <row r="875" ht="14.25" customHeight="1">
      <c r="A875" s="185"/>
      <c r="B875" s="187"/>
      <c r="C875" s="188"/>
      <c r="D875" s="189"/>
      <c r="E875" s="189"/>
      <c r="F875" s="191"/>
      <c r="G875" s="179"/>
    </row>
    <row r="876" ht="14.25" customHeight="1">
      <c r="A876" s="185"/>
      <c r="B876" s="187"/>
      <c r="C876" s="188"/>
      <c r="D876" s="189"/>
      <c r="E876" s="189"/>
      <c r="F876" s="191"/>
      <c r="G876" s="179"/>
    </row>
    <row r="877" ht="14.25" customHeight="1">
      <c r="A877" s="185"/>
      <c r="B877" s="187"/>
      <c r="C877" s="188"/>
      <c r="D877" s="189"/>
      <c r="E877" s="189"/>
      <c r="F877" s="191"/>
      <c r="G877" s="179"/>
    </row>
    <row r="878" ht="14.25" customHeight="1">
      <c r="A878" s="185"/>
      <c r="B878" s="187"/>
      <c r="C878" s="188"/>
      <c r="D878" s="189"/>
      <c r="E878" s="189"/>
      <c r="F878" s="191"/>
      <c r="G878" s="179"/>
    </row>
    <row r="879" ht="14.25" customHeight="1">
      <c r="A879" s="185"/>
      <c r="B879" s="187"/>
      <c r="C879" s="188"/>
      <c r="D879" s="189"/>
      <c r="E879" s="189"/>
      <c r="F879" s="191"/>
      <c r="G879" s="179"/>
    </row>
    <row r="880" ht="14.25" customHeight="1">
      <c r="A880" s="185"/>
      <c r="B880" s="187"/>
      <c r="C880" s="188"/>
      <c r="D880" s="189"/>
      <c r="E880" s="189"/>
      <c r="F880" s="191"/>
      <c r="G880" s="179"/>
    </row>
    <row r="881" ht="14.25" customHeight="1">
      <c r="A881" s="185"/>
      <c r="B881" s="187"/>
      <c r="C881" s="188"/>
      <c r="D881" s="189"/>
      <c r="E881" s="189"/>
      <c r="F881" s="191"/>
      <c r="G881" s="179"/>
    </row>
    <row r="882" ht="14.25" customHeight="1">
      <c r="A882" s="185"/>
      <c r="B882" s="187"/>
      <c r="C882" s="188"/>
      <c r="D882" s="189"/>
      <c r="E882" s="189"/>
      <c r="F882" s="191"/>
      <c r="G882" s="179"/>
    </row>
    <row r="883" ht="14.25" customHeight="1">
      <c r="A883" s="185"/>
      <c r="B883" s="187"/>
      <c r="C883" s="188"/>
      <c r="D883" s="189"/>
      <c r="E883" s="189"/>
      <c r="F883" s="191"/>
      <c r="G883" s="179"/>
    </row>
    <row r="884" ht="14.25" customHeight="1">
      <c r="A884" s="185"/>
      <c r="B884" s="187"/>
      <c r="C884" s="188"/>
      <c r="D884" s="189"/>
      <c r="E884" s="189"/>
      <c r="F884" s="191"/>
      <c r="G884" s="179"/>
    </row>
    <row r="885" ht="14.25" customHeight="1">
      <c r="A885" s="185"/>
      <c r="B885" s="187"/>
      <c r="C885" s="188"/>
      <c r="D885" s="189"/>
      <c r="E885" s="189"/>
      <c r="F885" s="191"/>
      <c r="G885" s="179"/>
    </row>
    <row r="886" ht="14.25" customHeight="1">
      <c r="A886" s="185"/>
      <c r="B886" s="187"/>
      <c r="C886" s="188"/>
      <c r="D886" s="189"/>
      <c r="E886" s="189"/>
      <c r="F886" s="191"/>
      <c r="G886" s="179"/>
    </row>
    <row r="887" ht="14.25" customHeight="1">
      <c r="A887" s="185"/>
      <c r="B887" s="187"/>
      <c r="C887" s="188"/>
      <c r="D887" s="189"/>
      <c r="E887" s="189"/>
      <c r="F887" s="191"/>
      <c r="G887" s="179"/>
    </row>
    <row r="888" ht="14.25" customHeight="1">
      <c r="A888" s="185"/>
      <c r="B888" s="187"/>
      <c r="C888" s="188"/>
      <c r="D888" s="189"/>
      <c r="E888" s="189"/>
      <c r="F888" s="191"/>
      <c r="G888" s="179"/>
    </row>
    <row r="889" ht="14.25" customHeight="1">
      <c r="A889" s="185"/>
      <c r="B889" s="187"/>
      <c r="C889" s="188"/>
      <c r="D889" s="189"/>
      <c r="E889" s="189"/>
      <c r="F889" s="191"/>
      <c r="G889" s="179"/>
    </row>
    <row r="890" ht="14.25" customHeight="1">
      <c r="A890" s="185"/>
      <c r="B890" s="187"/>
      <c r="C890" s="188"/>
      <c r="D890" s="189"/>
      <c r="E890" s="189"/>
      <c r="F890" s="191"/>
      <c r="G890" s="179"/>
    </row>
    <row r="891" ht="14.25" customHeight="1">
      <c r="A891" s="185"/>
      <c r="B891" s="187"/>
      <c r="C891" s="188"/>
      <c r="D891" s="189"/>
      <c r="E891" s="189"/>
      <c r="F891" s="191"/>
      <c r="G891" s="179"/>
    </row>
    <row r="892" ht="14.25" customHeight="1">
      <c r="A892" s="185"/>
      <c r="B892" s="187"/>
      <c r="C892" s="188"/>
      <c r="D892" s="189"/>
      <c r="E892" s="189"/>
      <c r="F892" s="191"/>
      <c r="G892" s="179"/>
    </row>
    <row r="893" ht="14.25" customHeight="1">
      <c r="A893" s="185"/>
      <c r="B893" s="187"/>
      <c r="C893" s="188"/>
      <c r="D893" s="189"/>
      <c r="E893" s="189"/>
      <c r="F893" s="191"/>
      <c r="G893" s="179"/>
    </row>
    <row r="894" ht="14.25" customHeight="1">
      <c r="A894" s="185"/>
      <c r="B894" s="187"/>
      <c r="C894" s="188"/>
      <c r="D894" s="189"/>
      <c r="E894" s="189"/>
      <c r="F894" s="191"/>
      <c r="G894" s="179"/>
    </row>
    <row r="895" ht="14.25" customHeight="1">
      <c r="A895" s="185"/>
      <c r="B895" s="187"/>
      <c r="C895" s="188"/>
      <c r="D895" s="189"/>
      <c r="E895" s="189"/>
      <c r="F895" s="191"/>
      <c r="G895" s="179"/>
    </row>
    <row r="896" ht="14.25" customHeight="1">
      <c r="A896" s="185"/>
      <c r="B896" s="187"/>
      <c r="C896" s="188"/>
      <c r="D896" s="189"/>
      <c r="E896" s="189"/>
      <c r="F896" s="191"/>
      <c r="G896" s="179"/>
    </row>
    <row r="897" ht="14.25" customHeight="1">
      <c r="A897" s="185"/>
      <c r="B897" s="187"/>
      <c r="C897" s="188"/>
      <c r="D897" s="189"/>
      <c r="E897" s="189"/>
      <c r="F897" s="191"/>
      <c r="G897" s="179"/>
    </row>
    <row r="898" ht="14.25" customHeight="1">
      <c r="A898" s="185"/>
      <c r="B898" s="187"/>
      <c r="C898" s="188"/>
      <c r="D898" s="189"/>
      <c r="E898" s="189"/>
      <c r="F898" s="191"/>
      <c r="G898" s="179"/>
    </row>
    <row r="899" ht="14.25" customHeight="1">
      <c r="A899" s="185"/>
      <c r="B899" s="187"/>
      <c r="C899" s="188"/>
      <c r="D899" s="189"/>
      <c r="E899" s="189"/>
      <c r="F899" s="191"/>
      <c r="G899" s="179"/>
    </row>
    <row r="900" ht="14.25" customHeight="1">
      <c r="A900" s="185"/>
      <c r="B900" s="187"/>
      <c r="C900" s="188"/>
      <c r="D900" s="189"/>
      <c r="E900" s="189"/>
      <c r="F900" s="191"/>
      <c r="G900" s="179"/>
    </row>
    <row r="901" ht="14.25" customHeight="1">
      <c r="A901" s="185"/>
      <c r="B901" s="187"/>
      <c r="C901" s="188"/>
      <c r="D901" s="189"/>
      <c r="E901" s="189"/>
      <c r="F901" s="191"/>
      <c r="G901" s="179"/>
    </row>
    <row r="902" ht="14.25" customHeight="1">
      <c r="A902" s="185"/>
      <c r="B902" s="187"/>
      <c r="C902" s="188"/>
      <c r="D902" s="189"/>
      <c r="E902" s="189"/>
      <c r="F902" s="191"/>
      <c r="G902" s="179"/>
    </row>
    <row r="903" ht="14.25" customHeight="1">
      <c r="A903" s="185"/>
      <c r="B903" s="187"/>
      <c r="C903" s="188"/>
      <c r="D903" s="189"/>
      <c r="E903" s="189"/>
      <c r="F903" s="191"/>
      <c r="G903" s="179"/>
    </row>
    <row r="904" ht="14.25" customHeight="1">
      <c r="A904" s="185"/>
      <c r="B904" s="187"/>
      <c r="C904" s="188"/>
      <c r="D904" s="189"/>
      <c r="E904" s="189"/>
      <c r="F904" s="191"/>
      <c r="G904" s="179"/>
    </row>
    <row r="905" ht="14.25" customHeight="1">
      <c r="A905" s="185"/>
      <c r="B905" s="187"/>
      <c r="C905" s="188"/>
      <c r="D905" s="189"/>
      <c r="E905" s="189"/>
      <c r="F905" s="191"/>
      <c r="G905" s="179"/>
    </row>
    <row r="906" ht="14.25" customHeight="1">
      <c r="A906" s="185"/>
      <c r="B906" s="187"/>
      <c r="C906" s="188"/>
      <c r="D906" s="189"/>
      <c r="E906" s="189"/>
      <c r="F906" s="191"/>
      <c r="G906" s="179"/>
    </row>
    <row r="907" ht="14.25" customHeight="1">
      <c r="A907" s="185"/>
      <c r="B907" s="187"/>
      <c r="C907" s="188"/>
      <c r="D907" s="189"/>
      <c r="E907" s="189"/>
      <c r="F907" s="191"/>
      <c r="G907" s="179"/>
    </row>
    <row r="908" ht="14.25" customHeight="1">
      <c r="A908" s="185"/>
      <c r="B908" s="187"/>
      <c r="C908" s="188"/>
      <c r="D908" s="189"/>
      <c r="E908" s="189"/>
      <c r="F908" s="191"/>
      <c r="G908" s="179"/>
    </row>
    <row r="909" ht="14.25" customHeight="1">
      <c r="A909" s="185"/>
      <c r="B909" s="187"/>
      <c r="C909" s="188"/>
      <c r="D909" s="189"/>
      <c r="E909" s="189"/>
      <c r="F909" s="191"/>
      <c r="G909" s="179"/>
    </row>
    <row r="910" ht="14.25" customHeight="1">
      <c r="A910" s="185"/>
      <c r="B910" s="187"/>
      <c r="C910" s="188"/>
      <c r="D910" s="189"/>
      <c r="E910" s="189"/>
      <c r="F910" s="191"/>
      <c r="G910" s="179"/>
    </row>
    <row r="911" ht="14.25" customHeight="1">
      <c r="A911" s="185"/>
      <c r="B911" s="187"/>
      <c r="C911" s="188"/>
      <c r="D911" s="189"/>
      <c r="E911" s="189"/>
      <c r="F911" s="191"/>
      <c r="G911" s="179"/>
    </row>
    <row r="912" ht="14.25" customHeight="1">
      <c r="A912" s="185"/>
      <c r="B912" s="187"/>
      <c r="C912" s="188"/>
      <c r="D912" s="189"/>
      <c r="E912" s="189"/>
      <c r="F912" s="191"/>
      <c r="G912" s="179"/>
    </row>
    <row r="913" ht="14.25" customHeight="1">
      <c r="A913" s="185"/>
      <c r="B913" s="187"/>
      <c r="C913" s="188"/>
      <c r="D913" s="189"/>
      <c r="E913" s="189"/>
      <c r="F913" s="191"/>
      <c r="G913" s="179"/>
    </row>
    <row r="914" ht="14.25" customHeight="1">
      <c r="A914" s="185"/>
      <c r="B914" s="187"/>
      <c r="C914" s="188"/>
      <c r="D914" s="189"/>
      <c r="E914" s="189"/>
      <c r="F914" s="191"/>
      <c r="G914" s="179"/>
    </row>
    <row r="915" ht="14.25" customHeight="1">
      <c r="A915" s="185"/>
      <c r="B915" s="187"/>
      <c r="C915" s="188"/>
      <c r="D915" s="189"/>
      <c r="E915" s="189"/>
      <c r="F915" s="191"/>
      <c r="G915" s="179"/>
    </row>
    <row r="916" ht="14.25" customHeight="1">
      <c r="A916" s="185"/>
      <c r="B916" s="187"/>
      <c r="C916" s="188"/>
      <c r="D916" s="189"/>
      <c r="E916" s="189"/>
      <c r="F916" s="191"/>
      <c r="G916" s="179"/>
    </row>
    <row r="917" ht="14.25" customHeight="1">
      <c r="A917" s="185"/>
      <c r="B917" s="187"/>
      <c r="C917" s="188"/>
      <c r="D917" s="189"/>
      <c r="E917" s="189"/>
      <c r="F917" s="191"/>
      <c r="G917" s="179"/>
    </row>
    <row r="918" ht="14.25" customHeight="1">
      <c r="A918" s="185"/>
      <c r="B918" s="187"/>
      <c r="C918" s="188"/>
      <c r="D918" s="189"/>
      <c r="E918" s="189"/>
      <c r="F918" s="191"/>
      <c r="G918" s="179"/>
    </row>
    <row r="919" ht="14.25" customHeight="1">
      <c r="A919" s="185"/>
      <c r="B919" s="187"/>
      <c r="C919" s="188"/>
      <c r="D919" s="189"/>
      <c r="E919" s="189"/>
      <c r="F919" s="191"/>
      <c r="G919" s="179"/>
    </row>
    <row r="920" ht="14.25" customHeight="1">
      <c r="A920" s="185"/>
      <c r="B920" s="187"/>
      <c r="C920" s="188"/>
      <c r="D920" s="189"/>
      <c r="E920" s="189"/>
      <c r="F920" s="191"/>
      <c r="G920" s="179"/>
    </row>
    <row r="921" ht="14.25" customHeight="1">
      <c r="A921" s="185"/>
      <c r="B921" s="187"/>
      <c r="C921" s="188"/>
      <c r="D921" s="189"/>
      <c r="E921" s="189"/>
      <c r="F921" s="191"/>
      <c r="G921" s="179"/>
    </row>
    <row r="922" ht="14.25" customHeight="1">
      <c r="A922" s="185"/>
      <c r="B922" s="187"/>
      <c r="C922" s="188"/>
      <c r="D922" s="189"/>
      <c r="E922" s="189"/>
      <c r="F922" s="191"/>
      <c r="G922" s="179"/>
    </row>
    <row r="923" ht="14.25" customHeight="1">
      <c r="A923" s="185"/>
      <c r="B923" s="187"/>
      <c r="C923" s="188"/>
      <c r="D923" s="189"/>
      <c r="E923" s="189"/>
      <c r="F923" s="191"/>
      <c r="G923" s="179"/>
    </row>
    <row r="924" ht="14.25" customHeight="1">
      <c r="A924" s="185"/>
      <c r="B924" s="187"/>
      <c r="C924" s="188"/>
      <c r="D924" s="189"/>
      <c r="E924" s="189"/>
      <c r="F924" s="191"/>
      <c r="G924" s="179"/>
    </row>
    <row r="925" ht="14.25" customHeight="1">
      <c r="A925" s="185"/>
      <c r="B925" s="187"/>
      <c r="C925" s="188"/>
      <c r="D925" s="189"/>
      <c r="E925" s="189"/>
      <c r="F925" s="191"/>
      <c r="G925" s="179"/>
    </row>
    <row r="926" ht="14.25" customHeight="1">
      <c r="A926" s="185"/>
      <c r="B926" s="187"/>
      <c r="C926" s="188"/>
      <c r="D926" s="189"/>
      <c r="E926" s="189"/>
      <c r="F926" s="191"/>
      <c r="G926" s="179"/>
    </row>
    <row r="927" ht="14.25" customHeight="1">
      <c r="A927" s="185"/>
      <c r="B927" s="187"/>
      <c r="C927" s="188"/>
      <c r="D927" s="189"/>
      <c r="E927" s="189"/>
      <c r="F927" s="191"/>
      <c r="G927" s="179"/>
    </row>
    <row r="928" ht="14.25" customHeight="1">
      <c r="A928" s="185"/>
      <c r="B928" s="187"/>
      <c r="C928" s="188"/>
      <c r="D928" s="189"/>
      <c r="E928" s="189"/>
      <c r="F928" s="191"/>
      <c r="G928" s="179"/>
    </row>
    <row r="929" ht="14.25" customHeight="1">
      <c r="A929" s="185"/>
      <c r="B929" s="187"/>
      <c r="C929" s="188"/>
      <c r="D929" s="189"/>
      <c r="E929" s="189"/>
      <c r="F929" s="191"/>
      <c r="G929" s="179"/>
    </row>
    <row r="930" ht="14.25" customHeight="1">
      <c r="A930" s="185"/>
      <c r="B930" s="187"/>
      <c r="C930" s="188"/>
      <c r="D930" s="189"/>
      <c r="E930" s="189"/>
      <c r="F930" s="191"/>
      <c r="G930" s="179"/>
    </row>
    <row r="931" ht="14.25" customHeight="1">
      <c r="A931" s="185"/>
      <c r="B931" s="187"/>
      <c r="C931" s="188"/>
      <c r="D931" s="189"/>
      <c r="E931" s="189"/>
      <c r="F931" s="191"/>
      <c r="G931" s="179"/>
    </row>
    <row r="932" ht="14.25" customHeight="1">
      <c r="A932" s="185"/>
      <c r="B932" s="187"/>
      <c r="C932" s="188"/>
      <c r="D932" s="189"/>
      <c r="E932" s="189"/>
      <c r="F932" s="191"/>
      <c r="G932" s="179"/>
    </row>
    <row r="933" ht="14.25" customHeight="1">
      <c r="A933" s="185"/>
      <c r="B933" s="187"/>
      <c r="C933" s="188"/>
      <c r="D933" s="189"/>
      <c r="E933" s="189"/>
      <c r="F933" s="191"/>
      <c r="G933" s="179"/>
    </row>
    <row r="934" ht="14.25" customHeight="1">
      <c r="A934" s="185"/>
      <c r="B934" s="187"/>
      <c r="C934" s="188"/>
      <c r="D934" s="189"/>
      <c r="E934" s="189"/>
      <c r="F934" s="191"/>
      <c r="G934" s="179"/>
    </row>
    <row r="935" ht="14.25" customHeight="1">
      <c r="A935" s="185"/>
      <c r="B935" s="187"/>
      <c r="C935" s="188"/>
      <c r="D935" s="189"/>
      <c r="E935" s="189"/>
      <c r="F935" s="191"/>
      <c r="G935" s="179"/>
    </row>
    <row r="936" ht="14.25" customHeight="1">
      <c r="A936" s="185"/>
      <c r="B936" s="187"/>
      <c r="C936" s="188"/>
      <c r="D936" s="189"/>
      <c r="E936" s="189"/>
      <c r="F936" s="191"/>
      <c r="G936" s="179"/>
    </row>
    <row r="937" ht="14.25" customHeight="1">
      <c r="A937" s="185"/>
      <c r="B937" s="187"/>
      <c r="C937" s="188"/>
      <c r="D937" s="189"/>
      <c r="E937" s="189"/>
      <c r="F937" s="191"/>
      <c r="G937" s="179"/>
    </row>
    <row r="938" ht="14.25" customHeight="1">
      <c r="A938" s="185"/>
      <c r="B938" s="187"/>
      <c r="C938" s="188"/>
      <c r="D938" s="189"/>
      <c r="E938" s="189"/>
      <c r="F938" s="191"/>
      <c r="G938" s="179"/>
    </row>
    <row r="939" ht="14.25" customHeight="1">
      <c r="A939" s="185"/>
      <c r="B939" s="187"/>
      <c r="C939" s="188"/>
      <c r="D939" s="189"/>
      <c r="E939" s="189"/>
      <c r="F939" s="191"/>
      <c r="G939" s="179"/>
    </row>
    <row r="940" ht="14.25" customHeight="1">
      <c r="A940" s="185"/>
      <c r="B940" s="187"/>
      <c r="C940" s="188"/>
      <c r="D940" s="189"/>
      <c r="E940" s="189"/>
      <c r="F940" s="191"/>
      <c r="G940" s="179"/>
    </row>
    <row r="941" ht="14.25" customHeight="1">
      <c r="A941" s="185"/>
      <c r="B941" s="187"/>
      <c r="C941" s="188"/>
      <c r="D941" s="189"/>
      <c r="E941" s="189"/>
      <c r="F941" s="191"/>
      <c r="G941" s="179"/>
    </row>
    <row r="942" ht="14.25" customHeight="1">
      <c r="A942" s="185"/>
      <c r="B942" s="187"/>
      <c r="C942" s="188"/>
      <c r="D942" s="189"/>
      <c r="E942" s="189"/>
      <c r="F942" s="191"/>
      <c r="G942" s="179"/>
    </row>
    <row r="943" ht="14.25" customHeight="1">
      <c r="A943" s="185"/>
      <c r="B943" s="187"/>
      <c r="C943" s="188"/>
      <c r="D943" s="189"/>
      <c r="E943" s="189"/>
      <c r="F943" s="191"/>
      <c r="G943" s="179"/>
    </row>
    <row r="944" ht="14.25" customHeight="1">
      <c r="A944" s="185"/>
      <c r="B944" s="187"/>
      <c r="C944" s="188"/>
      <c r="D944" s="189"/>
      <c r="E944" s="189"/>
      <c r="F944" s="191"/>
      <c r="G944" s="179"/>
    </row>
    <row r="945" ht="14.25" customHeight="1">
      <c r="A945" s="185"/>
      <c r="B945" s="187"/>
      <c r="C945" s="188"/>
      <c r="D945" s="189"/>
      <c r="E945" s="189"/>
      <c r="F945" s="191"/>
      <c r="G945" s="179"/>
    </row>
    <row r="946" ht="14.25" customHeight="1">
      <c r="A946" s="185"/>
      <c r="B946" s="187"/>
      <c r="C946" s="188"/>
      <c r="D946" s="189"/>
      <c r="E946" s="189"/>
      <c r="F946" s="191"/>
      <c r="G946" s="179"/>
    </row>
    <row r="947" ht="14.25" customHeight="1">
      <c r="A947" s="185"/>
      <c r="B947" s="187"/>
      <c r="C947" s="188"/>
      <c r="D947" s="189"/>
      <c r="E947" s="189"/>
      <c r="F947" s="191"/>
      <c r="G947" s="179"/>
    </row>
    <row r="948" ht="14.25" customHeight="1">
      <c r="A948" s="185"/>
      <c r="B948" s="187"/>
      <c r="C948" s="188"/>
      <c r="D948" s="189"/>
      <c r="E948" s="189"/>
      <c r="F948" s="191"/>
      <c r="G948" s="179"/>
    </row>
    <row r="949" ht="14.25" customHeight="1">
      <c r="A949" s="185"/>
      <c r="B949" s="187"/>
      <c r="C949" s="188"/>
      <c r="D949" s="189"/>
      <c r="E949" s="189"/>
      <c r="F949" s="191"/>
      <c r="G949" s="179"/>
    </row>
    <row r="950" ht="14.25" customHeight="1">
      <c r="A950" s="185"/>
      <c r="B950" s="187"/>
      <c r="C950" s="188"/>
      <c r="D950" s="189"/>
      <c r="E950" s="189"/>
      <c r="F950" s="191"/>
      <c r="G950" s="179"/>
    </row>
    <row r="951" ht="14.25" customHeight="1">
      <c r="A951" s="185"/>
      <c r="B951" s="187"/>
      <c r="C951" s="188"/>
      <c r="D951" s="189"/>
      <c r="E951" s="189"/>
      <c r="F951" s="191"/>
      <c r="G951" s="179"/>
    </row>
    <row r="952" ht="14.25" customHeight="1">
      <c r="A952" s="185"/>
      <c r="B952" s="187"/>
      <c r="C952" s="188"/>
      <c r="D952" s="189"/>
      <c r="E952" s="189"/>
      <c r="F952" s="191"/>
      <c r="G952" s="179"/>
    </row>
    <row r="953" ht="14.25" customHeight="1">
      <c r="A953" s="185"/>
      <c r="B953" s="187"/>
      <c r="C953" s="188"/>
      <c r="D953" s="189"/>
      <c r="E953" s="189"/>
      <c r="F953" s="191"/>
      <c r="G953" s="179"/>
    </row>
    <row r="954" ht="14.25" customHeight="1">
      <c r="A954" s="185"/>
      <c r="B954" s="187"/>
      <c r="C954" s="188"/>
      <c r="D954" s="189"/>
      <c r="E954" s="189"/>
      <c r="F954" s="191"/>
      <c r="G954" s="179"/>
    </row>
    <row r="955" ht="14.25" customHeight="1">
      <c r="A955" s="185"/>
      <c r="B955" s="187"/>
      <c r="C955" s="188"/>
      <c r="D955" s="189"/>
      <c r="E955" s="189"/>
      <c r="F955" s="191"/>
      <c r="G955" s="179"/>
    </row>
    <row r="956" ht="14.25" customHeight="1">
      <c r="A956" s="185"/>
      <c r="B956" s="187"/>
      <c r="C956" s="188"/>
      <c r="D956" s="189"/>
      <c r="E956" s="189"/>
      <c r="F956" s="191"/>
      <c r="G956" s="179"/>
    </row>
    <row r="957" ht="14.25" customHeight="1">
      <c r="A957" s="185"/>
      <c r="B957" s="187"/>
      <c r="C957" s="188"/>
      <c r="D957" s="189"/>
      <c r="E957" s="189"/>
      <c r="F957" s="191"/>
      <c r="G957" s="179"/>
    </row>
    <row r="958" ht="14.25" customHeight="1">
      <c r="A958" s="185"/>
      <c r="B958" s="187"/>
      <c r="C958" s="188"/>
      <c r="D958" s="189"/>
      <c r="E958" s="189"/>
      <c r="F958" s="191"/>
      <c r="G958" s="179"/>
    </row>
    <row r="959" ht="14.25" customHeight="1">
      <c r="A959" s="185"/>
      <c r="B959" s="187"/>
      <c r="C959" s="188"/>
      <c r="D959" s="189"/>
      <c r="E959" s="189"/>
      <c r="F959" s="191"/>
      <c r="G959" s="179"/>
    </row>
    <row r="960" ht="14.25" customHeight="1">
      <c r="A960" s="185"/>
      <c r="B960" s="187"/>
      <c r="C960" s="188"/>
      <c r="D960" s="189"/>
      <c r="E960" s="189"/>
      <c r="F960" s="191"/>
      <c r="G960" s="179"/>
    </row>
    <row r="961" ht="14.25" customHeight="1">
      <c r="A961" s="185"/>
      <c r="B961" s="187"/>
      <c r="C961" s="188"/>
      <c r="D961" s="189"/>
      <c r="E961" s="189"/>
      <c r="F961" s="191"/>
      <c r="G961" s="179"/>
    </row>
    <row r="962" ht="14.25" customHeight="1">
      <c r="A962" s="185"/>
      <c r="B962" s="187"/>
      <c r="C962" s="188"/>
      <c r="D962" s="189"/>
      <c r="E962" s="189"/>
      <c r="F962" s="191"/>
      <c r="G962" s="179"/>
    </row>
    <row r="963" ht="14.25" customHeight="1">
      <c r="A963" s="185"/>
      <c r="B963" s="187"/>
      <c r="C963" s="188"/>
      <c r="D963" s="189"/>
      <c r="E963" s="189"/>
      <c r="F963" s="191"/>
      <c r="G963" s="179"/>
    </row>
    <row r="964" ht="14.25" customHeight="1">
      <c r="A964" s="185"/>
      <c r="B964" s="187"/>
      <c r="C964" s="188"/>
      <c r="D964" s="189"/>
      <c r="E964" s="189"/>
      <c r="F964" s="191"/>
      <c r="G964" s="179"/>
    </row>
    <row r="965" ht="14.25" customHeight="1">
      <c r="A965" s="185"/>
      <c r="B965" s="187"/>
      <c r="C965" s="188"/>
      <c r="D965" s="189"/>
      <c r="E965" s="189"/>
      <c r="F965" s="191"/>
      <c r="G965" s="179"/>
    </row>
    <row r="966" ht="14.25" customHeight="1">
      <c r="A966" s="185"/>
      <c r="B966" s="187"/>
      <c r="C966" s="188"/>
      <c r="D966" s="189"/>
      <c r="E966" s="189"/>
      <c r="F966" s="191"/>
      <c r="G966" s="179"/>
    </row>
    <row r="967" ht="14.25" customHeight="1">
      <c r="A967" s="185"/>
      <c r="B967" s="187"/>
      <c r="C967" s="188"/>
      <c r="D967" s="189"/>
      <c r="E967" s="189"/>
      <c r="F967" s="191"/>
      <c r="G967" s="179"/>
    </row>
    <row r="968" ht="14.25" customHeight="1">
      <c r="A968" s="185"/>
      <c r="B968" s="187"/>
      <c r="C968" s="188"/>
      <c r="D968" s="189"/>
      <c r="E968" s="189"/>
      <c r="F968" s="191"/>
      <c r="G968" s="179"/>
    </row>
    <row r="969" ht="14.25" customHeight="1">
      <c r="A969" s="185"/>
      <c r="B969" s="187"/>
      <c r="C969" s="188"/>
      <c r="D969" s="189"/>
      <c r="E969" s="189"/>
      <c r="F969" s="191"/>
      <c r="G969" s="179"/>
    </row>
    <row r="970" ht="14.25" customHeight="1">
      <c r="A970" s="185"/>
      <c r="B970" s="187"/>
      <c r="C970" s="188"/>
      <c r="D970" s="189"/>
      <c r="E970" s="189"/>
      <c r="F970" s="191"/>
      <c r="G970" s="179"/>
    </row>
    <row r="971" ht="14.25" customHeight="1">
      <c r="A971" s="185"/>
      <c r="B971" s="187"/>
      <c r="C971" s="188"/>
      <c r="D971" s="189"/>
      <c r="E971" s="189"/>
      <c r="F971" s="191"/>
      <c r="G971" s="179"/>
    </row>
    <row r="972" ht="14.25" customHeight="1">
      <c r="A972" s="185"/>
      <c r="B972" s="187"/>
      <c r="C972" s="188"/>
      <c r="D972" s="189"/>
      <c r="E972" s="189"/>
      <c r="F972" s="191"/>
      <c r="G972" s="179"/>
    </row>
    <row r="973" ht="14.25" customHeight="1">
      <c r="A973" s="185"/>
      <c r="B973" s="187"/>
      <c r="C973" s="188"/>
      <c r="D973" s="189"/>
      <c r="E973" s="189"/>
      <c r="F973" s="191"/>
      <c r="G973" s="179"/>
    </row>
    <row r="974" ht="14.25" customHeight="1">
      <c r="A974" s="185"/>
      <c r="B974" s="187"/>
      <c r="C974" s="188"/>
      <c r="D974" s="189"/>
      <c r="E974" s="189"/>
      <c r="F974" s="191"/>
      <c r="G974" s="179"/>
    </row>
    <row r="975" ht="14.25" customHeight="1">
      <c r="A975" s="185"/>
      <c r="B975" s="187"/>
      <c r="C975" s="188"/>
      <c r="D975" s="189"/>
      <c r="E975" s="189"/>
      <c r="F975" s="191"/>
      <c r="G975" s="179"/>
    </row>
    <row r="976" ht="14.25" customHeight="1">
      <c r="A976" s="185"/>
      <c r="B976" s="187"/>
      <c r="C976" s="188"/>
      <c r="D976" s="189"/>
      <c r="E976" s="189"/>
      <c r="F976" s="191"/>
      <c r="G976" s="179"/>
    </row>
    <row r="977" ht="14.25" customHeight="1">
      <c r="A977" s="185"/>
      <c r="B977" s="187"/>
      <c r="C977" s="188"/>
      <c r="D977" s="189"/>
      <c r="E977" s="189"/>
      <c r="F977" s="191"/>
      <c r="G977" s="179"/>
    </row>
    <row r="978" ht="14.25" customHeight="1">
      <c r="A978" s="185"/>
      <c r="B978" s="187"/>
      <c r="C978" s="188"/>
      <c r="D978" s="189"/>
      <c r="E978" s="189"/>
      <c r="F978" s="191"/>
      <c r="G978" s="179"/>
    </row>
    <row r="979" ht="14.25" customHeight="1">
      <c r="A979" s="185"/>
      <c r="B979" s="187"/>
      <c r="C979" s="188"/>
      <c r="D979" s="189"/>
      <c r="E979" s="189"/>
      <c r="F979" s="191"/>
      <c r="G979" s="179"/>
    </row>
    <row r="980" ht="14.25" customHeight="1">
      <c r="A980" s="185"/>
      <c r="B980" s="187"/>
      <c r="C980" s="188"/>
      <c r="D980" s="189"/>
      <c r="E980" s="189"/>
      <c r="F980" s="191"/>
      <c r="G980" s="179"/>
    </row>
    <row r="981" ht="14.25" customHeight="1">
      <c r="A981" s="185"/>
      <c r="B981" s="187"/>
      <c r="C981" s="188"/>
      <c r="D981" s="189"/>
      <c r="E981" s="189"/>
      <c r="F981" s="191"/>
      <c r="G981" s="179"/>
    </row>
    <row r="982" ht="14.25" customHeight="1">
      <c r="A982" s="185"/>
      <c r="B982" s="187"/>
      <c r="C982" s="188"/>
      <c r="D982" s="189"/>
      <c r="E982" s="189"/>
      <c r="F982" s="191"/>
      <c r="G982" s="179"/>
    </row>
    <row r="983" ht="14.25" customHeight="1">
      <c r="A983" s="185"/>
      <c r="B983" s="187"/>
      <c r="C983" s="188"/>
      <c r="D983" s="189"/>
      <c r="E983" s="189"/>
      <c r="F983" s="191"/>
      <c r="G983" s="179"/>
    </row>
    <row r="984" ht="14.25" customHeight="1">
      <c r="A984" s="185"/>
      <c r="B984" s="187"/>
      <c r="C984" s="188"/>
      <c r="D984" s="189"/>
      <c r="E984" s="189"/>
      <c r="F984" s="191"/>
      <c r="G984" s="179"/>
    </row>
    <row r="985" ht="14.25" customHeight="1">
      <c r="A985" s="185"/>
      <c r="B985" s="187"/>
      <c r="C985" s="188"/>
      <c r="D985" s="189"/>
      <c r="E985" s="189"/>
      <c r="F985" s="191"/>
      <c r="G985" s="179"/>
    </row>
    <row r="986" ht="14.25" customHeight="1">
      <c r="A986" s="185"/>
      <c r="B986" s="187"/>
      <c r="C986" s="188"/>
      <c r="D986" s="189"/>
      <c r="E986" s="189"/>
      <c r="F986" s="191"/>
      <c r="G986" s="179"/>
    </row>
    <row r="987" ht="14.25" customHeight="1">
      <c r="A987" s="185"/>
      <c r="B987" s="187"/>
      <c r="C987" s="188"/>
      <c r="D987" s="189"/>
      <c r="E987" s="189"/>
      <c r="F987" s="191"/>
      <c r="G987" s="179"/>
    </row>
    <row r="988" ht="14.25" customHeight="1">
      <c r="A988" s="185"/>
      <c r="B988" s="187"/>
      <c r="C988" s="188"/>
      <c r="D988" s="189"/>
      <c r="E988" s="189"/>
      <c r="F988" s="191"/>
      <c r="G988" s="179"/>
    </row>
    <row r="989" ht="14.25" customHeight="1">
      <c r="A989" s="185"/>
      <c r="B989" s="187"/>
      <c r="C989" s="188"/>
      <c r="D989" s="189"/>
      <c r="E989" s="189"/>
      <c r="F989" s="191"/>
      <c r="G989" s="179"/>
    </row>
    <row r="990" ht="14.25" customHeight="1">
      <c r="A990" s="185"/>
      <c r="B990" s="187"/>
      <c r="C990" s="188"/>
      <c r="D990" s="189"/>
      <c r="E990" s="189"/>
      <c r="F990" s="191"/>
      <c r="G990" s="179"/>
    </row>
    <row r="991" ht="14.25" customHeight="1">
      <c r="A991" s="185"/>
      <c r="B991" s="187"/>
      <c r="C991" s="188"/>
      <c r="D991" s="189"/>
      <c r="E991" s="189"/>
      <c r="F991" s="191"/>
      <c r="G991" s="179"/>
    </row>
    <row r="992" ht="14.25" customHeight="1">
      <c r="A992" s="185"/>
      <c r="B992" s="187"/>
      <c r="C992" s="188"/>
      <c r="D992" s="189"/>
      <c r="E992" s="189"/>
      <c r="F992" s="191"/>
      <c r="G992" s="179"/>
    </row>
    <row r="993" ht="14.25" customHeight="1">
      <c r="A993" s="185"/>
      <c r="B993" s="187"/>
      <c r="C993" s="188"/>
      <c r="D993" s="189"/>
      <c r="E993" s="189"/>
      <c r="F993" s="191"/>
      <c r="G993" s="179"/>
    </row>
    <row r="994" ht="14.25" customHeight="1">
      <c r="A994" s="185"/>
      <c r="B994" s="187"/>
      <c r="C994" s="188"/>
      <c r="D994" s="189"/>
      <c r="E994" s="189"/>
      <c r="F994" s="191"/>
      <c r="G994" s="179"/>
    </row>
    <row r="995" ht="14.25" customHeight="1">
      <c r="A995" s="185"/>
      <c r="B995" s="187"/>
      <c r="C995" s="188"/>
      <c r="D995" s="189"/>
      <c r="E995" s="189"/>
      <c r="F995" s="191"/>
      <c r="G995" s="179"/>
    </row>
    <row r="996" ht="14.25" customHeight="1">
      <c r="A996" s="185"/>
      <c r="B996" s="187"/>
      <c r="C996" s="188"/>
      <c r="D996" s="189"/>
      <c r="E996" s="189"/>
      <c r="F996" s="191"/>
      <c r="G996" s="179"/>
    </row>
    <row r="997" ht="14.25" customHeight="1">
      <c r="A997" s="185"/>
      <c r="B997" s="187"/>
      <c r="C997" s="188"/>
      <c r="D997" s="189"/>
      <c r="E997" s="189"/>
      <c r="F997" s="191"/>
      <c r="G997" s="179"/>
    </row>
  </sheetData>
  <conditionalFormatting sqref="C2:C997">
    <cfRule type="cellIs" dxfId="20" priority="1" stopIfTrue="1" operator="equal">
      <formula>"Mutasi Saldo"</formula>
    </cfRule>
  </conditionalFormatting>
  <conditionalFormatting sqref="C2:C996">
    <cfRule type="containsText" dxfId="21" priority="2" stopIfTrue="1" operator="containsText" text="Mutasi">
      <formula>NOT(ISERROR(SEARCH(("Mutasi"),(C2))))</formula>
    </cfRule>
  </conditionalFormatting>
  <conditionalFormatting sqref="C2:C996">
    <cfRule type="cellIs" dxfId="22" priority="3" stopIfTrue="1" operator="equal">
      <formula>"Saldo Masuk"</formula>
    </cfRule>
  </conditionalFormatting>
  <conditionalFormatting sqref="C2:C996">
    <cfRule type="cellIs" dxfId="23" priority="4" stopIfTrue="1" operator="equal">
      <formula>"Mutasi Saldo"</formula>
    </cfRule>
  </conditionalFormatting>
  <dataValidations>
    <dataValidation type="custom" allowBlank="1" showDropDown="1" sqref="A2:A997">
      <formula1>OR(NOT(ISERROR(DATEVALUE(A2))), AND(ISNUMBER(A2), LEFT(CELL("format", A2))="D"))</formula1>
    </dataValidation>
    <dataValidation type="list" allowBlank="1" showDropDown="1" sqref="C2:C997">
      <formula1>"Pemasukan,Pengeluaran,Mutasi"</formula1>
    </dataValidation>
    <dataValidation type="list" allowBlank="1" sqref="D2:E997">
      <formula1>"CASH,QRIS,BANK BCA,MULTI,DANA,BANK MAS,WAHANA,-"</formula1>
    </dataValidation>
    <dataValidation type="custom" allowBlank="1" showDropDown="1" sqref="F2:F997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20.5"/>
    <col customWidth="1" min="3" max="3" width="16.0"/>
    <col customWidth="1" min="4" max="4" width="19.13"/>
    <col customWidth="1" min="5" max="5" width="22.5"/>
    <col customWidth="1" min="6" max="6" width="23.5"/>
    <col customWidth="1" min="7" max="7" width="7.63"/>
    <col customWidth="1" min="8" max="9" width="22.0"/>
    <col customWidth="1" min="10" max="11" width="23.13"/>
    <col customWidth="1" min="12" max="22" width="7.63"/>
  </cols>
  <sheetData>
    <row r="1" ht="14.25" customHeight="1">
      <c r="A1" s="203"/>
      <c r="B1" s="204" t="s">
        <v>9</v>
      </c>
      <c r="C1" s="205" t="s">
        <v>2649</v>
      </c>
      <c r="D1" s="206" t="s">
        <v>2651</v>
      </c>
      <c r="E1" s="206" t="s">
        <v>2652</v>
      </c>
      <c r="F1" s="206" t="s">
        <v>2653</v>
      </c>
      <c r="G1" s="203"/>
      <c r="H1" s="207" t="s">
        <v>2654</v>
      </c>
      <c r="I1" s="207" t="s">
        <v>2324</v>
      </c>
      <c r="J1" s="207" t="s">
        <v>2655</v>
      </c>
      <c r="K1" s="208" t="s">
        <v>864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</row>
    <row r="2" ht="31.5" customHeight="1">
      <c r="A2" s="1"/>
      <c r="B2" s="209">
        <f t="array" ref="B2:B32">SEQUENCE(31, 1, DATE(2026, 7, 1))</f>
        <v>46204</v>
      </c>
      <c r="C2" s="210">
        <f>COUNTIFS('Transaksi Harian'!$A:$A, "&gt;="&amp;$B2, 'Transaksi Harian'!$A:$A, "&lt;"&amp;($B2+1))</f>
        <v>0</v>
      </c>
      <c r="D2" s="211">
        <f>SUMIFS('Transaksi Harian'!$H:$H, 'Transaksi Harian'!$A:$A, "&gt;="&amp;$B2, 'Transaksi Harian'!$A:$A, "&lt;"&amp;($B2+1))</f>
        <v>0</v>
      </c>
      <c r="E2" s="211">
        <f>SUMIFS('Transaksi Harian'!$J:$J, 'Transaksi Harian'!$A:$A, "&gt;="&amp;$B2, 'Transaksi Harian'!$A:$A, "&lt;"&amp;($B2+1))</f>
        <v>0</v>
      </c>
      <c r="F2" s="211">
        <f t="shared" ref="F2:F32" si="1">E2-D2</f>
        <v>0</v>
      </c>
      <c r="G2" s="212"/>
      <c r="H2" s="211">
        <f>SUMIFS('Transaksi Harian'!$J:$J, 'Transaksi Harian'!$A:$A, "&gt;="&amp;$B2, 'Transaksi Harian'!$A:$A, "&lt;"&amp;($B2+1), 'Transaksi Harian'!$K:$K, TRIM(H$1))</f>
        <v>0</v>
      </c>
      <c r="I2" s="211">
        <f>SUMIFS('Transaksi Harian'!$J:$J, 'Transaksi Harian'!$A:$A, "&gt;="&amp;$B2, 'Transaksi Harian'!$A:$A, "&lt;"&amp;($B2+1), 'Transaksi Harian'!$K:$K, TRIM(I$1))</f>
        <v>0</v>
      </c>
      <c r="J2" s="211">
        <f>SUMIFS('Transaksi Harian'!$J:$J, 'Transaksi Harian'!$A:$A, "&gt;="&amp;$B2, 'Transaksi Harian'!$A:$A, "&lt;"&amp;($B2+1), 'Transaksi Harian'!$K:$K, "TRANSFER")</f>
        <v>0</v>
      </c>
      <c r="K2" s="211">
        <f>SUMIFS('Transaksi Harian'!$J:$J, 'Transaksi Harian'!$A:$A, "&gt;="&amp;$B2, 'Transaksi Harian'!$A:$A, "&lt;"&amp;($B2+1), 'Transaksi Harian'!$K:$K, TRIM(K$1))</f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31.5" customHeight="1">
      <c r="A3" s="1"/>
      <c r="B3" s="213">
        <v>46205.0</v>
      </c>
      <c r="C3" s="210">
        <f>COUNTIFS('Transaksi Harian'!$A:$A, "&gt;="&amp;$B3, 'Transaksi Harian'!$A:$A, "&lt;"&amp;($B3+1))</f>
        <v>0</v>
      </c>
      <c r="D3" s="211">
        <f>SUMIFS('Transaksi Harian'!$H:$H, 'Transaksi Harian'!$A:$A, "&gt;="&amp;$B3, 'Transaksi Harian'!$A:$A, "&lt;"&amp;($B3+1))</f>
        <v>0</v>
      </c>
      <c r="E3" s="211">
        <f>SUMIFS('Transaksi Harian'!$J:$J, 'Transaksi Harian'!$A:$A, "&gt;="&amp;$B3, 'Transaksi Harian'!$A:$A, "&lt;"&amp;($B3+1))</f>
        <v>0</v>
      </c>
      <c r="F3" s="211">
        <f t="shared" si="1"/>
        <v>0</v>
      </c>
      <c r="G3" s="212"/>
      <c r="H3" s="211">
        <f>SUMIFS('Transaksi Harian'!$J:$J, 'Transaksi Harian'!$A:$A, "&gt;="&amp;$B3, 'Transaksi Harian'!$A:$A, "&lt;"&amp;($B3+1), 'Transaksi Harian'!$K:$K, TRIM(H$1))</f>
        <v>0</v>
      </c>
      <c r="I3" s="211">
        <f>SUMIFS('Transaksi Harian'!$J:$J, 'Transaksi Harian'!$A:$A, "&gt;="&amp;$B3, 'Transaksi Harian'!$A:$A, "&lt;"&amp;($B3+1), 'Transaksi Harian'!$K:$K, TRIM(I$1))</f>
        <v>0</v>
      </c>
      <c r="J3" s="211">
        <f>SUMIFS('Transaksi Harian'!$J:$J, 'Transaksi Harian'!$A:$A, "&gt;="&amp;$B3, 'Transaksi Harian'!$A:$A, "&lt;"&amp;($B3+1), 'Transaksi Harian'!$K:$K, "TRANSFER")</f>
        <v>0</v>
      </c>
      <c r="K3" s="211">
        <f>SUMIFS('Transaksi Harian'!$J:$J, 'Transaksi Harian'!$A:$A, "&gt;="&amp;$B3, 'Transaksi Harian'!$A:$A, "&lt;"&amp;($B3+1), 'Transaksi Harian'!$K:$K, TRIM(K$1))</f>
        <v>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31.5" customHeight="1">
      <c r="A4" s="1"/>
      <c r="B4" s="213">
        <v>46206.0</v>
      </c>
      <c r="C4" s="210">
        <f>COUNTIFS('Transaksi Harian'!$A:$A, "&gt;="&amp;$B4, 'Transaksi Harian'!$A:$A, "&lt;"&amp;($B4+1))</f>
        <v>0</v>
      </c>
      <c r="D4" s="211">
        <f>SUMIFS('Transaksi Harian'!$H:$H, 'Transaksi Harian'!$A:$A, "&gt;="&amp;$B4, 'Transaksi Harian'!$A:$A, "&lt;"&amp;($B4+1))</f>
        <v>0</v>
      </c>
      <c r="E4" s="211">
        <f>SUMIFS('Transaksi Harian'!$J:$J, 'Transaksi Harian'!$A:$A, "&gt;="&amp;$B4, 'Transaksi Harian'!$A:$A, "&lt;"&amp;($B4+1))</f>
        <v>0</v>
      </c>
      <c r="F4" s="211">
        <f t="shared" si="1"/>
        <v>0</v>
      </c>
      <c r="G4" s="212"/>
      <c r="H4" s="211">
        <f>SUMIFS('Transaksi Harian'!$J:$J, 'Transaksi Harian'!$A:$A, "&gt;="&amp;$B4, 'Transaksi Harian'!$A:$A, "&lt;"&amp;($B4+1), 'Transaksi Harian'!$K:$K, TRIM(H$1))</f>
        <v>0</v>
      </c>
      <c r="I4" s="211">
        <f>SUMIFS('Transaksi Harian'!$J:$J, 'Transaksi Harian'!$A:$A, "&gt;="&amp;$B4, 'Transaksi Harian'!$A:$A, "&lt;"&amp;($B4+1), 'Transaksi Harian'!$K:$K, TRIM(I$1))</f>
        <v>0</v>
      </c>
      <c r="J4" s="211">
        <f>SUMIFS('Transaksi Harian'!$J:$J, 'Transaksi Harian'!$A:$A, "&gt;="&amp;$B4, 'Transaksi Harian'!$A:$A, "&lt;"&amp;($B4+1), 'Transaksi Harian'!$K:$K, "TRANSFER")</f>
        <v>0</v>
      </c>
      <c r="K4" s="211">
        <f>SUMIFS('Transaksi Harian'!$J:$J, 'Transaksi Harian'!$A:$A, "&gt;="&amp;$B4, 'Transaksi Harian'!$A:$A, "&lt;"&amp;($B4+1), 'Transaksi Harian'!$K:$K, TRIM(K$1))</f>
        <v>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31.5" customHeight="1">
      <c r="A5" s="1"/>
      <c r="B5" s="213">
        <v>46207.0</v>
      </c>
      <c r="C5" s="210">
        <f>COUNTIFS('Transaksi Harian'!$A:$A, "&gt;="&amp;$B5, 'Transaksi Harian'!$A:$A, "&lt;"&amp;($B5+1))</f>
        <v>0</v>
      </c>
      <c r="D5" s="211">
        <f>SUMIFS('Transaksi Harian'!$H:$H, 'Transaksi Harian'!$A:$A, "&gt;="&amp;$B5, 'Transaksi Harian'!$A:$A, "&lt;"&amp;($B5+1))</f>
        <v>0</v>
      </c>
      <c r="E5" s="211">
        <f>SUMIFS('Transaksi Harian'!$J:$J, 'Transaksi Harian'!$A:$A, "&gt;="&amp;$B5, 'Transaksi Harian'!$A:$A, "&lt;"&amp;($B5+1))</f>
        <v>0</v>
      </c>
      <c r="F5" s="211">
        <f t="shared" si="1"/>
        <v>0</v>
      </c>
      <c r="G5" s="212"/>
      <c r="H5" s="211">
        <f>SUMIFS('Transaksi Harian'!$J:$J, 'Transaksi Harian'!$A:$A, "&gt;="&amp;$B5, 'Transaksi Harian'!$A:$A, "&lt;"&amp;($B5+1), 'Transaksi Harian'!$K:$K, TRIM(H$1))</f>
        <v>0</v>
      </c>
      <c r="I5" s="211">
        <f>SUMIFS('Transaksi Harian'!$J:$J, 'Transaksi Harian'!$A:$A, "&gt;="&amp;$B5, 'Transaksi Harian'!$A:$A, "&lt;"&amp;($B5+1), 'Transaksi Harian'!$K:$K, TRIM(I$1))</f>
        <v>0</v>
      </c>
      <c r="J5" s="211">
        <f>SUMIFS('Transaksi Harian'!$J:$J, 'Transaksi Harian'!$A:$A, "&gt;="&amp;$B5, 'Transaksi Harian'!$A:$A, "&lt;"&amp;($B5+1), 'Transaksi Harian'!$K:$K, "TRANSFER")</f>
        <v>0</v>
      </c>
      <c r="K5" s="211">
        <f>SUMIFS('Transaksi Harian'!$J:$J, 'Transaksi Harian'!$A:$A, "&gt;="&amp;$B5, 'Transaksi Harian'!$A:$A, "&lt;"&amp;($B5+1), 'Transaksi Harian'!$K:$K, TRIM(K$1))</f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1.5" customHeight="1">
      <c r="A6" s="1"/>
      <c r="B6" s="213">
        <v>46208.0</v>
      </c>
      <c r="C6" s="210">
        <f>COUNTIFS('Transaksi Harian'!$A:$A, "&gt;="&amp;$B6, 'Transaksi Harian'!$A:$A, "&lt;"&amp;($B6+1))</f>
        <v>0</v>
      </c>
      <c r="D6" s="211">
        <f>SUMIFS('Transaksi Harian'!$H:$H, 'Transaksi Harian'!$A:$A, "&gt;="&amp;$B6, 'Transaksi Harian'!$A:$A, "&lt;"&amp;($B6+1))</f>
        <v>0</v>
      </c>
      <c r="E6" s="211">
        <f>SUMIFS('Transaksi Harian'!$J:$J, 'Transaksi Harian'!$A:$A, "&gt;="&amp;$B6, 'Transaksi Harian'!$A:$A, "&lt;"&amp;($B6+1))</f>
        <v>0</v>
      </c>
      <c r="F6" s="211">
        <f t="shared" si="1"/>
        <v>0</v>
      </c>
      <c r="G6" s="212"/>
      <c r="H6" s="211">
        <f>SUMIFS('Transaksi Harian'!$J:$J, 'Transaksi Harian'!$A:$A, "&gt;="&amp;$B6, 'Transaksi Harian'!$A:$A, "&lt;"&amp;($B6+1), 'Transaksi Harian'!$K:$K, TRIM(H$1))</f>
        <v>0</v>
      </c>
      <c r="I6" s="211">
        <f>SUMIFS('Transaksi Harian'!$J:$J, 'Transaksi Harian'!$A:$A, "&gt;="&amp;$B6, 'Transaksi Harian'!$A:$A, "&lt;"&amp;($B6+1), 'Transaksi Harian'!$K:$K, TRIM(I$1))</f>
        <v>0</v>
      </c>
      <c r="J6" s="211">
        <f>SUMIFS('Transaksi Harian'!$J:$J, 'Transaksi Harian'!$A:$A, "&gt;="&amp;$B6, 'Transaksi Harian'!$A:$A, "&lt;"&amp;($B6+1), 'Transaksi Harian'!$K:$K, "TRANSFER")</f>
        <v>0</v>
      </c>
      <c r="K6" s="211">
        <f>SUMIFS('Transaksi Harian'!$J:$J, 'Transaksi Harian'!$A:$A, "&gt;="&amp;$B6, 'Transaksi Harian'!$A:$A, "&lt;"&amp;($B6+1), 'Transaksi Harian'!$K:$K, TRIM(K$1))</f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31.5" customHeight="1">
      <c r="A7" s="1"/>
      <c r="B7" s="213">
        <v>46209.0</v>
      </c>
      <c r="C7" s="210">
        <f>COUNTIFS('Transaksi Harian'!$A:$A, "&gt;="&amp;$B7, 'Transaksi Harian'!$A:$A, "&lt;"&amp;($B7+1))</f>
        <v>0</v>
      </c>
      <c r="D7" s="211">
        <f>SUMIFS('Transaksi Harian'!$H:$H, 'Transaksi Harian'!$A:$A, "&gt;="&amp;$B7, 'Transaksi Harian'!$A:$A, "&lt;"&amp;($B7+1))</f>
        <v>0</v>
      </c>
      <c r="E7" s="211">
        <f>SUMIFS('Transaksi Harian'!$J:$J, 'Transaksi Harian'!$A:$A, "&gt;="&amp;$B7, 'Transaksi Harian'!$A:$A, "&lt;"&amp;($B7+1))</f>
        <v>0</v>
      </c>
      <c r="F7" s="211">
        <f t="shared" si="1"/>
        <v>0</v>
      </c>
      <c r="G7" s="212"/>
      <c r="H7" s="211">
        <f>SUMIFS('Transaksi Harian'!$J:$J, 'Transaksi Harian'!$A:$A, "&gt;="&amp;$B7, 'Transaksi Harian'!$A:$A, "&lt;"&amp;($B7+1), 'Transaksi Harian'!$K:$K, TRIM(H$1))</f>
        <v>0</v>
      </c>
      <c r="I7" s="211">
        <f>SUMIFS('Transaksi Harian'!$J:$J, 'Transaksi Harian'!$A:$A, "&gt;="&amp;$B7, 'Transaksi Harian'!$A:$A, "&lt;"&amp;($B7+1), 'Transaksi Harian'!$K:$K, TRIM(I$1))</f>
        <v>0</v>
      </c>
      <c r="J7" s="211">
        <f>SUMIFS('Transaksi Harian'!$J:$J, 'Transaksi Harian'!$A:$A, "&gt;="&amp;$B7, 'Transaksi Harian'!$A:$A, "&lt;"&amp;($B7+1), 'Transaksi Harian'!$K:$K, "TRANSFER")</f>
        <v>0</v>
      </c>
      <c r="K7" s="211">
        <f>SUMIFS('Transaksi Harian'!$J:$J, 'Transaksi Harian'!$A:$A, "&gt;="&amp;$B7, 'Transaksi Harian'!$A:$A, "&lt;"&amp;($B7+1), 'Transaksi Harian'!$K:$K, TRIM(K$1))</f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31.5" customHeight="1">
      <c r="A8" s="1"/>
      <c r="B8" s="213">
        <v>46210.0</v>
      </c>
      <c r="C8" s="210">
        <f>COUNTIFS('Transaksi Harian'!$A:$A, "&gt;="&amp;$B8, 'Transaksi Harian'!$A:$A, "&lt;"&amp;($B8+1))</f>
        <v>0</v>
      </c>
      <c r="D8" s="211">
        <f>SUMIFS('Transaksi Harian'!$H:$H, 'Transaksi Harian'!$A:$A, "&gt;="&amp;$B8, 'Transaksi Harian'!$A:$A, "&lt;"&amp;($B8+1))</f>
        <v>0</v>
      </c>
      <c r="E8" s="211">
        <f>SUMIFS('Transaksi Harian'!$J:$J, 'Transaksi Harian'!$A:$A, "&gt;="&amp;$B8, 'Transaksi Harian'!$A:$A, "&lt;"&amp;($B8+1))</f>
        <v>0</v>
      </c>
      <c r="F8" s="211">
        <f t="shared" si="1"/>
        <v>0</v>
      </c>
      <c r="G8" s="212"/>
      <c r="H8" s="211">
        <f>SUMIFS('Transaksi Harian'!$J:$J, 'Transaksi Harian'!$A:$A, "&gt;="&amp;$B8, 'Transaksi Harian'!$A:$A, "&lt;"&amp;($B8+1), 'Transaksi Harian'!$K:$K, TRIM(H$1))</f>
        <v>0</v>
      </c>
      <c r="I8" s="211">
        <f>SUMIFS('Transaksi Harian'!$J:$J, 'Transaksi Harian'!$A:$A, "&gt;="&amp;$B8, 'Transaksi Harian'!$A:$A, "&lt;"&amp;($B8+1), 'Transaksi Harian'!$K:$K, TRIM(I$1))</f>
        <v>0</v>
      </c>
      <c r="J8" s="211">
        <f>SUMIFS('Transaksi Harian'!$J:$J, 'Transaksi Harian'!$A:$A, "&gt;="&amp;$B8, 'Transaksi Harian'!$A:$A, "&lt;"&amp;($B8+1), 'Transaksi Harian'!$K:$K, "TRANSFER")</f>
        <v>0</v>
      </c>
      <c r="K8" s="211">
        <f>SUMIFS('Transaksi Harian'!$J:$J, 'Transaksi Harian'!$A:$A, "&gt;="&amp;$B8, 'Transaksi Harian'!$A:$A, "&lt;"&amp;($B8+1), 'Transaksi Harian'!$K:$K, TRIM(K$1))</f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31.5" customHeight="1">
      <c r="A9" s="1"/>
      <c r="B9" s="213">
        <v>46211.0</v>
      </c>
      <c r="C9" s="210">
        <f>COUNTIFS('Transaksi Harian'!$A:$A, "&gt;="&amp;$B9, 'Transaksi Harian'!$A:$A, "&lt;"&amp;($B9+1))</f>
        <v>0</v>
      </c>
      <c r="D9" s="211">
        <f>SUMIFS('Transaksi Harian'!$H:$H, 'Transaksi Harian'!$A:$A, "&gt;="&amp;$B9, 'Transaksi Harian'!$A:$A, "&lt;"&amp;($B9+1))</f>
        <v>0</v>
      </c>
      <c r="E9" s="211">
        <f>SUMIFS('Transaksi Harian'!$J:$J, 'Transaksi Harian'!$A:$A, "&gt;="&amp;$B9, 'Transaksi Harian'!$A:$A, "&lt;"&amp;($B9+1))</f>
        <v>0</v>
      </c>
      <c r="F9" s="211">
        <f t="shared" si="1"/>
        <v>0</v>
      </c>
      <c r="G9" s="212"/>
      <c r="H9" s="211">
        <f>SUMIFS('Transaksi Harian'!$J:$J, 'Transaksi Harian'!$A:$A, "&gt;="&amp;$B9, 'Transaksi Harian'!$A:$A, "&lt;"&amp;($B9+1), 'Transaksi Harian'!$K:$K, TRIM(H$1))</f>
        <v>0</v>
      </c>
      <c r="I9" s="211">
        <f>SUMIFS('Transaksi Harian'!$J:$J, 'Transaksi Harian'!$A:$A, "&gt;="&amp;$B9, 'Transaksi Harian'!$A:$A, "&lt;"&amp;($B9+1), 'Transaksi Harian'!$K:$K, TRIM(I$1))</f>
        <v>0</v>
      </c>
      <c r="J9" s="211">
        <f>SUMIFS('Transaksi Harian'!$J:$J, 'Transaksi Harian'!$A:$A, "&gt;="&amp;$B9, 'Transaksi Harian'!$A:$A, "&lt;"&amp;($B9+1), 'Transaksi Harian'!$K:$K, "TRANSFER")</f>
        <v>0</v>
      </c>
      <c r="K9" s="211">
        <f>SUMIFS('Transaksi Harian'!$J:$J, 'Transaksi Harian'!$A:$A, "&gt;="&amp;$B9, 'Transaksi Harian'!$A:$A, "&lt;"&amp;($B9+1), 'Transaksi Harian'!$K:$K, TRIM(K$1))</f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31.5" customHeight="1">
      <c r="A10" s="1"/>
      <c r="B10" s="213">
        <v>46212.0</v>
      </c>
      <c r="C10" s="210">
        <f>COUNTIFS('Transaksi Harian'!$A:$A, "&gt;="&amp;$B10, 'Transaksi Harian'!$A:$A, "&lt;"&amp;($B10+1))</f>
        <v>0</v>
      </c>
      <c r="D10" s="211">
        <f>SUMIFS('Transaksi Harian'!$H:$H, 'Transaksi Harian'!$A:$A, "&gt;="&amp;$B10, 'Transaksi Harian'!$A:$A, "&lt;"&amp;($B10+1))</f>
        <v>0</v>
      </c>
      <c r="E10" s="211">
        <f>SUMIFS('Transaksi Harian'!$J:$J, 'Transaksi Harian'!$A:$A, "&gt;="&amp;$B10, 'Transaksi Harian'!$A:$A, "&lt;"&amp;($B10+1))</f>
        <v>0</v>
      </c>
      <c r="F10" s="211">
        <f t="shared" si="1"/>
        <v>0</v>
      </c>
      <c r="G10" s="212"/>
      <c r="H10" s="211">
        <f>SUMIFS('Transaksi Harian'!$J:$J, 'Transaksi Harian'!$A:$A, "&gt;="&amp;$B10, 'Transaksi Harian'!$A:$A, "&lt;"&amp;($B10+1), 'Transaksi Harian'!$K:$K, TRIM(H$1))</f>
        <v>0</v>
      </c>
      <c r="I10" s="211">
        <f>SUMIFS('Transaksi Harian'!$J:$J, 'Transaksi Harian'!$A:$A, "&gt;="&amp;$B10, 'Transaksi Harian'!$A:$A, "&lt;"&amp;($B10+1), 'Transaksi Harian'!$K:$K, TRIM(I$1))</f>
        <v>0</v>
      </c>
      <c r="J10" s="211">
        <f>SUMIFS('Transaksi Harian'!$J:$J, 'Transaksi Harian'!$A:$A, "&gt;="&amp;$B10, 'Transaksi Harian'!$A:$A, "&lt;"&amp;($B10+1), 'Transaksi Harian'!$K:$K, "TRANSFER")</f>
        <v>0</v>
      </c>
      <c r="K10" s="211">
        <f>SUMIFS('Transaksi Harian'!$J:$J, 'Transaksi Harian'!$A:$A, "&gt;="&amp;$B10, 'Transaksi Harian'!$A:$A, "&lt;"&amp;($B10+1), 'Transaksi Harian'!$K:$K, TRIM(K$1))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31.5" customHeight="1">
      <c r="A11" s="1"/>
      <c r="B11" s="213">
        <v>46213.0</v>
      </c>
      <c r="C11" s="210">
        <f>COUNTIFS('Transaksi Harian'!$A:$A, "&gt;="&amp;$B11, 'Transaksi Harian'!$A:$A, "&lt;"&amp;($B11+1))</f>
        <v>0</v>
      </c>
      <c r="D11" s="211">
        <f>SUMIFS('Transaksi Harian'!$H:$H, 'Transaksi Harian'!$A:$A, "&gt;="&amp;$B11, 'Transaksi Harian'!$A:$A, "&lt;"&amp;($B11+1))</f>
        <v>0</v>
      </c>
      <c r="E11" s="211">
        <f>SUMIFS('Transaksi Harian'!$J:$J, 'Transaksi Harian'!$A:$A, "&gt;="&amp;$B11, 'Transaksi Harian'!$A:$A, "&lt;"&amp;($B11+1))</f>
        <v>0</v>
      </c>
      <c r="F11" s="211">
        <f t="shared" si="1"/>
        <v>0</v>
      </c>
      <c r="G11" s="212"/>
      <c r="H11" s="211">
        <f>SUMIFS('Transaksi Harian'!$J:$J, 'Transaksi Harian'!$A:$A, "&gt;="&amp;$B11, 'Transaksi Harian'!$A:$A, "&lt;"&amp;($B11+1), 'Transaksi Harian'!$K:$K, TRIM(H$1))</f>
        <v>0</v>
      </c>
      <c r="I11" s="211">
        <f>SUMIFS('Transaksi Harian'!$J:$J, 'Transaksi Harian'!$A:$A, "&gt;="&amp;$B11, 'Transaksi Harian'!$A:$A, "&lt;"&amp;($B11+1), 'Transaksi Harian'!$K:$K, TRIM(I$1))</f>
        <v>0</v>
      </c>
      <c r="J11" s="211">
        <f>SUMIFS('Transaksi Harian'!$J:$J, 'Transaksi Harian'!$A:$A, "&gt;="&amp;$B11, 'Transaksi Harian'!$A:$A, "&lt;"&amp;($B11+1), 'Transaksi Harian'!$K:$K, "TRANSFER")</f>
        <v>0</v>
      </c>
      <c r="K11" s="211">
        <f>SUMIFS('Transaksi Harian'!$J:$J, 'Transaksi Harian'!$A:$A, "&gt;="&amp;$B11, 'Transaksi Harian'!$A:$A, "&lt;"&amp;($B11+1), 'Transaksi Harian'!$K:$K, TRIM(K$1))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31.5" customHeight="1">
      <c r="A12" s="1"/>
      <c r="B12" s="213">
        <v>46214.0</v>
      </c>
      <c r="C12" s="210">
        <f>COUNTIFS('Transaksi Harian'!$A:$A, "&gt;="&amp;$B12, 'Transaksi Harian'!$A:$A, "&lt;"&amp;($B12+1))</f>
        <v>0</v>
      </c>
      <c r="D12" s="211">
        <f>SUMIFS('Transaksi Harian'!$H:$H, 'Transaksi Harian'!$A:$A, "&gt;="&amp;$B12, 'Transaksi Harian'!$A:$A, "&lt;"&amp;($B12+1))</f>
        <v>0</v>
      </c>
      <c r="E12" s="211">
        <f>SUMIFS('Transaksi Harian'!$J:$J, 'Transaksi Harian'!$A:$A, "&gt;="&amp;$B12, 'Transaksi Harian'!$A:$A, "&lt;"&amp;($B12+1))</f>
        <v>0</v>
      </c>
      <c r="F12" s="211">
        <f t="shared" si="1"/>
        <v>0</v>
      </c>
      <c r="G12" s="212"/>
      <c r="H12" s="211">
        <f>SUMIFS('Transaksi Harian'!$J:$J, 'Transaksi Harian'!$A:$A, "&gt;="&amp;$B12, 'Transaksi Harian'!$A:$A, "&lt;"&amp;($B12+1), 'Transaksi Harian'!$K:$K, TRIM(H$1))</f>
        <v>0</v>
      </c>
      <c r="I12" s="211">
        <f>SUMIFS('Transaksi Harian'!$J:$J, 'Transaksi Harian'!$A:$A, "&gt;="&amp;$B12, 'Transaksi Harian'!$A:$A, "&lt;"&amp;($B12+1), 'Transaksi Harian'!$K:$K, TRIM(I$1))</f>
        <v>0</v>
      </c>
      <c r="J12" s="211">
        <f>SUMIFS('Transaksi Harian'!$J:$J, 'Transaksi Harian'!$A:$A, "&gt;="&amp;$B12, 'Transaksi Harian'!$A:$A, "&lt;"&amp;($B12+1), 'Transaksi Harian'!$K:$K, "TRANSFER")</f>
        <v>0</v>
      </c>
      <c r="K12" s="211">
        <f>SUMIFS('Transaksi Harian'!$J:$J, 'Transaksi Harian'!$A:$A, "&gt;="&amp;$B12, 'Transaksi Harian'!$A:$A, "&lt;"&amp;($B12+1), 'Transaksi Harian'!$K:$K, TRIM(K$1))</f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31.5" customHeight="1">
      <c r="A13" s="1"/>
      <c r="B13" s="213">
        <v>46215.0</v>
      </c>
      <c r="C13" s="210">
        <f>COUNTIFS('Transaksi Harian'!$A:$A, "&gt;="&amp;$B13, 'Transaksi Harian'!$A:$A, "&lt;"&amp;($B13+1))</f>
        <v>0</v>
      </c>
      <c r="D13" s="211">
        <f>SUMIFS('Transaksi Harian'!$H:$H, 'Transaksi Harian'!$A:$A, "&gt;="&amp;$B13, 'Transaksi Harian'!$A:$A, "&lt;"&amp;($B13+1))</f>
        <v>0</v>
      </c>
      <c r="E13" s="211">
        <f>SUMIFS('Transaksi Harian'!$J:$J, 'Transaksi Harian'!$A:$A, "&gt;="&amp;$B13, 'Transaksi Harian'!$A:$A, "&lt;"&amp;($B13+1))</f>
        <v>0</v>
      </c>
      <c r="F13" s="211">
        <f t="shared" si="1"/>
        <v>0</v>
      </c>
      <c r="G13" s="212"/>
      <c r="H13" s="211">
        <f>SUMIFS('Transaksi Harian'!$J:$J, 'Transaksi Harian'!$A:$A, "&gt;="&amp;$B13, 'Transaksi Harian'!$A:$A, "&lt;"&amp;($B13+1), 'Transaksi Harian'!$K:$K, TRIM(H$1))</f>
        <v>0</v>
      </c>
      <c r="I13" s="211">
        <f>SUMIFS('Transaksi Harian'!$J:$J, 'Transaksi Harian'!$A:$A, "&gt;="&amp;$B13, 'Transaksi Harian'!$A:$A, "&lt;"&amp;($B13+1), 'Transaksi Harian'!$K:$K, TRIM(I$1))</f>
        <v>0</v>
      </c>
      <c r="J13" s="211">
        <f>SUMIFS('Transaksi Harian'!$J:$J, 'Transaksi Harian'!$A:$A, "&gt;="&amp;$B13, 'Transaksi Harian'!$A:$A, "&lt;"&amp;($B13+1), 'Transaksi Harian'!$K:$K, "TRANSFER")</f>
        <v>0</v>
      </c>
      <c r="K13" s="211">
        <f>SUMIFS('Transaksi Harian'!$J:$J, 'Transaksi Harian'!$A:$A, "&gt;="&amp;$B13, 'Transaksi Harian'!$A:$A, "&lt;"&amp;($B13+1), 'Transaksi Harian'!$K:$K, TRIM(K$1))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31.5" customHeight="1">
      <c r="A14" s="1"/>
      <c r="B14" s="213">
        <v>46216.0</v>
      </c>
      <c r="C14" s="210">
        <f>COUNTIFS('Transaksi Harian'!$A:$A, "&gt;="&amp;$B14, 'Transaksi Harian'!$A:$A, "&lt;"&amp;($B14+1))</f>
        <v>0</v>
      </c>
      <c r="D14" s="211">
        <f>SUMIFS('Transaksi Harian'!$H:$H, 'Transaksi Harian'!$A:$A, "&gt;="&amp;$B14, 'Transaksi Harian'!$A:$A, "&lt;"&amp;($B14+1))</f>
        <v>0</v>
      </c>
      <c r="E14" s="211">
        <f>SUMIFS('Transaksi Harian'!$J:$J, 'Transaksi Harian'!$A:$A, "&gt;="&amp;$B14, 'Transaksi Harian'!$A:$A, "&lt;"&amp;($B14+1))</f>
        <v>0</v>
      </c>
      <c r="F14" s="211">
        <f t="shared" si="1"/>
        <v>0</v>
      </c>
      <c r="G14" s="212"/>
      <c r="H14" s="211">
        <f>SUMIFS('Transaksi Harian'!$J:$J, 'Transaksi Harian'!$A:$A, "&gt;="&amp;$B14, 'Transaksi Harian'!$A:$A, "&lt;"&amp;($B14+1), 'Transaksi Harian'!$K:$K, TRIM(H$1))</f>
        <v>0</v>
      </c>
      <c r="I14" s="211">
        <f>SUMIFS('Transaksi Harian'!$J:$J, 'Transaksi Harian'!$A:$A, "&gt;="&amp;$B14, 'Transaksi Harian'!$A:$A, "&lt;"&amp;($B14+1), 'Transaksi Harian'!$K:$K, TRIM(I$1))</f>
        <v>0</v>
      </c>
      <c r="J14" s="211">
        <f>SUMIFS('Transaksi Harian'!$J:$J, 'Transaksi Harian'!$A:$A, "&gt;="&amp;$B14, 'Transaksi Harian'!$A:$A, "&lt;"&amp;($B14+1), 'Transaksi Harian'!$K:$K, "TRANSFER")</f>
        <v>0</v>
      </c>
      <c r="K14" s="211">
        <f>SUMIFS('Transaksi Harian'!$J:$J, 'Transaksi Harian'!$A:$A, "&gt;="&amp;$B14, 'Transaksi Harian'!$A:$A, "&lt;"&amp;($B14+1), 'Transaksi Harian'!$K:$K, TRIM(K$1))</f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31.5" customHeight="1">
      <c r="A15" s="1"/>
      <c r="B15" s="213">
        <v>46217.0</v>
      </c>
      <c r="C15" s="210">
        <f>COUNTIFS('Transaksi Harian'!$A:$A, "&gt;="&amp;$B15, 'Transaksi Harian'!$A:$A, "&lt;"&amp;($B15+1))</f>
        <v>0</v>
      </c>
      <c r="D15" s="211">
        <f>SUMIFS('Transaksi Harian'!$H:$H, 'Transaksi Harian'!$A:$A, "&gt;="&amp;$B15, 'Transaksi Harian'!$A:$A, "&lt;"&amp;($B15+1))</f>
        <v>0</v>
      </c>
      <c r="E15" s="211">
        <f>SUMIFS('Transaksi Harian'!$J:$J, 'Transaksi Harian'!$A:$A, "&gt;="&amp;$B15, 'Transaksi Harian'!$A:$A, "&lt;"&amp;($B15+1))</f>
        <v>0</v>
      </c>
      <c r="F15" s="211">
        <f t="shared" si="1"/>
        <v>0</v>
      </c>
      <c r="G15" s="212"/>
      <c r="H15" s="211">
        <f>SUMIFS('Transaksi Harian'!$J:$J, 'Transaksi Harian'!$A:$A, "&gt;="&amp;$B15, 'Transaksi Harian'!$A:$A, "&lt;"&amp;($B15+1), 'Transaksi Harian'!$K:$K, TRIM(H$1))</f>
        <v>0</v>
      </c>
      <c r="I15" s="211">
        <f>SUMIFS('Transaksi Harian'!$J:$J, 'Transaksi Harian'!$A:$A, "&gt;="&amp;$B15, 'Transaksi Harian'!$A:$A, "&lt;"&amp;($B15+1), 'Transaksi Harian'!$K:$K, TRIM(I$1))</f>
        <v>0</v>
      </c>
      <c r="J15" s="211">
        <f>SUMIFS('Transaksi Harian'!$J:$J, 'Transaksi Harian'!$A:$A, "&gt;="&amp;$B15, 'Transaksi Harian'!$A:$A, "&lt;"&amp;($B15+1), 'Transaksi Harian'!$K:$K, "TRANSFER")</f>
        <v>0</v>
      </c>
      <c r="K15" s="211">
        <f>SUMIFS('Transaksi Harian'!$J:$J, 'Transaksi Harian'!$A:$A, "&gt;="&amp;$B15, 'Transaksi Harian'!$A:$A, "&lt;"&amp;($B15+1), 'Transaksi Harian'!$K:$K, TRIM(K$1))</f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31.5" customHeight="1">
      <c r="A16" s="1"/>
      <c r="B16" s="213">
        <v>46218.0</v>
      </c>
      <c r="C16" s="210">
        <f>COUNTIFS('Transaksi Harian'!$A:$A, "&gt;="&amp;$B16, 'Transaksi Harian'!$A:$A, "&lt;"&amp;($B16+1))</f>
        <v>0</v>
      </c>
      <c r="D16" s="211">
        <f>SUMIFS('Transaksi Harian'!$H:$H, 'Transaksi Harian'!$A:$A, "&gt;="&amp;$B16, 'Transaksi Harian'!$A:$A, "&lt;"&amp;($B16+1))</f>
        <v>0</v>
      </c>
      <c r="E16" s="211">
        <f>SUMIFS('Transaksi Harian'!$J:$J, 'Transaksi Harian'!$A:$A, "&gt;="&amp;$B16, 'Transaksi Harian'!$A:$A, "&lt;"&amp;($B16+1))</f>
        <v>0</v>
      </c>
      <c r="F16" s="211">
        <f t="shared" si="1"/>
        <v>0</v>
      </c>
      <c r="G16" s="212"/>
      <c r="H16" s="211">
        <f>SUMIFS('Transaksi Harian'!$J:$J, 'Transaksi Harian'!$A:$A, "&gt;="&amp;$B16, 'Transaksi Harian'!$A:$A, "&lt;"&amp;($B16+1), 'Transaksi Harian'!$K:$K, TRIM(H$1))</f>
        <v>0</v>
      </c>
      <c r="I16" s="211">
        <f>SUMIFS('Transaksi Harian'!$J:$J, 'Transaksi Harian'!$A:$A, "&gt;="&amp;$B16, 'Transaksi Harian'!$A:$A, "&lt;"&amp;($B16+1), 'Transaksi Harian'!$K:$K, TRIM(I$1))</f>
        <v>0</v>
      </c>
      <c r="J16" s="211">
        <f>SUMIFS('Transaksi Harian'!$J:$J, 'Transaksi Harian'!$A:$A, "&gt;="&amp;$B16, 'Transaksi Harian'!$A:$A, "&lt;"&amp;($B16+1), 'Transaksi Harian'!$K:$K, "TRANSFER")</f>
        <v>0</v>
      </c>
      <c r="K16" s="211">
        <f>SUMIFS('Transaksi Harian'!$J:$J, 'Transaksi Harian'!$A:$A, "&gt;="&amp;$B16, 'Transaksi Harian'!$A:$A, "&lt;"&amp;($B16+1), 'Transaksi Harian'!$K:$K, TRIM(K$1))</f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31.5" customHeight="1">
      <c r="A17" s="1"/>
      <c r="B17" s="213">
        <v>46219.0</v>
      </c>
      <c r="C17" s="210">
        <f>COUNTIFS('Transaksi Harian'!$A:$A, "&gt;="&amp;$B17, 'Transaksi Harian'!$A:$A, "&lt;"&amp;($B17+1))</f>
        <v>0</v>
      </c>
      <c r="D17" s="211">
        <f>SUMIFS('Transaksi Harian'!$H:$H, 'Transaksi Harian'!$A:$A, "&gt;="&amp;$B17, 'Transaksi Harian'!$A:$A, "&lt;"&amp;($B17+1))</f>
        <v>0</v>
      </c>
      <c r="E17" s="211">
        <f>SUMIFS('Transaksi Harian'!$J:$J, 'Transaksi Harian'!$A:$A, "&gt;="&amp;$B17, 'Transaksi Harian'!$A:$A, "&lt;"&amp;($B17+1))</f>
        <v>0</v>
      </c>
      <c r="F17" s="211">
        <f t="shared" si="1"/>
        <v>0</v>
      </c>
      <c r="G17" s="212"/>
      <c r="H17" s="211">
        <f>SUMIFS('Transaksi Harian'!$J:$J, 'Transaksi Harian'!$A:$A, "&gt;="&amp;$B17, 'Transaksi Harian'!$A:$A, "&lt;"&amp;($B17+1), 'Transaksi Harian'!$K:$K, TRIM(H$1))</f>
        <v>0</v>
      </c>
      <c r="I17" s="211">
        <f>SUMIFS('Transaksi Harian'!$J:$J, 'Transaksi Harian'!$A:$A, "&gt;="&amp;$B17, 'Transaksi Harian'!$A:$A, "&lt;"&amp;($B17+1), 'Transaksi Harian'!$K:$K, TRIM(I$1))</f>
        <v>0</v>
      </c>
      <c r="J17" s="211">
        <f>SUMIFS('Transaksi Harian'!$J:$J, 'Transaksi Harian'!$A:$A, "&gt;="&amp;$B17, 'Transaksi Harian'!$A:$A, "&lt;"&amp;($B17+1), 'Transaksi Harian'!$K:$K, "TRANSFER")</f>
        <v>0</v>
      </c>
      <c r="K17" s="211">
        <f>SUMIFS('Transaksi Harian'!$J:$J, 'Transaksi Harian'!$A:$A, "&gt;="&amp;$B17, 'Transaksi Harian'!$A:$A, "&lt;"&amp;($B17+1), 'Transaksi Harian'!$K:$K, TRIM(K$1))</f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31.5" customHeight="1">
      <c r="A18" s="1"/>
      <c r="B18" s="213">
        <v>46220.0</v>
      </c>
      <c r="C18" s="210">
        <f>COUNTIFS('Transaksi Harian'!$A:$A, "&gt;="&amp;$B18, 'Transaksi Harian'!$A:$A, "&lt;"&amp;($B18+1))</f>
        <v>0</v>
      </c>
      <c r="D18" s="211">
        <f>SUMIFS('Transaksi Harian'!$H:$H, 'Transaksi Harian'!$A:$A, "&gt;="&amp;$B18, 'Transaksi Harian'!$A:$A, "&lt;"&amp;($B18+1))</f>
        <v>0</v>
      </c>
      <c r="E18" s="211">
        <f>SUMIFS('Transaksi Harian'!$J:$J, 'Transaksi Harian'!$A:$A, "&gt;="&amp;$B18, 'Transaksi Harian'!$A:$A, "&lt;"&amp;($B18+1))</f>
        <v>0</v>
      </c>
      <c r="F18" s="211">
        <f t="shared" si="1"/>
        <v>0</v>
      </c>
      <c r="G18" s="212"/>
      <c r="H18" s="211">
        <f>SUMIFS('Transaksi Harian'!$J:$J, 'Transaksi Harian'!$A:$A, "&gt;="&amp;$B18, 'Transaksi Harian'!$A:$A, "&lt;"&amp;($B18+1), 'Transaksi Harian'!$K:$K, TRIM(H$1))</f>
        <v>0</v>
      </c>
      <c r="I18" s="211">
        <f>SUMIFS('Transaksi Harian'!$J:$J, 'Transaksi Harian'!$A:$A, "&gt;="&amp;$B18, 'Transaksi Harian'!$A:$A, "&lt;"&amp;($B18+1), 'Transaksi Harian'!$K:$K, TRIM(I$1))</f>
        <v>0</v>
      </c>
      <c r="J18" s="211">
        <f>SUMIFS('Transaksi Harian'!$J:$J, 'Transaksi Harian'!$A:$A, "&gt;="&amp;$B18, 'Transaksi Harian'!$A:$A, "&lt;"&amp;($B18+1), 'Transaksi Harian'!$K:$K, "TRANSFER")</f>
        <v>0</v>
      </c>
      <c r="K18" s="211">
        <f>SUMIFS('Transaksi Harian'!$J:$J, 'Transaksi Harian'!$A:$A, "&gt;="&amp;$B18, 'Transaksi Harian'!$A:$A, "&lt;"&amp;($B18+1), 'Transaksi Harian'!$K:$K, TRIM(K$1))</f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31.5" customHeight="1">
      <c r="A19" s="1"/>
      <c r="B19" s="213">
        <v>46221.0</v>
      </c>
      <c r="C19" s="210">
        <f>COUNTIFS('Transaksi Harian'!$A:$A, "&gt;="&amp;$B19, 'Transaksi Harian'!$A:$A, "&lt;"&amp;($B19+1))</f>
        <v>0</v>
      </c>
      <c r="D19" s="211">
        <f>SUMIFS('Transaksi Harian'!$H:$H, 'Transaksi Harian'!$A:$A, "&gt;="&amp;$B19, 'Transaksi Harian'!$A:$A, "&lt;"&amp;($B19+1))</f>
        <v>0</v>
      </c>
      <c r="E19" s="211">
        <f>SUMIFS('Transaksi Harian'!$J:$J, 'Transaksi Harian'!$A:$A, "&gt;="&amp;$B19, 'Transaksi Harian'!$A:$A, "&lt;"&amp;($B19+1))</f>
        <v>0</v>
      </c>
      <c r="F19" s="211">
        <f t="shared" si="1"/>
        <v>0</v>
      </c>
      <c r="G19" s="212"/>
      <c r="H19" s="211">
        <f>SUMIFS('Transaksi Harian'!$J:$J, 'Transaksi Harian'!$A:$A, "&gt;="&amp;$B19, 'Transaksi Harian'!$A:$A, "&lt;"&amp;($B19+1), 'Transaksi Harian'!$K:$K, TRIM(H$1))</f>
        <v>0</v>
      </c>
      <c r="I19" s="211">
        <f>SUMIFS('Transaksi Harian'!$J:$J, 'Transaksi Harian'!$A:$A, "&gt;="&amp;$B19, 'Transaksi Harian'!$A:$A, "&lt;"&amp;($B19+1), 'Transaksi Harian'!$K:$K, TRIM(I$1))</f>
        <v>0</v>
      </c>
      <c r="J19" s="211">
        <f>SUMIFS('Transaksi Harian'!$J:$J, 'Transaksi Harian'!$A:$A, "&gt;="&amp;$B19, 'Transaksi Harian'!$A:$A, "&lt;"&amp;($B19+1), 'Transaksi Harian'!$K:$K, "TRANSFER")</f>
        <v>0</v>
      </c>
      <c r="K19" s="211">
        <f>SUMIFS('Transaksi Harian'!$J:$J, 'Transaksi Harian'!$A:$A, "&gt;="&amp;$B19, 'Transaksi Harian'!$A:$A, "&lt;"&amp;($B19+1), 'Transaksi Harian'!$K:$K, TRIM(K$1))</f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31.5" customHeight="1">
      <c r="A20" s="1"/>
      <c r="B20" s="213">
        <v>46222.0</v>
      </c>
      <c r="C20" s="210">
        <f>COUNTIFS('Transaksi Harian'!$A:$A, "&gt;="&amp;$B20, 'Transaksi Harian'!$A:$A, "&lt;"&amp;($B20+1))</f>
        <v>0</v>
      </c>
      <c r="D20" s="211">
        <f>SUMIFS('Transaksi Harian'!$H:$H, 'Transaksi Harian'!$A:$A, "&gt;="&amp;$B20, 'Transaksi Harian'!$A:$A, "&lt;"&amp;($B20+1))</f>
        <v>0</v>
      </c>
      <c r="E20" s="211">
        <f>SUMIFS('Transaksi Harian'!$J:$J, 'Transaksi Harian'!$A:$A, "&gt;="&amp;$B20, 'Transaksi Harian'!$A:$A, "&lt;"&amp;($B20+1))</f>
        <v>0</v>
      </c>
      <c r="F20" s="211">
        <f t="shared" si="1"/>
        <v>0</v>
      </c>
      <c r="G20" s="212"/>
      <c r="H20" s="211">
        <f>SUMIFS('Transaksi Harian'!$J:$J, 'Transaksi Harian'!$A:$A, "&gt;="&amp;$B20, 'Transaksi Harian'!$A:$A, "&lt;"&amp;($B20+1), 'Transaksi Harian'!$K:$K, TRIM(H$1))</f>
        <v>0</v>
      </c>
      <c r="I20" s="211">
        <f>SUMIFS('Transaksi Harian'!$J:$J, 'Transaksi Harian'!$A:$A, "&gt;="&amp;$B20, 'Transaksi Harian'!$A:$A, "&lt;"&amp;($B20+1), 'Transaksi Harian'!$K:$K, TRIM(I$1))</f>
        <v>0</v>
      </c>
      <c r="J20" s="211">
        <f>SUMIFS('Transaksi Harian'!$J:$J, 'Transaksi Harian'!$A:$A, "&gt;="&amp;$B20, 'Transaksi Harian'!$A:$A, "&lt;"&amp;($B20+1), 'Transaksi Harian'!$K:$K, "TRANSFER")</f>
        <v>0</v>
      </c>
      <c r="K20" s="211">
        <f>SUMIFS('Transaksi Harian'!$J:$J, 'Transaksi Harian'!$A:$A, "&gt;="&amp;$B20, 'Transaksi Harian'!$A:$A, "&lt;"&amp;($B20+1), 'Transaksi Harian'!$K:$K, TRIM(K$1))</f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31.5" customHeight="1">
      <c r="A21" s="1"/>
      <c r="B21" s="213">
        <v>46223.0</v>
      </c>
      <c r="C21" s="210">
        <f>COUNTIFS('Transaksi Harian'!$A:$A, "&gt;="&amp;$B21, 'Transaksi Harian'!$A:$A, "&lt;"&amp;($B21+1))</f>
        <v>0</v>
      </c>
      <c r="D21" s="211">
        <f>SUMIFS('Transaksi Harian'!$H:$H, 'Transaksi Harian'!$A:$A, "&gt;="&amp;$B21, 'Transaksi Harian'!$A:$A, "&lt;"&amp;($B21+1))</f>
        <v>0</v>
      </c>
      <c r="E21" s="211">
        <f>SUMIFS('Transaksi Harian'!$J:$J, 'Transaksi Harian'!$A:$A, "&gt;="&amp;$B21, 'Transaksi Harian'!$A:$A, "&lt;"&amp;($B21+1))</f>
        <v>0</v>
      </c>
      <c r="F21" s="211">
        <f t="shared" si="1"/>
        <v>0</v>
      </c>
      <c r="G21" s="212"/>
      <c r="H21" s="211">
        <f>SUMIFS('Transaksi Harian'!$J:$J, 'Transaksi Harian'!$A:$A, "&gt;="&amp;$B21, 'Transaksi Harian'!$A:$A, "&lt;"&amp;($B21+1), 'Transaksi Harian'!$K:$K, TRIM(H$1))</f>
        <v>0</v>
      </c>
      <c r="I21" s="211">
        <f>SUMIFS('Transaksi Harian'!$J:$J, 'Transaksi Harian'!$A:$A, "&gt;="&amp;$B21, 'Transaksi Harian'!$A:$A, "&lt;"&amp;($B21+1), 'Transaksi Harian'!$K:$K, TRIM(I$1))</f>
        <v>0</v>
      </c>
      <c r="J21" s="211">
        <f>SUMIFS('Transaksi Harian'!$J:$J, 'Transaksi Harian'!$A:$A, "&gt;="&amp;$B21, 'Transaksi Harian'!$A:$A, "&lt;"&amp;($B21+1), 'Transaksi Harian'!$K:$K, "TRANSFER")</f>
        <v>0</v>
      </c>
      <c r="K21" s="211">
        <f>SUMIFS('Transaksi Harian'!$J:$J, 'Transaksi Harian'!$A:$A, "&gt;="&amp;$B21, 'Transaksi Harian'!$A:$A, "&lt;"&amp;($B21+1), 'Transaksi Harian'!$K:$K, TRIM(K$1))</f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31.5" customHeight="1">
      <c r="A22" s="1"/>
      <c r="B22" s="213">
        <v>46224.0</v>
      </c>
      <c r="C22" s="210">
        <f>COUNTIFS('Transaksi Harian'!$A:$A, "&gt;="&amp;$B22, 'Transaksi Harian'!$A:$A, "&lt;"&amp;($B22+1))</f>
        <v>0</v>
      </c>
      <c r="D22" s="211">
        <f>SUMIFS('Transaksi Harian'!$H:$H, 'Transaksi Harian'!$A:$A, "&gt;="&amp;$B22, 'Transaksi Harian'!$A:$A, "&lt;"&amp;($B22+1))</f>
        <v>0</v>
      </c>
      <c r="E22" s="211">
        <f>SUMIFS('Transaksi Harian'!$J:$J, 'Transaksi Harian'!$A:$A, "&gt;="&amp;$B22, 'Transaksi Harian'!$A:$A, "&lt;"&amp;($B22+1))</f>
        <v>0</v>
      </c>
      <c r="F22" s="211">
        <f t="shared" si="1"/>
        <v>0</v>
      </c>
      <c r="G22" s="212"/>
      <c r="H22" s="211">
        <f>SUMIFS('Transaksi Harian'!$J:$J, 'Transaksi Harian'!$A:$A, "&gt;="&amp;$B22, 'Transaksi Harian'!$A:$A, "&lt;"&amp;($B22+1), 'Transaksi Harian'!$K:$K, TRIM(H$1))</f>
        <v>0</v>
      </c>
      <c r="I22" s="211">
        <f>SUMIFS('Transaksi Harian'!$J:$J, 'Transaksi Harian'!$A:$A, "&gt;="&amp;$B22, 'Transaksi Harian'!$A:$A, "&lt;"&amp;($B22+1), 'Transaksi Harian'!$K:$K, TRIM(I$1))</f>
        <v>0</v>
      </c>
      <c r="J22" s="211">
        <f>SUMIFS('Transaksi Harian'!$J:$J, 'Transaksi Harian'!$A:$A, "&gt;="&amp;$B22, 'Transaksi Harian'!$A:$A, "&lt;"&amp;($B22+1), 'Transaksi Harian'!$K:$K, "TRANSFER")</f>
        <v>0</v>
      </c>
      <c r="K22" s="211">
        <f>SUMIFS('Transaksi Harian'!$J:$J, 'Transaksi Harian'!$A:$A, "&gt;="&amp;$B22, 'Transaksi Harian'!$A:$A, "&lt;"&amp;($B22+1), 'Transaksi Harian'!$K:$K, TRIM(K$1))</f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31.5" customHeight="1">
      <c r="A23" s="1"/>
      <c r="B23" s="213">
        <v>46225.0</v>
      </c>
      <c r="C23" s="210">
        <f>COUNTIFS('Transaksi Harian'!$A:$A, "&gt;="&amp;$B23, 'Transaksi Harian'!$A:$A, "&lt;"&amp;($B23+1))</f>
        <v>0</v>
      </c>
      <c r="D23" s="211">
        <f>SUMIFS('Transaksi Harian'!$H:$H, 'Transaksi Harian'!$A:$A, "&gt;="&amp;$B23, 'Transaksi Harian'!$A:$A, "&lt;"&amp;($B23+1))</f>
        <v>0</v>
      </c>
      <c r="E23" s="211">
        <f>SUMIFS('Transaksi Harian'!$J:$J, 'Transaksi Harian'!$A:$A, "&gt;="&amp;$B23, 'Transaksi Harian'!$A:$A, "&lt;"&amp;($B23+1))</f>
        <v>0</v>
      </c>
      <c r="F23" s="211">
        <f t="shared" si="1"/>
        <v>0</v>
      </c>
      <c r="G23" s="212"/>
      <c r="H23" s="211">
        <f>SUMIFS('Transaksi Harian'!$J:$J, 'Transaksi Harian'!$A:$A, "&gt;="&amp;$B23, 'Transaksi Harian'!$A:$A, "&lt;"&amp;($B23+1), 'Transaksi Harian'!$K:$K, TRIM(H$1))</f>
        <v>0</v>
      </c>
      <c r="I23" s="211">
        <f>SUMIFS('Transaksi Harian'!$J:$J, 'Transaksi Harian'!$A:$A, "&gt;="&amp;$B23, 'Transaksi Harian'!$A:$A, "&lt;"&amp;($B23+1), 'Transaksi Harian'!$K:$K, TRIM(I$1))</f>
        <v>0</v>
      </c>
      <c r="J23" s="211">
        <f>SUMIFS('Transaksi Harian'!$J:$J, 'Transaksi Harian'!$A:$A, "&gt;="&amp;$B23, 'Transaksi Harian'!$A:$A, "&lt;"&amp;($B23+1), 'Transaksi Harian'!$K:$K, "TRANSFER")</f>
        <v>0</v>
      </c>
      <c r="K23" s="211">
        <f>SUMIFS('Transaksi Harian'!$J:$J, 'Transaksi Harian'!$A:$A, "&gt;="&amp;$B23, 'Transaksi Harian'!$A:$A, "&lt;"&amp;($B23+1), 'Transaksi Harian'!$K:$K, TRIM(K$1))</f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31.5" customHeight="1">
      <c r="A24" s="1"/>
      <c r="B24" s="213">
        <v>46226.0</v>
      </c>
      <c r="C24" s="210">
        <f>COUNTIFS('Transaksi Harian'!$A:$A, "&gt;="&amp;$B24, 'Transaksi Harian'!$A:$A, "&lt;"&amp;($B24+1))</f>
        <v>0</v>
      </c>
      <c r="D24" s="211">
        <f>SUMIFS('Transaksi Harian'!$H:$H, 'Transaksi Harian'!$A:$A, "&gt;="&amp;$B24, 'Transaksi Harian'!$A:$A, "&lt;"&amp;($B24+1))</f>
        <v>0</v>
      </c>
      <c r="E24" s="211">
        <f>SUMIFS('Transaksi Harian'!$J:$J, 'Transaksi Harian'!$A:$A, "&gt;="&amp;$B24, 'Transaksi Harian'!$A:$A, "&lt;"&amp;($B24+1))</f>
        <v>0</v>
      </c>
      <c r="F24" s="211">
        <f t="shared" si="1"/>
        <v>0</v>
      </c>
      <c r="G24" s="212"/>
      <c r="H24" s="211">
        <f>SUMIFS('Transaksi Harian'!$J:$J, 'Transaksi Harian'!$A:$A, "&gt;="&amp;$B24, 'Transaksi Harian'!$A:$A, "&lt;"&amp;($B24+1), 'Transaksi Harian'!$K:$K, TRIM(H$1))</f>
        <v>0</v>
      </c>
      <c r="I24" s="211">
        <f>SUMIFS('Transaksi Harian'!$J:$J, 'Transaksi Harian'!$A:$A, "&gt;="&amp;$B24, 'Transaksi Harian'!$A:$A, "&lt;"&amp;($B24+1), 'Transaksi Harian'!$K:$K, TRIM(I$1))</f>
        <v>0</v>
      </c>
      <c r="J24" s="211">
        <f>SUMIFS('Transaksi Harian'!$J:$J, 'Transaksi Harian'!$A:$A, "&gt;="&amp;$B24, 'Transaksi Harian'!$A:$A, "&lt;"&amp;($B24+1), 'Transaksi Harian'!$K:$K, "TRANSFER")</f>
        <v>0</v>
      </c>
      <c r="K24" s="211">
        <f>SUMIFS('Transaksi Harian'!$J:$J, 'Transaksi Harian'!$A:$A, "&gt;="&amp;$B24, 'Transaksi Harian'!$A:$A, "&lt;"&amp;($B24+1), 'Transaksi Harian'!$K:$K, TRIM(K$1))</f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31.5" customHeight="1">
      <c r="A25" s="1"/>
      <c r="B25" s="213">
        <v>46227.0</v>
      </c>
      <c r="C25" s="210">
        <f>COUNTIFS('Transaksi Harian'!$A:$A, "&gt;="&amp;$B25, 'Transaksi Harian'!$A:$A, "&lt;"&amp;($B25+1))</f>
        <v>0</v>
      </c>
      <c r="D25" s="211">
        <f>SUMIFS('Transaksi Harian'!$H:$H, 'Transaksi Harian'!$A:$A, "&gt;="&amp;$B25, 'Transaksi Harian'!$A:$A, "&lt;"&amp;($B25+1))</f>
        <v>0</v>
      </c>
      <c r="E25" s="211">
        <f>SUMIFS('Transaksi Harian'!$J:$J, 'Transaksi Harian'!$A:$A, "&gt;="&amp;$B25, 'Transaksi Harian'!$A:$A, "&lt;"&amp;($B25+1))</f>
        <v>0</v>
      </c>
      <c r="F25" s="211">
        <f t="shared" si="1"/>
        <v>0</v>
      </c>
      <c r="G25" s="212"/>
      <c r="H25" s="211">
        <f>SUMIFS('Transaksi Harian'!$J:$J, 'Transaksi Harian'!$A:$A, "&gt;="&amp;$B25, 'Transaksi Harian'!$A:$A, "&lt;"&amp;($B25+1), 'Transaksi Harian'!$K:$K, TRIM(H$1))</f>
        <v>0</v>
      </c>
      <c r="I25" s="211">
        <f>SUMIFS('Transaksi Harian'!$J:$J, 'Transaksi Harian'!$A:$A, "&gt;="&amp;$B25, 'Transaksi Harian'!$A:$A, "&lt;"&amp;($B25+1), 'Transaksi Harian'!$K:$K, TRIM(I$1))</f>
        <v>0</v>
      </c>
      <c r="J25" s="211">
        <f>SUMIFS('Transaksi Harian'!$J:$J, 'Transaksi Harian'!$A:$A, "&gt;="&amp;$B25, 'Transaksi Harian'!$A:$A, "&lt;"&amp;($B25+1), 'Transaksi Harian'!$K:$K, "TRANSFER")</f>
        <v>0</v>
      </c>
      <c r="K25" s="211">
        <f>SUMIFS('Transaksi Harian'!$J:$J, 'Transaksi Harian'!$A:$A, "&gt;="&amp;$B25, 'Transaksi Harian'!$A:$A, "&lt;"&amp;($B25+1), 'Transaksi Harian'!$K:$K, TRIM(K$1))</f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31.5" customHeight="1">
      <c r="A26" s="1"/>
      <c r="B26" s="213">
        <v>46228.0</v>
      </c>
      <c r="C26" s="210">
        <f>COUNTIFS('Transaksi Harian'!$A:$A, "&gt;="&amp;$B26, 'Transaksi Harian'!$A:$A, "&lt;"&amp;($B26+1))</f>
        <v>0</v>
      </c>
      <c r="D26" s="211">
        <f>SUMIFS('Transaksi Harian'!$H:$H, 'Transaksi Harian'!$A:$A, "&gt;="&amp;$B26, 'Transaksi Harian'!$A:$A, "&lt;"&amp;($B26+1))</f>
        <v>0</v>
      </c>
      <c r="E26" s="211">
        <f>SUMIFS('Transaksi Harian'!$J:$J, 'Transaksi Harian'!$A:$A, "&gt;="&amp;$B26, 'Transaksi Harian'!$A:$A, "&lt;"&amp;($B26+1))</f>
        <v>0</v>
      </c>
      <c r="F26" s="211">
        <f t="shared" si="1"/>
        <v>0</v>
      </c>
      <c r="G26" s="212"/>
      <c r="H26" s="211">
        <f>SUMIFS('Transaksi Harian'!$J:$J, 'Transaksi Harian'!$A:$A, "&gt;="&amp;$B26, 'Transaksi Harian'!$A:$A, "&lt;"&amp;($B26+1), 'Transaksi Harian'!$K:$K, TRIM(H$1))</f>
        <v>0</v>
      </c>
      <c r="I26" s="211">
        <f>SUMIFS('Transaksi Harian'!$J:$J, 'Transaksi Harian'!$A:$A, "&gt;="&amp;$B26, 'Transaksi Harian'!$A:$A, "&lt;"&amp;($B26+1), 'Transaksi Harian'!$K:$K, TRIM(I$1))</f>
        <v>0</v>
      </c>
      <c r="J26" s="211">
        <f>SUMIFS('Transaksi Harian'!$J:$J, 'Transaksi Harian'!$A:$A, "&gt;="&amp;$B26, 'Transaksi Harian'!$A:$A, "&lt;"&amp;($B26+1), 'Transaksi Harian'!$K:$K, "TRANSFER")</f>
        <v>0</v>
      </c>
      <c r="K26" s="211">
        <f>SUMIFS('Transaksi Harian'!$J:$J, 'Transaksi Harian'!$A:$A, "&gt;="&amp;$B26, 'Transaksi Harian'!$A:$A, "&lt;"&amp;($B26+1), 'Transaksi Harian'!$K:$K, TRIM(K$1))</f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31.5" customHeight="1">
      <c r="A27" s="1"/>
      <c r="B27" s="213">
        <v>46229.0</v>
      </c>
      <c r="C27" s="210">
        <f>COUNTIFS('Transaksi Harian'!$A:$A, "&gt;="&amp;$B27, 'Transaksi Harian'!$A:$A, "&lt;"&amp;($B27+1))</f>
        <v>0</v>
      </c>
      <c r="D27" s="211">
        <f>SUMIFS('Transaksi Harian'!$H:$H, 'Transaksi Harian'!$A:$A, "&gt;="&amp;$B27, 'Transaksi Harian'!$A:$A, "&lt;"&amp;($B27+1))</f>
        <v>0</v>
      </c>
      <c r="E27" s="211">
        <f>SUMIFS('Transaksi Harian'!$J:$J, 'Transaksi Harian'!$A:$A, "&gt;="&amp;$B27, 'Transaksi Harian'!$A:$A, "&lt;"&amp;($B27+1))</f>
        <v>0</v>
      </c>
      <c r="F27" s="211">
        <f t="shared" si="1"/>
        <v>0</v>
      </c>
      <c r="G27" s="212"/>
      <c r="H27" s="211">
        <f>SUMIFS('Transaksi Harian'!$J:$J, 'Transaksi Harian'!$A:$A, "&gt;="&amp;$B27, 'Transaksi Harian'!$A:$A, "&lt;"&amp;($B27+1), 'Transaksi Harian'!$K:$K, TRIM(H$1))</f>
        <v>0</v>
      </c>
      <c r="I27" s="211">
        <f>SUMIFS('Transaksi Harian'!$J:$J, 'Transaksi Harian'!$A:$A, "&gt;="&amp;$B27, 'Transaksi Harian'!$A:$A, "&lt;"&amp;($B27+1), 'Transaksi Harian'!$K:$K, TRIM(I$1))</f>
        <v>0</v>
      </c>
      <c r="J27" s="211">
        <f>SUMIFS('Transaksi Harian'!$J:$J, 'Transaksi Harian'!$A:$A, "&gt;="&amp;$B27, 'Transaksi Harian'!$A:$A, "&lt;"&amp;($B27+1), 'Transaksi Harian'!$K:$K, "TRANSFER")</f>
        <v>0</v>
      </c>
      <c r="K27" s="211">
        <f>SUMIFS('Transaksi Harian'!$J:$J, 'Transaksi Harian'!$A:$A, "&gt;="&amp;$B27, 'Transaksi Harian'!$A:$A, "&lt;"&amp;($B27+1), 'Transaksi Harian'!$K:$K, TRIM(K$1))</f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31.5" customHeight="1">
      <c r="A28" s="1"/>
      <c r="B28" s="213">
        <v>46230.0</v>
      </c>
      <c r="C28" s="210">
        <f>COUNTIFS('Transaksi Harian'!$A:$A, "&gt;="&amp;$B28, 'Transaksi Harian'!$A:$A, "&lt;"&amp;($B28+1))</f>
        <v>0</v>
      </c>
      <c r="D28" s="211">
        <f>SUMIFS('Transaksi Harian'!$H:$H, 'Transaksi Harian'!$A:$A, "&gt;="&amp;$B28, 'Transaksi Harian'!$A:$A, "&lt;"&amp;($B28+1))</f>
        <v>0</v>
      </c>
      <c r="E28" s="211">
        <f>SUMIFS('Transaksi Harian'!$J:$J, 'Transaksi Harian'!$A:$A, "&gt;="&amp;$B28, 'Transaksi Harian'!$A:$A, "&lt;"&amp;($B28+1))</f>
        <v>0</v>
      </c>
      <c r="F28" s="211">
        <f t="shared" si="1"/>
        <v>0</v>
      </c>
      <c r="G28" s="212"/>
      <c r="H28" s="211">
        <f>SUMIFS('Transaksi Harian'!$J:$J, 'Transaksi Harian'!$A:$A, "&gt;="&amp;$B28, 'Transaksi Harian'!$A:$A, "&lt;"&amp;($B28+1), 'Transaksi Harian'!$K:$K, TRIM(H$1))</f>
        <v>0</v>
      </c>
      <c r="I28" s="211">
        <f>SUMIFS('Transaksi Harian'!$J:$J, 'Transaksi Harian'!$A:$A, "&gt;="&amp;$B28, 'Transaksi Harian'!$A:$A, "&lt;"&amp;($B28+1), 'Transaksi Harian'!$K:$K, TRIM(I$1))</f>
        <v>0</v>
      </c>
      <c r="J28" s="211">
        <f>SUMIFS('Transaksi Harian'!$J:$J, 'Transaksi Harian'!$A:$A, "&gt;="&amp;$B28, 'Transaksi Harian'!$A:$A, "&lt;"&amp;($B28+1), 'Transaksi Harian'!$K:$K, "TRANSFER")</f>
        <v>0</v>
      </c>
      <c r="K28" s="211">
        <f>SUMIFS('Transaksi Harian'!$J:$J, 'Transaksi Harian'!$A:$A, "&gt;="&amp;$B28, 'Transaksi Harian'!$A:$A, "&lt;"&amp;($B28+1), 'Transaksi Harian'!$K:$K, TRIM(K$1))</f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31.5" customHeight="1">
      <c r="A29" s="1"/>
      <c r="B29" s="213">
        <v>46231.0</v>
      </c>
      <c r="C29" s="210">
        <f>COUNTIFS('Transaksi Harian'!$A:$A, "&gt;="&amp;$B29, 'Transaksi Harian'!$A:$A, "&lt;"&amp;($B29+1))</f>
        <v>0</v>
      </c>
      <c r="D29" s="211">
        <f>SUMIFS('Transaksi Harian'!$H:$H, 'Transaksi Harian'!$A:$A, "&gt;="&amp;$B29, 'Transaksi Harian'!$A:$A, "&lt;"&amp;($B29+1))</f>
        <v>0</v>
      </c>
      <c r="E29" s="211">
        <f>SUMIFS('Transaksi Harian'!$J:$J, 'Transaksi Harian'!$A:$A, "&gt;="&amp;$B29, 'Transaksi Harian'!$A:$A, "&lt;"&amp;($B29+1))</f>
        <v>0</v>
      </c>
      <c r="F29" s="211">
        <f t="shared" si="1"/>
        <v>0</v>
      </c>
      <c r="G29" s="212"/>
      <c r="H29" s="211">
        <f>SUMIFS('Transaksi Harian'!$J:$J, 'Transaksi Harian'!$A:$A, "&gt;="&amp;$B29, 'Transaksi Harian'!$A:$A, "&lt;"&amp;($B29+1), 'Transaksi Harian'!$K:$K, TRIM(H$1))</f>
        <v>0</v>
      </c>
      <c r="I29" s="211">
        <f>SUMIFS('Transaksi Harian'!$J:$J, 'Transaksi Harian'!$A:$A, "&gt;="&amp;$B29, 'Transaksi Harian'!$A:$A, "&lt;"&amp;($B29+1), 'Transaksi Harian'!$K:$K, TRIM(I$1))</f>
        <v>0</v>
      </c>
      <c r="J29" s="211">
        <f>SUMIFS('Transaksi Harian'!$J:$J, 'Transaksi Harian'!$A:$A, "&gt;="&amp;$B29, 'Transaksi Harian'!$A:$A, "&lt;"&amp;($B29+1), 'Transaksi Harian'!$K:$K, "TRANSFER")</f>
        <v>0</v>
      </c>
      <c r="K29" s="211">
        <f>SUMIFS('Transaksi Harian'!$J:$J, 'Transaksi Harian'!$A:$A, "&gt;="&amp;$B29, 'Transaksi Harian'!$A:$A, "&lt;"&amp;($B29+1), 'Transaksi Harian'!$K:$K, TRIM(K$1))</f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31.5" customHeight="1">
      <c r="A30" s="1"/>
      <c r="B30" s="213">
        <v>46232.0</v>
      </c>
      <c r="C30" s="210">
        <f>COUNTIFS('Transaksi Harian'!$A:$A, "&gt;="&amp;$B30, 'Transaksi Harian'!$A:$A, "&lt;"&amp;($B30+1))</f>
        <v>0</v>
      </c>
      <c r="D30" s="211">
        <f>SUMIFS('Transaksi Harian'!$H:$H, 'Transaksi Harian'!$A:$A, "&gt;="&amp;$B30, 'Transaksi Harian'!$A:$A, "&lt;"&amp;($B30+1))</f>
        <v>0</v>
      </c>
      <c r="E30" s="211">
        <f>SUMIFS('Transaksi Harian'!$J:$J, 'Transaksi Harian'!$A:$A, "&gt;="&amp;$B30, 'Transaksi Harian'!$A:$A, "&lt;"&amp;($B30+1))</f>
        <v>0</v>
      </c>
      <c r="F30" s="211">
        <f t="shared" si="1"/>
        <v>0</v>
      </c>
      <c r="G30" s="212"/>
      <c r="H30" s="211">
        <f>SUMIFS('Transaksi Harian'!$J:$J, 'Transaksi Harian'!$A:$A, "&gt;="&amp;$B30, 'Transaksi Harian'!$A:$A, "&lt;"&amp;($B30+1), 'Transaksi Harian'!$K:$K, TRIM(H$1))</f>
        <v>0</v>
      </c>
      <c r="I30" s="211">
        <f>SUMIFS('Transaksi Harian'!$J:$J, 'Transaksi Harian'!$A:$A, "&gt;="&amp;$B30, 'Transaksi Harian'!$A:$A, "&lt;"&amp;($B30+1), 'Transaksi Harian'!$K:$K, TRIM(I$1))</f>
        <v>0</v>
      </c>
      <c r="J30" s="211">
        <f>SUMIFS('Transaksi Harian'!$J:$J, 'Transaksi Harian'!$A:$A, "&gt;="&amp;$B30, 'Transaksi Harian'!$A:$A, "&lt;"&amp;($B30+1), 'Transaksi Harian'!$K:$K, "TRANSFER")</f>
        <v>0</v>
      </c>
      <c r="K30" s="211">
        <f>SUMIFS('Transaksi Harian'!$J:$J, 'Transaksi Harian'!$A:$A, "&gt;="&amp;$B30, 'Transaksi Harian'!$A:$A, "&lt;"&amp;($B30+1), 'Transaksi Harian'!$K:$K, TRIM(K$1))</f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31.5" customHeight="1">
      <c r="A31" s="1"/>
      <c r="B31" s="213">
        <v>46233.0</v>
      </c>
      <c r="C31" s="210">
        <f>COUNTIFS('Transaksi Harian'!$A:$A, "&gt;="&amp;$B31, 'Transaksi Harian'!$A:$A, "&lt;"&amp;($B31+1))</f>
        <v>0</v>
      </c>
      <c r="D31" s="211">
        <f>SUMIFS('Transaksi Harian'!$H:$H, 'Transaksi Harian'!$A:$A, "&gt;="&amp;$B31, 'Transaksi Harian'!$A:$A, "&lt;"&amp;($B31+1))</f>
        <v>0</v>
      </c>
      <c r="E31" s="211">
        <f>SUMIFS('Transaksi Harian'!$J:$J, 'Transaksi Harian'!$A:$A, "&gt;="&amp;$B31, 'Transaksi Harian'!$A:$A, "&lt;"&amp;($B31+1))</f>
        <v>0</v>
      </c>
      <c r="F31" s="211">
        <f t="shared" si="1"/>
        <v>0</v>
      </c>
      <c r="G31" s="212"/>
      <c r="H31" s="211">
        <f>SUMIFS('Transaksi Harian'!$J:$J, 'Transaksi Harian'!$A:$A, "&gt;="&amp;$B31, 'Transaksi Harian'!$A:$A, "&lt;"&amp;($B31+1), 'Transaksi Harian'!$K:$K, TRIM(H$1))</f>
        <v>0</v>
      </c>
      <c r="I31" s="211">
        <f>SUMIFS('Transaksi Harian'!$J:$J, 'Transaksi Harian'!$A:$A, "&gt;="&amp;$B31, 'Transaksi Harian'!$A:$A, "&lt;"&amp;($B31+1), 'Transaksi Harian'!$K:$K, TRIM(I$1))</f>
        <v>0</v>
      </c>
      <c r="J31" s="211">
        <f>SUMIFS('Transaksi Harian'!$J:$J, 'Transaksi Harian'!$A:$A, "&gt;="&amp;$B31, 'Transaksi Harian'!$A:$A, "&lt;"&amp;($B31+1), 'Transaksi Harian'!$K:$K, "TRANSFER")</f>
        <v>0</v>
      </c>
      <c r="K31" s="211">
        <f>SUMIFS('Transaksi Harian'!$J:$J, 'Transaksi Harian'!$A:$A, "&gt;="&amp;$B31, 'Transaksi Harian'!$A:$A, "&lt;"&amp;($B31+1), 'Transaksi Harian'!$K:$K, TRIM(K$1))</f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31.5" customHeight="1">
      <c r="A32" s="1"/>
      <c r="B32" s="213">
        <v>46234.0</v>
      </c>
      <c r="C32" s="210">
        <f>COUNTIFS('Transaksi Harian'!$A:$A, "&gt;="&amp;$B32, 'Transaksi Harian'!$A:$A, "&lt;"&amp;($B32+1))</f>
        <v>0</v>
      </c>
      <c r="D32" s="211">
        <f>SUMIFS('Transaksi Harian'!$H:$H, 'Transaksi Harian'!$A:$A, "&gt;="&amp;$B32, 'Transaksi Harian'!$A:$A, "&lt;"&amp;($B32+1))</f>
        <v>0</v>
      </c>
      <c r="E32" s="211">
        <f>SUMIFS('Transaksi Harian'!$J:$J, 'Transaksi Harian'!$A:$A, "&gt;="&amp;$B32, 'Transaksi Harian'!$A:$A, "&lt;"&amp;($B32+1))</f>
        <v>0</v>
      </c>
      <c r="F32" s="211">
        <f t="shared" si="1"/>
        <v>0</v>
      </c>
      <c r="G32" s="212"/>
      <c r="H32" s="211">
        <f>SUMIFS('Transaksi Harian'!$J:$J, 'Transaksi Harian'!$A:$A, "&gt;="&amp;$B32, 'Transaksi Harian'!$A:$A, "&lt;"&amp;($B32+1), 'Transaksi Harian'!$K:$K, TRIM(H$1))</f>
        <v>0</v>
      </c>
      <c r="I32" s="211">
        <f>SUMIFS('Transaksi Harian'!$J:$J, 'Transaksi Harian'!$A:$A, "&gt;="&amp;$B32, 'Transaksi Harian'!$A:$A, "&lt;"&amp;($B32+1), 'Transaksi Harian'!$K:$K, TRIM(I$1))</f>
        <v>0</v>
      </c>
      <c r="J32" s="211">
        <f>SUMIFS('Transaksi Harian'!$J:$J, 'Transaksi Harian'!$A:$A, "&gt;="&amp;$B32, 'Transaksi Harian'!$A:$A, "&lt;"&amp;($B32+1), 'Transaksi Harian'!$K:$K, "TRANSFER")</f>
        <v>0</v>
      </c>
      <c r="K32" s="211">
        <f>SUMIFS('Transaksi Harian'!$J:$J, 'Transaksi Harian'!$A:$A, "&gt;="&amp;$B32, 'Transaksi Harian'!$A:$A, "&lt;"&amp;($B32+1), 'Transaksi Harian'!$K:$K, TRIM(K$1))</f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31.5" customHeight="1">
      <c r="A33" s="1"/>
      <c r="B33" s="214"/>
      <c r="C33" s="215"/>
      <c r="D33" s="215"/>
      <c r="E33" s="215"/>
      <c r="F33" s="215"/>
      <c r="G33" s="1"/>
      <c r="H33" s="216"/>
      <c r="I33" s="216"/>
      <c r="J33" s="216"/>
      <c r="K33" s="2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4.25" customHeight="1">
      <c r="A34" s="1"/>
      <c r="B34" s="218"/>
      <c r="C34" s="212"/>
      <c r="D34" s="212"/>
      <c r="E34" s="212"/>
      <c r="F34" s="212"/>
      <c r="G34" s="218"/>
      <c r="H34" s="218"/>
      <c r="I34" s="218"/>
      <c r="J34" s="218"/>
      <c r="K34" s="218"/>
      <c r="L34" s="218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4.25" customHeight="1">
      <c r="A35" s="1"/>
      <c r="B35" s="218"/>
      <c r="C35" s="219"/>
      <c r="D35" s="219"/>
      <c r="E35" s="219"/>
      <c r="F35" s="219"/>
      <c r="G35" s="220"/>
      <c r="H35" s="220"/>
      <c r="I35" s="220"/>
      <c r="J35" s="220"/>
      <c r="K35" s="220"/>
      <c r="L35" s="220"/>
      <c r="M35" s="220"/>
      <c r="N35" s="1"/>
      <c r="O35" s="1"/>
      <c r="P35" s="1"/>
      <c r="Q35" s="1"/>
      <c r="R35" s="1"/>
      <c r="S35" s="1"/>
      <c r="T35" s="1"/>
      <c r="U35" s="1"/>
      <c r="V35" s="1"/>
    </row>
    <row r="36" ht="14.25" customHeight="1">
      <c r="A36" s="1"/>
      <c r="B36" s="218"/>
      <c r="C36" s="219" t="s">
        <v>2738</v>
      </c>
      <c r="D36" s="219"/>
      <c r="E36" s="219"/>
      <c r="F36" s="219"/>
      <c r="G36" s="1"/>
      <c r="H36" s="221"/>
      <c r="I36" s="221"/>
      <c r="J36" s="221"/>
      <c r="K36" s="2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218"/>
      <c r="C37" s="219" t="s">
        <v>2739</v>
      </c>
      <c r="D37" s="219"/>
      <c r="E37" s="219"/>
      <c r="F37" s="219"/>
      <c r="G37" s="1"/>
      <c r="H37" s="221"/>
      <c r="I37" s="221"/>
      <c r="J37" s="221"/>
      <c r="K37" s="2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218"/>
      <c r="C38" s="212"/>
      <c r="D38" s="212"/>
      <c r="E38" s="212"/>
      <c r="F38" s="212"/>
      <c r="G38" s="1"/>
      <c r="H38" s="221"/>
      <c r="I38" s="221"/>
      <c r="J38" s="221"/>
      <c r="K38" s="22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218"/>
      <c r="C39" s="212"/>
      <c r="D39" s="212"/>
      <c r="E39" s="212"/>
      <c r="F39" s="212"/>
      <c r="G39" s="1"/>
      <c r="H39" s="221"/>
      <c r="I39" s="221"/>
      <c r="J39" s="221"/>
      <c r="K39" s="22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218"/>
      <c r="C40" s="212"/>
      <c r="D40" s="212"/>
      <c r="E40" s="212"/>
      <c r="F40" s="212"/>
      <c r="G40" s="1"/>
      <c r="H40" s="221"/>
      <c r="I40" s="221"/>
      <c r="J40" s="221"/>
      <c r="K40" s="22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218"/>
      <c r="C41" s="212"/>
      <c r="D41" s="212"/>
      <c r="E41" s="212"/>
      <c r="F41" s="212"/>
      <c r="G41" s="1"/>
      <c r="H41" s="221"/>
      <c r="I41" s="221"/>
      <c r="J41" s="221"/>
      <c r="K41" s="22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218"/>
      <c r="C42" s="212"/>
      <c r="D42" s="212"/>
      <c r="E42" s="212"/>
      <c r="F42" s="212"/>
      <c r="G42" s="1"/>
      <c r="H42" s="221"/>
      <c r="I42" s="221"/>
      <c r="J42" s="221"/>
      <c r="K42" s="22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218"/>
      <c r="C43" s="212"/>
      <c r="D43" s="212"/>
      <c r="E43" s="212"/>
      <c r="F43" s="212"/>
      <c r="G43" s="1"/>
      <c r="H43" s="221"/>
      <c r="I43" s="221"/>
      <c r="J43" s="221"/>
      <c r="K43" s="22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218"/>
      <c r="C44" s="212"/>
      <c r="D44" s="212"/>
      <c r="E44" s="212"/>
      <c r="F44" s="212"/>
      <c r="G44" s="1"/>
      <c r="H44" s="221"/>
      <c r="I44" s="221"/>
      <c r="J44" s="221"/>
      <c r="K44" s="22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218"/>
      <c r="C45" s="212"/>
      <c r="D45" s="212"/>
      <c r="E45" s="212"/>
      <c r="F45" s="212"/>
      <c r="G45" s="1"/>
      <c r="H45" s="221"/>
      <c r="I45" s="221"/>
      <c r="J45" s="221"/>
      <c r="K45" s="22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218"/>
      <c r="C46" s="212"/>
      <c r="D46" s="212"/>
      <c r="E46" s="212"/>
      <c r="F46" s="212"/>
      <c r="G46" s="1"/>
      <c r="H46" s="221"/>
      <c r="I46" s="221"/>
      <c r="J46" s="221"/>
      <c r="K46" s="22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218"/>
      <c r="C47" s="212"/>
      <c r="D47" s="212"/>
      <c r="E47" s="212"/>
      <c r="F47" s="212"/>
      <c r="G47" s="1"/>
      <c r="H47" s="221"/>
      <c r="I47" s="221"/>
      <c r="J47" s="221"/>
      <c r="K47" s="22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218"/>
      <c r="C48" s="212"/>
      <c r="D48" s="212"/>
      <c r="E48" s="212"/>
      <c r="F48" s="212"/>
      <c r="G48" s="1"/>
      <c r="H48" s="221"/>
      <c r="I48" s="221"/>
      <c r="J48" s="221"/>
      <c r="K48" s="22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218"/>
      <c r="C49" s="212"/>
      <c r="D49" s="212"/>
      <c r="E49" s="212"/>
      <c r="F49" s="212"/>
      <c r="G49" s="1"/>
      <c r="H49" s="221"/>
      <c r="I49" s="221"/>
      <c r="J49" s="221"/>
      <c r="K49" s="22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218"/>
      <c r="C50" s="212"/>
      <c r="D50" s="212"/>
      <c r="E50" s="212"/>
      <c r="F50" s="212"/>
      <c r="G50" s="1"/>
      <c r="H50" s="221"/>
      <c r="I50" s="221"/>
      <c r="J50" s="221"/>
      <c r="K50" s="22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218"/>
      <c r="C51" s="212"/>
      <c r="D51" s="212"/>
      <c r="E51" s="212"/>
      <c r="F51" s="212"/>
      <c r="G51" s="1"/>
      <c r="H51" s="221"/>
      <c r="I51" s="221"/>
      <c r="J51" s="221"/>
      <c r="K51" s="2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218"/>
      <c r="C52" s="212"/>
      <c r="D52" s="212"/>
      <c r="E52" s="212"/>
      <c r="F52" s="212"/>
      <c r="G52" s="1"/>
      <c r="H52" s="221"/>
      <c r="I52" s="221"/>
      <c r="J52" s="221"/>
      <c r="K52" s="22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218"/>
      <c r="C53" s="212"/>
      <c r="D53" s="212"/>
      <c r="E53" s="212"/>
      <c r="F53" s="212"/>
      <c r="G53" s="1"/>
      <c r="H53" s="221"/>
      <c r="I53" s="221"/>
      <c r="J53" s="221"/>
      <c r="K53" s="22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218"/>
      <c r="C54" s="212"/>
      <c r="D54" s="212"/>
      <c r="E54" s="212"/>
      <c r="F54" s="212"/>
      <c r="G54" s="1"/>
      <c r="H54" s="221"/>
      <c r="I54" s="221"/>
      <c r="J54" s="221"/>
      <c r="K54" s="22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218"/>
      <c r="C55" s="212"/>
      <c r="D55" s="212"/>
      <c r="E55" s="212"/>
      <c r="F55" s="212"/>
      <c r="G55" s="1"/>
      <c r="H55" s="221"/>
      <c r="I55" s="221"/>
      <c r="J55" s="221"/>
      <c r="K55" s="22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218"/>
      <c r="C56" s="212"/>
      <c r="D56" s="212"/>
      <c r="E56" s="212"/>
      <c r="F56" s="212"/>
      <c r="G56" s="1"/>
      <c r="H56" s="221"/>
      <c r="I56" s="221"/>
      <c r="J56" s="221"/>
      <c r="K56" s="22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218"/>
      <c r="C57" s="212"/>
      <c r="D57" s="212"/>
      <c r="E57" s="212"/>
      <c r="F57" s="212"/>
      <c r="G57" s="1"/>
      <c r="H57" s="221"/>
      <c r="I57" s="221"/>
      <c r="J57" s="221"/>
      <c r="K57" s="22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218"/>
      <c r="C58" s="212"/>
      <c r="D58" s="212"/>
      <c r="E58" s="212"/>
      <c r="F58" s="212"/>
      <c r="G58" s="1"/>
      <c r="H58" s="221"/>
      <c r="I58" s="221"/>
      <c r="J58" s="221"/>
      <c r="K58" s="22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218"/>
      <c r="C59" s="212"/>
      <c r="D59" s="212"/>
      <c r="E59" s="212"/>
      <c r="F59" s="212"/>
      <c r="G59" s="1"/>
      <c r="H59" s="221"/>
      <c r="I59" s="221"/>
      <c r="J59" s="221"/>
      <c r="K59" s="22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218"/>
      <c r="C60" s="212"/>
      <c r="D60" s="212"/>
      <c r="E60" s="212"/>
      <c r="F60" s="212"/>
      <c r="G60" s="1"/>
      <c r="H60" s="221"/>
      <c r="I60" s="221"/>
      <c r="J60" s="221"/>
      <c r="K60" s="22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218"/>
      <c r="C61" s="212"/>
      <c r="D61" s="212"/>
      <c r="E61" s="212"/>
      <c r="F61" s="212"/>
      <c r="G61" s="1"/>
      <c r="H61" s="221"/>
      <c r="I61" s="221"/>
      <c r="J61" s="221"/>
      <c r="K61" s="22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218"/>
      <c r="C62" s="212"/>
      <c r="D62" s="212"/>
      <c r="E62" s="212"/>
      <c r="F62" s="212"/>
      <c r="G62" s="1"/>
      <c r="H62" s="221"/>
      <c r="I62" s="221"/>
      <c r="J62" s="221"/>
      <c r="K62" s="22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218"/>
      <c r="C63" s="212"/>
      <c r="D63" s="212"/>
      <c r="E63" s="212"/>
      <c r="F63" s="212"/>
      <c r="G63" s="1"/>
      <c r="H63" s="221"/>
      <c r="I63" s="221"/>
      <c r="J63" s="221"/>
      <c r="K63" s="22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218"/>
      <c r="C64" s="212"/>
      <c r="D64" s="212"/>
      <c r="E64" s="212"/>
      <c r="F64" s="212"/>
      <c r="G64" s="1"/>
      <c r="H64" s="221"/>
      <c r="I64" s="221"/>
      <c r="J64" s="221"/>
      <c r="K64" s="22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218"/>
      <c r="C65" s="212"/>
      <c r="D65" s="212"/>
      <c r="E65" s="212"/>
      <c r="F65" s="212"/>
      <c r="G65" s="1"/>
      <c r="H65" s="221"/>
      <c r="I65" s="221"/>
      <c r="J65" s="221"/>
      <c r="K65" s="22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218"/>
      <c r="C66" s="212"/>
      <c r="D66" s="212"/>
      <c r="E66" s="212"/>
      <c r="F66" s="212"/>
      <c r="G66" s="1"/>
      <c r="H66" s="221"/>
      <c r="I66" s="221"/>
      <c r="J66" s="221"/>
      <c r="K66" s="22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218"/>
      <c r="C67" s="212"/>
      <c r="D67" s="212"/>
      <c r="E67" s="212"/>
      <c r="F67" s="212"/>
      <c r="G67" s="1"/>
      <c r="H67" s="221"/>
      <c r="I67" s="221"/>
      <c r="J67" s="221"/>
      <c r="K67" s="22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218"/>
      <c r="C68" s="212"/>
      <c r="D68" s="212"/>
      <c r="E68" s="212"/>
      <c r="F68" s="212"/>
      <c r="G68" s="1"/>
      <c r="H68" s="221"/>
      <c r="I68" s="221"/>
      <c r="J68" s="221"/>
      <c r="K68" s="22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218"/>
      <c r="C69" s="212"/>
      <c r="D69" s="212"/>
      <c r="E69" s="212"/>
      <c r="F69" s="212"/>
      <c r="G69" s="1"/>
      <c r="H69" s="221"/>
      <c r="I69" s="221"/>
      <c r="J69" s="221"/>
      <c r="K69" s="22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218"/>
      <c r="C70" s="212"/>
      <c r="D70" s="212"/>
      <c r="E70" s="212"/>
      <c r="F70" s="212"/>
      <c r="G70" s="1"/>
      <c r="H70" s="221"/>
      <c r="I70" s="221"/>
      <c r="J70" s="221"/>
      <c r="K70" s="22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218"/>
      <c r="C71" s="212"/>
      <c r="D71" s="212"/>
      <c r="E71" s="212"/>
      <c r="F71" s="212"/>
      <c r="G71" s="1"/>
      <c r="H71" s="221"/>
      <c r="I71" s="221"/>
      <c r="J71" s="221"/>
      <c r="K71" s="22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218"/>
      <c r="C72" s="212"/>
      <c r="D72" s="212"/>
      <c r="E72" s="212"/>
      <c r="F72" s="212"/>
      <c r="G72" s="1"/>
      <c r="H72" s="221"/>
      <c r="I72" s="221"/>
      <c r="J72" s="221"/>
      <c r="K72" s="22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218"/>
      <c r="C73" s="212"/>
      <c r="D73" s="212"/>
      <c r="E73" s="212"/>
      <c r="F73" s="212"/>
      <c r="G73" s="1"/>
      <c r="H73" s="221"/>
      <c r="I73" s="221"/>
      <c r="J73" s="221"/>
      <c r="K73" s="22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218"/>
      <c r="C74" s="212"/>
      <c r="D74" s="212"/>
      <c r="E74" s="212"/>
      <c r="F74" s="212"/>
      <c r="G74" s="1"/>
      <c r="H74" s="221"/>
      <c r="I74" s="221"/>
      <c r="J74" s="221"/>
      <c r="K74" s="22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218"/>
      <c r="C75" s="212"/>
      <c r="D75" s="212"/>
      <c r="E75" s="212"/>
      <c r="F75" s="212"/>
      <c r="G75" s="1"/>
      <c r="H75" s="221"/>
      <c r="I75" s="221"/>
      <c r="J75" s="221"/>
      <c r="K75" s="22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218"/>
      <c r="C76" s="212"/>
      <c r="D76" s="212"/>
      <c r="E76" s="212"/>
      <c r="F76" s="212"/>
      <c r="G76" s="1"/>
      <c r="H76" s="221"/>
      <c r="I76" s="221"/>
      <c r="J76" s="221"/>
      <c r="K76" s="22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218"/>
      <c r="C77" s="212"/>
      <c r="D77" s="212"/>
      <c r="E77" s="212"/>
      <c r="F77" s="212"/>
      <c r="G77" s="1"/>
      <c r="H77" s="221"/>
      <c r="I77" s="221"/>
      <c r="J77" s="221"/>
      <c r="K77" s="2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218"/>
      <c r="C78" s="212"/>
      <c r="D78" s="212"/>
      <c r="E78" s="212"/>
      <c r="F78" s="212"/>
      <c r="G78" s="1"/>
      <c r="H78" s="221"/>
      <c r="I78" s="221"/>
      <c r="J78" s="221"/>
      <c r="K78" s="22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218"/>
      <c r="C79" s="212"/>
      <c r="D79" s="212"/>
      <c r="E79" s="212"/>
      <c r="F79" s="212"/>
      <c r="G79" s="1"/>
      <c r="H79" s="221"/>
      <c r="I79" s="221"/>
      <c r="J79" s="221"/>
      <c r="K79" s="22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218"/>
      <c r="C80" s="212"/>
      <c r="D80" s="212"/>
      <c r="E80" s="212"/>
      <c r="F80" s="212"/>
      <c r="G80" s="1"/>
      <c r="H80" s="221"/>
      <c r="I80" s="221"/>
      <c r="J80" s="221"/>
      <c r="K80" s="22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218"/>
      <c r="C81" s="212"/>
      <c r="D81" s="212"/>
      <c r="E81" s="212"/>
      <c r="F81" s="212"/>
      <c r="G81" s="1"/>
      <c r="H81" s="221"/>
      <c r="I81" s="221"/>
      <c r="J81" s="221"/>
      <c r="K81" s="22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218"/>
      <c r="C82" s="212"/>
      <c r="D82" s="212"/>
      <c r="E82" s="212"/>
      <c r="F82" s="212"/>
      <c r="G82" s="1"/>
      <c r="H82" s="221"/>
      <c r="I82" s="221"/>
      <c r="J82" s="221"/>
      <c r="K82" s="22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218"/>
      <c r="C83" s="212"/>
      <c r="D83" s="212"/>
      <c r="E83" s="212"/>
      <c r="F83" s="212"/>
      <c r="G83" s="1"/>
      <c r="H83" s="221"/>
      <c r="I83" s="221"/>
      <c r="J83" s="221"/>
      <c r="K83" s="22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218"/>
      <c r="C84" s="212"/>
      <c r="D84" s="212"/>
      <c r="E84" s="212"/>
      <c r="F84" s="212"/>
      <c r="G84" s="1"/>
      <c r="H84" s="221"/>
      <c r="I84" s="221"/>
      <c r="J84" s="221"/>
      <c r="K84" s="22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218"/>
      <c r="C85" s="212"/>
      <c r="D85" s="212"/>
      <c r="E85" s="212"/>
      <c r="F85" s="212"/>
      <c r="G85" s="1"/>
      <c r="H85" s="221"/>
      <c r="I85" s="221"/>
      <c r="J85" s="221"/>
      <c r="K85" s="22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218"/>
      <c r="C86" s="212"/>
      <c r="D86" s="212"/>
      <c r="E86" s="212"/>
      <c r="F86" s="212"/>
      <c r="G86" s="1"/>
      <c r="H86" s="221"/>
      <c r="I86" s="221"/>
      <c r="J86" s="221"/>
      <c r="K86" s="2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218"/>
      <c r="C87" s="212"/>
      <c r="D87" s="212"/>
      <c r="E87" s="212"/>
      <c r="F87" s="212"/>
      <c r="G87" s="1"/>
      <c r="H87" s="221"/>
      <c r="I87" s="221"/>
      <c r="J87" s="221"/>
      <c r="K87" s="22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218"/>
      <c r="C88" s="212"/>
      <c r="D88" s="212"/>
      <c r="E88" s="212"/>
      <c r="F88" s="212"/>
      <c r="G88" s="1"/>
      <c r="H88" s="221"/>
      <c r="I88" s="221"/>
      <c r="J88" s="221"/>
      <c r="K88" s="22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218"/>
      <c r="C89" s="212"/>
      <c r="D89" s="212"/>
      <c r="E89" s="212"/>
      <c r="F89" s="212"/>
      <c r="G89" s="1"/>
      <c r="H89" s="221"/>
      <c r="I89" s="221"/>
      <c r="J89" s="221"/>
      <c r="K89" s="22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218"/>
      <c r="C90" s="212"/>
      <c r="D90" s="212"/>
      <c r="E90" s="212"/>
      <c r="F90" s="212"/>
      <c r="G90" s="1"/>
      <c r="H90" s="221"/>
      <c r="I90" s="221"/>
      <c r="J90" s="221"/>
      <c r="K90" s="22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218"/>
      <c r="C91" s="212"/>
      <c r="D91" s="212"/>
      <c r="E91" s="212"/>
      <c r="F91" s="212"/>
      <c r="G91" s="1"/>
      <c r="H91" s="221"/>
      <c r="I91" s="221"/>
      <c r="J91" s="221"/>
      <c r="K91" s="22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218"/>
      <c r="C92" s="212"/>
      <c r="D92" s="212"/>
      <c r="E92" s="212"/>
      <c r="F92" s="212"/>
      <c r="G92" s="1"/>
      <c r="H92" s="221"/>
      <c r="I92" s="221"/>
      <c r="J92" s="221"/>
      <c r="K92" s="22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218"/>
      <c r="C93" s="212"/>
      <c r="D93" s="212"/>
      <c r="E93" s="212"/>
      <c r="F93" s="212"/>
      <c r="G93" s="1"/>
      <c r="H93" s="221"/>
      <c r="I93" s="221"/>
      <c r="J93" s="221"/>
      <c r="K93" s="22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218"/>
      <c r="C94" s="212"/>
      <c r="D94" s="212"/>
      <c r="E94" s="212"/>
      <c r="F94" s="212"/>
      <c r="G94" s="1"/>
      <c r="H94" s="221"/>
      <c r="I94" s="221"/>
      <c r="J94" s="221"/>
      <c r="K94" s="22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218"/>
      <c r="C95" s="212"/>
      <c r="D95" s="212"/>
      <c r="E95" s="212"/>
      <c r="F95" s="212"/>
      <c r="G95" s="1"/>
      <c r="H95" s="221"/>
      <c r="I95" s="221"/>
      <c r="J95" s="221"/>
      <c r="K95" s="22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218"/>
      <c r="C96" s="212"/>
      <c r="D96" s="212"/>
      <c r="E96" s="212"/>
      <c r="F96" s="212"/>
      <c r="G96" s="1"/>
      <c r="H96" s="221"/>
      <c r="I96" s="221"/>
      <c r="J96" s="221"/>
      <c r="K96" s="22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218"/>
      <c r="C97" s="212"/>
      <c r="D97" s="212"/>
      <c r="E97" s="212"/>
      <c r="F97" s="212"/>
      <c r="G97" s="1"/>
      <c r="H97" s="221"/>
      <c r="I97" s="221"/>
      <c r="J97" s="221"/>
      <c r="K97" s="22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218"/>
      <c r="C98" s="212"/>
      <c r="D98" s="212"/>
      <c r="E98" s="212"/>
      <c r="F98" s="212"/>
      <c r="G98" s="1"/>
      <c r="H98" s="221"/>
      <c r="I98" s="221"/>
      <c r="J98" s="221"/>
      <c r="K98" s="22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218"/>
      <c r="C99" s="212"/>
      <c r="D99" s="212"/>
      <c r="E99" s="212"/>
      <c r="F99" s="212"/>
      <c r="G99" s="1"/>
      <c r="H99" s="221"/>
      <c r="I99" s="221"/>
      <c r="J99" s="221"/>
      <c r="K99" s="22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218"/>
      <c r="C100" s="212"/>
      <c r="D100" s="212"/>
      <c r="E100" s="212"/>
      <c r="F100" s="212"/>
      <c r="G100" s="1"/>
      <c r="H100" s="221"/>
      <c r="I100" s="221"/>
      <c r="J100" s="221"/>
      <c r="K100" s="22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218"/>
      <c r="C101" s="212"/>
      <c r="D101" s="212"/>
      <c r="E101" s="212"/>
      <c r="F101" s="212"/>
      <c r="G101" s="1"/>
      <c r="H101" s="221"/>
      <c r="I101" s="221"/>
      <c r="J101" s="221"/>
      <c r="K101" s="22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218"/>
      <c r="C102" s="212"/>
      <c r="D102" s="212"/>
      <c r="E102" s="212"/>
      <c r="F102" s="212"/>
      <c r="G102" s="1"/>
      <c r="H102" s="221"/>
      <c r="I102" s="221"/>
      <c r="J102" s="221"/>
      <c r="K102" s="22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218"/>
      <c r="C103" s="212"/>
      <c r="D103" s="212"/>
      <c r="E103" s="212"/>
      <c r="F103" s="212"/>
      <c r="G103" s="1"/>
      <c r="H103" s="221"/>
      <c r="I103" s="221"/>
      <c r="J103" s="221"/>
      <c r="K103" s="22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218"/>
      <c r="C104" s="212"/>
      <c r="D104" s="212"/>
      <c r="E104" s="212"/>
      <c r="F104" s="212"/>
      <c r="G104" s="1"/>
      <c r="H104" s="221"/>
      <c r="I104" s="221"/>
      <c r="J104" s="221"/>
      <c r="K104" s="22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218"/>
      <c r="C105" s="212"/>
      <c r="D105" s="212"/>
      <c r="E105" s="212"/>
      <c r="F105" s="212"/>
      <c r="G105" s="1"/>
      <c r="H105" s="221"/>
      <c r="I105" s="221"/>
      <c r="J105" s="221"/>
      <c r="K105" s="22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218"/>
      <c r="C106" s="212"/>
      <c r="D106" s="212"/>
      <c r="E106" s="212"/>
      <c r="F106" s="212"/>
      <c r="G106" s="1"/>
      <c r="H106" s="221"/>
      <c r="I106" s="221"/>
      <c r="J106" s="221"/>
      <c r="K106" s="22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218"/>
      <c r="C107" s="212"/>
      <c r="D107" s="212"/>
      <c r="E107" s="212"/>
      <c r="F107" s="212"/>
      <c r="G107" s="1"/>
      <c r="H107" s="221"/>
      <c r="I107" s="221"/>
      <c r="J107" s="221"/>
      <c r="K107" s="22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218"/>
      <c r="C108" s="212"/>
      <c r="D108" s="212"/>
      <c r="E108" s="212"/>
      <c r="F108" s="212"/>
      <c r="G108" s="1"/>
      <c r="H108" s="221"/>
      <c r="I108" s="221"/>
      <c r="J108" s="221"/>
      <c r="K108" s="22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218"/>
      <c r="C109" s="212"/>
      <c r="D109" s="212"/>
      <c r="E109" s="212"/>
      <c r="F109" s="212"/>
      <c r="G109" s="1"/>
      <c r="H109" s="221"/>
      <c r="I109" s="221"/>
      <c r="J109" s="221"/>
      <c r="K109" s="22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218"/>
      <c r="C110" s="212"/>
      <c r="D110" s="212"/>
      <c r="E110" s="212"/>
      <c r="F110" s="212"/>
      <c r="G110" s="1"/>
      <c r="H110" s="221"/>
      <c r="I110" s="221"/>
      <c r="J110" s="221"/>
      <c r="K110" s="22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218"/>
      <c r="C111" s="212"/>
      <c r="D111" s="212"/>
      <c r="E111" s="212"/>
      <c r="F111" s="212"/>
      <c r="G111" s="1"/>
      <c r="H111" s="221"/>
      <c r="I111" s="221"/>
      <c r="J111" s="221"/>
      <c r="K111" s="22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218"/>
      <c r="C112" s="212"/>
      <c r="D112" s="212"/>
      <c r="E112" s="212"/>
      <c r="F112" s="212"/>
      <c r="G112" s="1"/>
      <c r="H112" s="221"/>
      <c r="I112" s="221"/>
      <c r="J112" s="221"/>
      <c r="K112" s="22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218"/>
      <c r="C113" s="212"/>
      <c r="D113" s="212"/>
      <c r="E113" s="212"/>
      <c r="F113" s="212"/>
      <c r="G113" s="1"/>
      <c r="H113" s="221"/>
      <c r="I113" s="221"/>
      <c r="J113" s="221"/>
      <c r="K113" s="22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218"/>
      <c r="C114" s="212"/>
      <c r="D114" s="212"/>
      <c r="E114" s="212"/>
      <c r="F114" s="212"/>
      <c r="G114" s="1"/>
      <c r="H114" s="221"/>
      <c r="I114" s="221"/>
      <c r="J114" s="221"/>
      <c r="K114" s="22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218"/>
      <c r="C115" s="212"/>
      <c r="D115" s="212"/>
      <c r="E115" s="212"/>
      <c r="F115" s="212"/>
      <c r="G115" s="1"/>
      <c r="H115" s="221"/>
      <c r="I115" s="221"/>
      <c r="J115" s="221"/>
      <c r="K115" s="22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218"/>
      <c r="C116" s="212"/>
      <c r="D116" s="212"/>
      <c r="E116" s="212"/>
      <c r="F116" s="212"/>
      <c r="G116" s="1"/>
      <c r="H116" s="221"/>
      <c r="I116" s="221"/>
      <c r="J116" s="221"/>
      <c r="K116" s="22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218"/>
      <c r="C117" s="212"/>
      <c r="D117" s="212"/>
      <c r="E117" s="212"/>
      <c r="F117" s="212"/>
      <c r="G117" s="1"/>
      <c r="H117" s="221"/>
      <c r="I117" s="221"/>
      <c r="J117" s="221"/>
      <c r="K117" s="22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218"/>
      <c r="C118" s="212"/>
      <c r="D118" s="212"/>
      <c r="E118" s="212"/>
      <c r="F118" s="212"/>
      <c r="G118" s="1"/>
      <c r="H118" s="221"/>
      <c r="I118" s="221"/>
      <c r="J118" s="221"/>
      <c r="K118" s="22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218"/>
      <c r="C119" s="212"/>
      <c r="D119" s="212"/>
      <c r="E119" s="212"/>
      <c r="F119" s="212"/>
      <c r="G119" s="1"/>
      <c r="H119" s="221"/>
      <c r="I119" s="221"/>
      <c r="J119" s="221"/>
      <c r="K119" s="22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218"/>
      <c r="C120" s="212"/>
      <c r="D120" s="212"/>
      <c r="E120" s="212"/>
      <c r="F120" s="212"/>
      <c r="G120" s="1"/>
      <c r="H120" s="221"/>
      <c r="I120" s="221"/>
      <c r="J120" s="221"/>
      <c r="K120" s="22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218"/>
      <c r="C121" s="212"/>
      <c r="D121" s="212"/>
      <c r="E121" s="212"/>
      <c r="F121" s="212"/>
      <c r="G121" s="1"/>
      <c r="H121" s="221"/>
      <c r="I121" s="221"/>
      <c r="J121" s="221"/>
      <c r="K121" s="22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218"/>
      <c r="C122" s="212"/>
      <c r="D122" s="212"/>
      <c r="E122" s="212"/>
      <c r="F122" s="212"/>
      <c r="G122" s="1"/>
      <c r="H122" s="221"/>
      <c r="I122" s="221"/>
      <c r="J122" s="221"/>
      <c r="K122" s="22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218"/>
      <c r="C123" s="212"/>
      <c r="D123" s="212"/>
      <c r="E123" s="212"/>
      <c r="F123" s="212"/>
      <c r="G123" s="1"/>
      <c r="H123" s="221"/>
      <c r="I123" s="221"/>
      <c r="J123" s="221"/>
      <c r="K123" s="22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218"/>
      <c r="C124" s="212"/>
      <c r="D124" s="212"/>
      <c r="E124" s="212"/>
      <c r="F124" s="212"/>
      <c r="G124" s="1"/>
      <c r="H124" s="221"/>
      <c r="I124" s="221"/>
      <c r="J124" s="221"/>
      <c r="K124" s="22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218"/>
      <c r="C125" s="212"/>
      <c r="D125" s="212"/>
      <c r="E125" s="212"/>
      <c r="F125" s="212"/>
      <c r="G125" s="1"/>
      <c r="H125" s="221"/>
      <c r="I125" s="221"/>
      <c r="J125" s="221"/>
      <c r="K125" s="22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218"/>
      <c r="C126" s="212"/>
      <c r="D126" s="212"/>
      <c r="E126" s="212"/>
      <c r="F126" s="212"/>
      <c r="G126" s="1"/>
      <c r="H126" s="221"/>
      <c r="I126" s="221"/>
      <c r="J126" s="221"/>
      <c r="K126" s="22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218"/>
      <c r="C127" s="212"/>
      <c r="D127" s="212"/>
      <c r="E127" s="212"/>
      <c r="F127" s="212"/>
      <c r="G127" s="1"/>
      <c r="H127" s="221"/>
      <c r="I127" s="221"/>
      <c r="J127" s="221"/>
      <c r="K127" s="22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218"/>
      <c r="C128" s="212"/>
      <c r="D128" s="212"/>
      <c r="E128" s="212"/>
      <c r="F128" s="212"/>
      <c r="G128" s="1"/>
      <c r="H128" s="221"/>
      <c r="I128" s="221"/>
      <c r="J128" s="221"/>
      <c r="K128" s="22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218"/>
      <c r="C129" s="212"/>
      <c r="D129" s="212"/>
      <c r="E129" s="212"/>
      <c r="F129" s="212"/>
      <c r="G129" s="1"/>
      <c r="H129" s="221"/>
      <c r="I129" s="221"/>
      <c r="J129" s="221"/>
      <c r="K129" s="22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218"/>
      <c r="C130" s="212"/>
      <c r="D130" s="212"/>
      <c r="E130" s="212"/>
      <c r="F130" s="212"/>
      <c r="G130" s="1"/>
      <c r="H130" s="221"/>
      <c r="I130" s="221"/>
      <c r="J130" s="221"/>
      <c r="K130" s="22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218"/>
      <c r="C131" s="212"/>
      <c r="D131" s="212"/>
      <c r="E131" s="212"/>
      <c r="F131" s="212"/>
      <c r="G131" s="1"/>
      <c r="H131" s="221"/>
      <c r="I131" s="221"/>
      <c r="J131" s="221"/>
      <c r="K131" s="22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218"/>
      <c r="C132" s="212"/>
      <c r="D132" s="212"/>
      <c r="E132" s="212"/>
      <c r="F132" s="212"/>
      <c r="G132" s="1"/>
      <c r="H132" s="221"/>
      <c r="I132" s="221"/>
      <c r="J132" s="221"/>
      <c r="K132" s="22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218"/>
      <c r="C133" s="212"/>
      <c r="D133" s="212"/>
      <c r="E133" s="212"/>
      <c r="F133" s="212"/>
      <c r="G133" s="1"/>
      <c r="H133" s="221"/>
      <c r="I133" s="221"/>
      <c r="J133" s="221"/>
      <c r="K133" s="22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218"/>
      <c r="C134" s="212"/>
      <c r="D134" s="212"/>
      <c r="E134" s="212"/>
      <c r="F134" s="212"/>
      <c r="G134" s="1"/>
      <c r="H134" s="221"/>
      <c r="I134" s="221"/>
      <c r="J134" s="221"/>
      <c r="K134" s="22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218"/>
      <c r="C135" s="212"/>
      <c r="D135" s="212"/>
      <c r="E135" s="212"/>
      <c r="F135" s="212"/>
      <c r="G135" s="1"/>
      <c r="H135" s="221"/>
      <c r="I135" s="221"/>
      <c r="J135" s="221"/>
      <c r="K135" s="22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218"/>
      <c r="C136" s="212"/>
      <c r="D136" s="212"/>
      <c r="E136" s="212"/>
      <c r="F136" s="212"/>
      <c r="G136" s="1"/>
      <c r="H136" s="221"/>
      <c r="I136" s="221"/>
      <c r="J136" s="221"/>
      <c r="K136" s="22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218"/>
      <c r="C137" s="212"/>
      <c r="D137" s="212"/>
      <c r="E137" s="212"/>
      <c r="F137" s="212"/>
      <c r="G137" s="1"/>
      <c r="H137" s="221"/>
      <c r="I137" s="221"/>
      <c r="J137" s="221"/>
      <c r="K137" s="22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218"/>
      <c r="C138" s="212"/>
      <c r="D138" s="212"/>
      <c r="E138" s="212"/>
      <c r="F138" s="212"/>
      <c r="G138" s="1"/>
      <c r="H138" s="221"/>
      <c r="I138" s="221"/>
      <c r="J138" s="221"/>
      <c r="K138" s="22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218"/>
      <c r="C139" s="212"/>
      <c r="D139" s="212"/>
      <c r="E139" s="212"/>
      <c r="F139" s="212"/>
      <c r="G139" s="1"/>
      <c r="H139" s="221"/>
      <c r="I139" s="221"/>
      <c r="J139" s="221"/>
      <c r="K139" s="22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218"/>
      <c r="C140" s="212"/>
      <c r="D140" s="212"/>
      <c r="E140" s="212"/>
      <c r="F140" s="212"/>
      <c r="G140" s="1"/>
      <c r="H140" s="221"/>
      <c r="I140" s="221"/>
      <c r="J140" s="221"/>
      <c r="K140" s="22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218"/>
      <c r="C141" s="212"/>
      <c r="D141" s="212"/>
      <c r="E141" s="212"/>
      <c r="F141" s="212"/>
      <c r="G141" s="1"/>
      <c r="H141" s="221"/>
      <c r="I141" s="221"/>
      <c r="J141" s="221"/>
      <c r="K141" s="22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218"/>
      <c r="C142" s="212"/>
      <c r="D142" s="212"/>
      <c r="E142" s="212"/>
      <c r="F142" s="212"/>
      <c r="G142" s="1"/>
      <c r="H142" s="221"/>
      <c r="I142" s="221"/>
      <c r="J142" s="221"/>
      <c r="K142" s="22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218"/>
      <c r="C143" s="212"/>
      <c r="D143" s="212"/>
      <c r="E143" s="212"/>
      <c r="F143" s="212"/>
      <c r="G143" s="1"/>
      <c r="H143" s="221"/>
      <c r="I143" s="221"/>
      <c r="J143" s="221"/>
      <c r="K143" s="22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218"/>
      <c r="C144" s="212"/>
      <c r="D144" s="212"/>
      <c r="E144" s="212"/>
      <c r="F144" s="212"/>
      <c r="G144" s="1"/>
      <c r="H144" s="221"/>
      <c r="I144" s="221"/>
      <c r="J144" s="221"/>
      <c r="K144" s="22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218"/>
      <c r="C145" s="212"/>
      <c r="D145" s="212"/>
      <c r="E145" s="212"/>
      <c r="F145" s="212"/>
      <c r="G145" s="1"/>
      <c r="H145" s="221"/>
      <c r="I145" s="221"/>
      <c r="J145" s="221"/>
      <c r="K145" s="22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218"/>
      <c r="C146" s="212"/>
      <c r="D146" s="212"/>
      <c r="E146" s="212"/>
      <c r="F146" s="212"/>
      <c r="G146" s="1"/>
      <c r="H146" s="221"/>
      <c r="I146" s="221"/>
      <c r="J146" s="221"/>
      <c r="K146" s="22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218"/>
      <c r="C147" s="212"/>
      <c r="D147" s="212"/>
      <c r="E147" s="212"/>
      <c r="F147" s="212"/>
      <c r="G147" s="1"/>
      <c r="H147" s="221"/>
      <c r="I147" s="221"/>
      <c r="J147" s="221"/>
      <c r="K147" s="22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218"/>
      <c r="C148" s="212"/>
      <c r="D148" s="212"/>
      <c r="E148" s="212"/>
      <c r="F148" s="212"/>
      <c r="G148" s="1"/>
      <c r="H148" s="221"/>
      <c r="I148" s="221"/>
      <c r="J148" s="221"/>
      <c r="K148" s="22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218"/>
      <c r="C149" s="212"/>
      <c r="D149" s="212"/>
      <c r="E149" s="212"/>
      <c r="F149" s="212"/>
      <c r="G149" s="1"/>
      <c r="H149" s="221"/>
      <c r="I149" s="221"/>
      <c r="J149" s="221"/>
      <c r="K149" s="22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218"/>
      <c r="C150" s="212"/>
      <c r="D150" s="212"/>
      <c r="E150" s="212"/>
      <c r="F150" s="212"/>
      <c r="G150" s="1"/>
      <c r="H150" s="221"/>
      <c r="I150" s="221"/>
      <c r="J150" s="221"/>
      <c r="K150" s="22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218"/>
      <c r="C151" s="212"/>
      <c r="D151" s="212"/>
      <c r="E151" s="212"/>
      <c r="F151" s="212"/>
      <c r="G151" s="1"/>
      <c r="H151" s="221"/>
      <c r="I151" s="221"/>
      <c r="J151" s="221"/>
      <c r="K151" s="22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218"/>
      <c r="C152" s="212"/>
      <c r="D152" s="212"/>
      <c r="E152" s="212"/>
      <c r="F152" s="212"/>
      <c r="G152" s="1"/>
      <c r="H152" s="221"/>
      <c r="I152" s="221"/>
      <c r="J152" s="221"/>
      <c r="K152" s="22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218"/>
      <c r="C153" s="212"/>
      <c r="D153" s="212"/>
      <c r="E153" s="212"/>
      <c r="F153" s="212"/>
      <c r="G153" s="1"/>
      <c r="H153" s="221"/>
      <c r="I153" s="221"/>
      <c r="J153" s="221"/>
      <c r="K153" s="22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218"/>
      <c r="C154" s="212"/>
      <c r="D154" s="212"/>
      <c r="E154" s="212"/>
      <c r="F154" s="212"/>
      <c r="G154" s="1"/>
      <c r="H154" s="221"/>
      <c r="I154" s="221"/>
      <c r="J154" s="221"/>
      <c r="K154" s="22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218"/>
      <c r="C155" s="212"/>
      <c r="D155" s="212"/>
      <c r="E155" s="212"/>
      <c r="F155" s="212"/>
      <c r="G155" s="1"/>
      <c r="H155" s="221"/>
      <c r="I155" s="221"/>
      <c r="J155" s="221"/>
      <c r="K155" s="22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218"/>
      <c r="C156" s="212"/>
      <c r="D156" s="212"/>
      <c r="E156" s="212"/>
      <c r="F156" s="212"/>
      <c r="G156" s="1"/>
      <c r="H156" s="221"/>
      <c r="I156" s="221"/>
      <c r="J156" s="221"/>
      <c r="K156" s="22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218"/>
      <c r="C157" s="212"/>
      <c r="D157" s="212"/>
      <c r="E157" s="212"/>
      <c r="F157" s="212"/>
      <c r="G157" s="1"/>
      <c r="H157" s="221"/>
      <c r="I157" s="221"/>
      <c r="J157" s="221"/>
      <c r="K157" s="22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218"/>
      <c r="C158" s="212"/>
      <c r="D158" s="212"/>
      <c r="E158" s="212"/>
      <c r="F158" s="212"/>
      <c r="G158" s="1"/>
      <c r="H158" s="221"/>
      <c r="I158" s="221"/>
      <c r="J158" s="221"/>
      <c r="K158" s="22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218"/>
      <c r="C159" s="212"/>
      <c r="D159" s="212"/>
      <c r="E159" s="212"/>
      <c r="F159" s="212"/>
      <c r="G159" s="1"/>
      <c r="H159" s="221"/>
      <c r="I159" s="221"/>
      <c r="J159" s="221"/>
      <c r="K159" s="22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218"/>
      <c r="C160" s="212"/>
      <c r="D160" s="212"/>
      <c r="E160" s="212"/>
      <c r="F160" s="212"/>
      <c r="G160" s="1"/>
      <c r="H160" s="221"/>
      <c r="I160" s="221"/>
      <c r="J160" s="221"/>
      <c r="K160" s="22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218"/>
      <c r="C161" s="212"/>
      <c r="D161" s="212"/>
      <c r="E161" s="212"/>
      <c r="F161" s="212"/>
      <c r="G161" s="1"/>
      <c r="H161" s="221"/>
      <c r="I161" s="221"/>
      <c r="J161" s="221"/>
      <c r="K161" s="22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218"/>
      <c r="C162" s="212"/>
      <c r="D162" s="212"/>
      <c r="E162" s="212"/>
      <c r="F162" s="212"/>
      <c r="G162" s="1"/>
      <c r="H162" s="221"/>
      <c r="I162" s="221"/>
      <c r="J162" s="221"/>
      <c r="K162" s="22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218"/>
      <c r="C163" s="212"/>
      <c r="D163" s="212"/>
      <c r="E163" s="212"/>
      <c r="F163" s="212"/>
      <c r="G163" s="1"/>
      <c r="H163" s="221"/>
      <c r="I163" s="221"/>
      <c r="J163" s="221"/>
      <c r="K163" s="22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218"/>
      <c r="C164" s="212"/>
      <c r="D164" s="212"/>
      <c r="E164" s="212"/>
      <c r="F164" s="212"/>
      <c r="G164" s="1"/>
      <c r="H164" s="221"/>
      <c r="I164" s="221"/>
      <c r="J164" s="221"/>
      <c r="K164" s="22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218"/>
      <c r="C165" s="212"/>
      <c r="D165" s="212"/>
      <c r="E165" s="212"/>
      <c r="F165" s="212"/>
      <c r="G165" s="1"/>
      <c r="H165" s="221"/>
      <c r="I165" s="221"/>
      <c r="J165" s="221"/>
      <c r="K165" s="22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218"/>
      <c r="C166" s="212"/>
      <c r="D166" s="212"/>
      <c r="E166" s="212"/>
      <c r="F166" s="212"/>
      <c r="G166" s="1"/>
      <c r="H166" s="221"/>
      <c r="I166" s="221"/>
      <c r="J166" s="221"/>
      <c r="K166" s="22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218"/>
      <c r="C167" s="212"/>
      <c r="D167" s="212"/>
      <c r="E167" s="212"/>
      <c r="F167" s="212"/>
      <c r="G167" s="1"/>
      <c r="H167" s="221"/>
      <c r="I167" s="221"/>
      <c r="J167" s="221"/>
      <c r="K167" s="22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218"/>
      <c r="C168" s="212"/>
      <c r="D168" s="212"/>
      <c r="E168" s="212"/>
      <c r="F168" s="212"/>
      <c r="G168" s="1"/>
      <c r="H168" s="221"/>
      <c r="I168" s="221"/>
      <c r="J168" s="221"/>
      <c r="K168" s="22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218"/>
      <c r="C169" s="212"/>
      <c r="D169" s="212"/>
      <c r="E169" s="212"/>
      <c r="F169" s="212"/>
      <c r="G169" s="1"/>
      <c r="H169" s="221"/>
      <c r="I169" s="221"/>
      <c r="J169" s="221"/>
      <c r="K169" s="22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218"/>
      <c r="C170" s="212"/>
      <c r="D170" s="212"/>
      <c r="E170" s="212"/>
      <c r="F170" s="212"/>
      <c r="G170" s="1"/>
      <c r="H170" s="221"/>
      <c r="I170" s="221"/>
      <c r="J170" s="221"/>
      <c r="K170" s="22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218"/>
      <c r="C171" s="212"/>
      <c r="D171" s="212"/>
      <c r="E171" s="212"/>
      <c r="F171" s="212"/>
      <c r="G171" s="1"/>
      <c r="H171" s="221"/>
      <c r="I171" s="221"/>
      <c r="J171" s="221"/>
      <c r="K171" s="22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218"/>
      <c r="C172" s="212"/>
      <c r="D172" s="212"/>
      <c r="E172" s="212"/>
      <c r="F172" s="212"/>
      <c r="G172" s="1"/>
      <c r="H172" s="221"/>
      <c r="I172" s="221"/>
      <c r="J172" s="221"/>
      <c r="K172" s="22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218"/>
      <c r="C173" s="212"/>
      <c r="D173" s="212"/>
      <c r="E173" s="212"/>
      <c r="F173" s="212"/>
      <c r="G173" s="1"/>
      <c r="H173" s="221"/>
      <c r="I173" s="221"/>
      <c r="J173" s="221"/>
      <c r="K173" s="22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218"/>
      <c r="C174" s="212"/>
      <c r="D174" s="212"/>
      <c r="E174" s="212"/>
      <c r="F174" s="212"/>
      <c r="G174" s="1"/>
      <c r="H174" s="221"/>
      <c r="I174" s="221"/>
      <c r="J174" s="221"/>
      <c r="K174" s="22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218"/>
      <c r="C175" s="212"/>
      <c r="D175" s="212"/>
      <c r="E175" s="212"/>
      <c r="F175" s="212"/>
      <c r="G175" s="1"/>
      <c r="H175" s="221"/>
      <c r="I175" s="221"/>
      <c r="J175" s="221"/>
      <c r="K175" s="22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218"/>
      <c r="C176" s="212"/>
      <c r="D176" s="212"/>
      <c r="E176" s="212"/>
      <c r="F176" s="212"/>
      <c r="G176" s="1"/>
      <c r="H176" s="221"/>
      <c r="I176" s="221"/>
      <c r="J176" s="221"/>
      <c r="K176" s="22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218"/>
      <c r="C177" s="212"/>
      <c r="D177" s="212"/>
      <c r="E177" s="212"/>
      <c r="F177" s="212"/>
      <c r="G177" s="1"/>
      <c r="H177" s="221"/>
      <c r="I177" s="221"/>
      <c r="J177" s="221"/>
      <c r="K177" s="22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218"/>
      <c r="C178" s="212"/>
      <c r="D178" s="212"/>
      <c r="E178" s="212"/>
      <c r="F178" s="212"/>
      <c r="G178" s="1"/>
      <c r="H178" s="221"/>
      <c r="I178" s="221"/>
      <c r="J178" s="221"/>
      <c r="K178" s="22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218"/>
      <c r="C179" s="212"/>
      <c r="D179" s="212"/>
      <c r="E179" s="212"/>
      <c r="F179" s="212"/>
      <c r="G179" s="1"/>
      <c r="H179" s="221"/>
      <c r="I179" s="221"/>
      <c r="J179" s="221"/>
      <c r="K179" s="22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218"/>
      <c r="C180" s="212"/>
      <c r="D180" s="212"/>
      <c r="E180" s="212"/>
      <c r="F180" s="212"/>
      <c r="G180" s="1"/>
      <c r="H180" s="221"/>
      <c r="I180" s="221"/>
      <c r="J180" s="221"/>
      <c r="K180" s="22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218"/>
      <c r="C181" s="212"/>
      <c r="D181" s="212"/>
      <c r="E181" s="212"/>
      <c r="F181" s="212"/>
      <c r="G181" s="1"/>
      <c r="H181" s="221"/>
      <c r="I181" s="221"/>
      <c r="J181" s="221"/>
      <c r="K181" s="22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218"/>
      <c r="C182" s="212"/>
      <c r="D182" s="212"/>
      <c r="E182" s="212"/>
      <c r="F182" s="212"/>
      <c r="G182" s="1"/>
      <c r="H182" s="221"/>
      <c r="I182" s="221"/>
      <c r="J182" s="221"/>
      <c r="K182" s="22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218"/>
      <c r="C183" s="212"/>
      <c r="D183" s="212"/>
      <c r="E183" s="212"/>
      <c r="F183" s="212"/>
      <c r="G183" s="1"/>
      <c r="H183" s="221"/>
      <c r="I183" s="221"/>
      <c r="J183" s="221"/>
      <c r="K183" s="22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218"/>
      <c r="C184" s="212"/>
      <c r="D184" s="212"/>
      <c r="E184" s="212"/>
      <c r="F184" s="212"/>
      <c r="G184" s="1"/>
      <c r="H184" s="221"/>
      <c r="I184" s="221"/>
      <c r="J184" s="221"/>
      <c r="K184" s="22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218"/>
      <c r="C185" s="212"/>
      <c r="D185" s="212"/>
      <c r="E185" s="212"/>
      <c r="F185" s="212"/>
      <c r="G185" s="1"/>
      <c r="H185" s="221"/>
      <c r="I185" s="221"/>
      <c r="J185" s="221"/>
      <c r="K185" s="22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218"/>
      <c r="C186" s="212"/>
      <c r="D186" s="212"/>
      <c r="E186" s="212"/>
      <c r="F186" s="212"/>
      <c r="G186" s="1"/>
      <c r="H186" s="221"/>
      <c r="I186" s="221"/>
      <c r="J186" s="221"/>
      <c r="K186" s="22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218"/>
      <c r="C187" s="212"/>
      <c r="D187" s="212"/>
      <c r="E187" s="212"/>
      <c r="F187" s="212"/>
      <c r="G187" s="1"/>
      <c r="H187" s="221"/>
      <c r="I187" s="221"/>
      <c r="J187" s="221"/>
      <c r="K187" s="22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218"/>
      <c r="C188" s="212"/>
      <c r="D188" s="212"/>
      <c r="E188" s="212"/>
      <c r="F188" s="212"/>
      <c r="G188" s="1"/>
      <c r="H188" s="221"/>
      <c r="I188" s="221"/>
      <c r="J188" s="221"/>
      <c r="K188" s="22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218"/>
      <c r="C189" s="212"/>
      <c r="D189" s="212"/>
      <c r="E189" s="212"/>
      <c r="F189" s="212"/>
      <c r="G189" s="1"/>
      <c r="H189" s="221"/>
      <c r="I189" s="221"/>
      <c r="J189" s="221"/>
      <c r="K189" s="22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218"/>
      <c r="C190" s="212"/>
      <c r="D190" s="212"/>
      <c r="E190" s="212"/>
      <c r="F190" s="212"/>
      <c r="G190" s="1"/>
      <c r="H190" s="221"/>
      <c r="I190" s="221"/>
      <c r="J190" s="221"/>
      <c r="K190" s="22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218"/>
      <c r="C191" s="212"/>
      <c r="D191" s="212"/>
      <c r="E191" s="212"/>
      <c r="F191" s="212"/>
      <c r="G191" s="1"/>
      <c r="H191" s="221"/>
      <c r="I191" s="221"/>
      <c r="J191" s="221"/>
      <c r="K191" s="22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218"/>
      <c r="C192" s="212"/>
      <c r="D192" s="212"/>
      <c r="E192" s="212"/>
      <c r="F192" s="212"/>
      <c r="G192" s="1"/>
      <c r="H192" s="221"/>
      <c r="I192" s="221"/>
      <c r="J192" s="221"/>
      <c r="K192" s="22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218"/>
      <c r="C193" s="212"/>
      <c r="D193" s="212"/>
      <c r="E193" s="212"/>
      <c r="F193" s="212"/>
      <c r="G193" s="1"/>
      <c r="H193" s="221"/>
      <c r="I193" s="221"/>
      <c r="J193" s="221"/>
      <c r="K193" s="22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218"/>
      <c r="C194" s="212"/>
      <c r="D194" s="212"/>
      <c r="E194" s="212"/>
      <c r="F194" s="212"/>
      <c r="G194" s="1"/>
      <c r="H194" s="221"/>
      <c r="I194" s="221"/>
      <c r="J194" s="221"/>
      <c r="K194" s="22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218"/>
      <c r="C195" s="212"/>
      <c r="D195" s="212"/>
      <c r="E195" s="212"/>
      <c r="F195" s="212"/>
      <c r="G195" s="1"/>
      <c r="H195" s="221"/>
      <c r="I195" s="221"/>
      <c r="J195" s="221"/>
      <c r="K195" s="22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218"/>
      <c r="C196" s="212"/>
      <c r="D196" s="212"/>
      <c r="E196" s="212"/>
      <c r="F196" s="212"/>
      <c r="G196" s="1"/>
      <c r="H196" s="221"/>
      <c r="I196" s="221"/>
      <c r="J196" s="221"/>
      <c r="K196" s="22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218"/>
      <c r="C197" s="212"/>
      <c r="D197" s="212"/>
      <c r="E197" s="212"/>
      <c r="F197" s="212"/>
      <c r="G197" s="1"/>
      <c r="H197" s="221"/>
      <c r="I197" s="221"/>
      <c r="J197" s="221"/>
      <c r="K197" s="22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218"/>
      <c r="C198" s="212"/>
      <c r="D198" s="212"/>
      <c r="E198" s="212"/>
      <c r="F198" s="212"/>
      <c r="G198" s="1"/>
      <c r="H198" s="221"/>
      <c r="I198" s="221"/>
      <c r="J198" s="221"/>
      <c r="K198" s="22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218"/>
      <c r="C199" s="212"/>
      <c r="D199" s="212"/>
      <c r="E199" s="212"/>
      <c r="F199" s="212"/>
      <c r="G199" s="1"/>
      <c r="H199" s="221"/>
      <c r="I199" s="221"/>
      <c r="J199" s="221"/>
      <c r="K199" s="22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218"/>
      <c r="C200" s="212"/>
      <c r="D200" s="212"/>
      <c r="E200" s="212"/>
      <c r="F200" s="212"/>
      <c r="G200" s="1"/>
      <c r="H200" s="221"/>
      <c r="I200" s="221"/>
      <c r="J200" s="221"/>
      <c r="K200" s="22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218"/>
      <c r="C201" s="212"/>
      <c r="D201" s="212"/>
      <c r="E201" s="212"/>
      <c r="F201" s="212"/>
      <c r="G201" s="1"/>
      <c r="H201" s="221"/>
      <c r="I201" s="221"/>
      <c r="J201" s="221"/>
      <c r="K201" s="22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218"/>
      <c r="C202" s="212"/>
      <c r="D202" s="212"/>
      <c r="E202" s="212"/>
      <c r="F202" s="212"/>
      <c r="G202" s="1"/>
      <c r="H202" s="221"/>
      <c r="I202" s="221"/>
      <c r="J202" s="221"/>
      <c r="K202" s="22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218"/>
      <c r="C203" s="212"/>
      <c r="D203" s="212"/>
      <c r="E203" s="212"/>
      <c r="F203" s="212"/>
      <c r="G203" s="1"/>
      <c r="H203" s="221"/>
      <c r="I203" s="221"/>
      <c r="J203" s="221"/>
      <c r="K203" s="22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218"/>
      <c r="C204" s="212"/>
      <c r="D204" s="212"/>
      <c r="E204" s="212"/>
      <c r="F204" s="212"/>
      <c r="G204" s="1"/>
      <c r="H204" s="221"/>
      <c r="I204" s="221"/>
      <c r="J204" s="221"/>
      <c r="K204" s="22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218"/>
      <c r="C205" s="212"/>
      <c r="D205" s="212"/>
      <c r="E205" s="212"/>
      <c r="F205" s="212"/>
      <c r="G205" s="1"/>
      <c r="H205" s="221"/>
      <c r="I205" s="221"/>
      <c r="J205" s="221"/>
      <c r="K205" s="22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218"/>
      <c r="C206" s="212"/>
      <c r="D206" s="212"/>
      <c r="E206" s="212"/>
      <c r="F206" s="212"/>
      <c r="G206" s="1"/>
      <c r="H206" s="221"/>
      <c r="I206" s="221"/>
      <c r="J206" s="221"/>
      <c r="K206" s="22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218"/>
      <c r="C207" s="212"/>
      <c r="D207" s="212"/>
      <c r="E207" s="212"/>
      <c r="F207" s="212"/>
      <c r="G207" s="1"/>
      <c r="H207" s="221"/>
      <c r="I207" s="221"/>
      <c r="J207" s="221"/>
      <c r="K207" s="22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218"/>
      <c r="C208" s="212"/>
      <c r="D208" s="212"/>
      <c r="E208" s="212"/>
      <c r="F208" s="212"/>
      <c r="G208" s="1"/>
      <c r="H208" s="221"/>
      <c r="I208" s="221"/>
      <c r="J208" s="221"/>
      <c r="K208" s="22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218"/>
      <c r="C209" s="212"/>
      <c r="D209" s="212"/>
      <c r="E209" s="212"/>
      <c r="F209" s="212"/>
      <c r="G209" s="1"/>
      <c r="H209" s="221"/>
      <c r="I209" s="221"/>
      <c r="J209" s="221"/>
      <c r="K209" s="22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218"/>
      <c r="C210" s="212"/>
      <c r="D210" s="212"/>
      <c r="E210" s="212"/>
      <c r="F210" s="212"/>
      <c r="G210" s="1"/>
      <c r="H210" s="221"/>
      <c r="I210" s="221"/>
      <c r="J210" s="221"/>
      <c r="K210" s="22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218"/>
      <c r="C211" s="212"/>
      <c r="D211" s="212"/>
      <c r="E211" s="212"/>
      <c r="F211" s="212"/>
      <c r="G211" s="1"/>
      <c r="H211" s="221"/>
      <c r="I211" s="221"/>
      <c r="J211" s="221"/>
      <c r="K211" s="22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218"/>
      <c r="C212" s="212"/>
      <c r="D212" s="212"/>
      <c r="E212" s="212"/>
      <c r="F212" s="212"/>
      <c r="G212" s="1"/>
      <c r="H212" s="221"/>
      <c r="I212" s="221"/>
      <c r="J212" s="221"/>
      <c r="K212" s="22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218"/>
      <c r="C213" s="212"/>
      <c r="D213" s="212"/>
      <c r="E213" s="212"/>
      <c r="F213" s="212"/>
      <c r="G213" s="1"/>
      <c r="H213" s="221"/>
      <c r="I213" s="221"/>
      <c r="J213" s="221"/>
      <c r="K213" s="22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218"/>
      <c r="C214" s="212"/>
      <c r="D214" s="212"/>
      <c r="E214" s="212"/>
      <c r="F214" s="212"/>
      <c r="G214" s="1"/>
      <c r="H214" s="221"/>
      <c r="I214" s="221"/>
      <c r="J214" s="221"/>
      <c r="K214" s="22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218"/>
      <c r="C215" s="212"/>
      <c r="D215" s="212"/>
      <c r="E215" s="212"/>
      <c r="F215" s="212"/>
      <c r="G215" s="1"/>
      <c r="H215" s="221"/>
      <c r="I215" s="221"/>
      <c r="J215" s="221"/>
      <c r="K215" s="22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218"/>
      <c r="C216" s="212"/>
      <c r="D216" s="212"/>
      <c r="E216" s="212"/>
      <c r="F216" s="212"/>
      <c r="G216" s="1"/>
      <c r="H216" s="221"/>
      <c r="I216" s="221"/>
      <c r="J216" s="221"/>
      <c r="K216" s="22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218"/>
      <c r="C217" s="212"/>
      <c r="D217" s="212"/>
      <c r="E217" s="212"/>
      <c r="F217" s="212"/>
      <c r="G217" s="1"/>
      <c r="H217" s="221"/>
      <c r="I217" s="221"/>
      <c r="J217" s="221"/>
      <c r="K217" s="22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218"/>
      <c r="C218" s="212"/>
      <c r="D218" s="212"/>
      <c r="E218" s="212"/>
      <c r="F218" s="212"/>
      <c r="G218" s="1"/>
      <c r="H218" s="221"/>
      <c r="I218" s="221"/>
      <c r="J218" s="221"/>
      <c r="K218" s="22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218"/>
      <c r="C219" s="212"/>
      <c r="D219" s="212"/>
      <c r="E219" s="212"/>
      <c r="F219" s="212"/>
      <c r="G219" s="1"/>
      <c r="H219" s="221"/>
      <c r="I219" s="221"/>
      <c r="J219" s="221"/>
      <c r="K219" s="22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218"/>
      <c r="C220" s="212"/>
      <c r="D220" s="212"/>
      <c r="E220" s="212"/>
      <c r="F220" s="212"/>
      <c r="G220" s="1"/>
      <c r="H220" s="221"/>
      <c r="I220" s="221"/>
      <c r="J220" s="221"/>
      <c r="K220" s="22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218"/>
      <c r="C221" s="212"/>
      <c r="D221" s="212"/>
      <c r="E221" s="212"/>
      <c r="F221" s="212"/>
      <c r="G221" s="1"/>
      <c r="H221" s="221"/>
      <c r="I221" s="221"/>
      <c r="J221" s="221"/>
      <c r="K221" s="22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218"/>
      <c r="C222" s="212"/>
      <c r="D222" s="212"/>
      <c r="E222" s="212"/>
      <c r="F222" s="212"/>
      <c r="G222" s="1"/>
      <c r="H222" s="221"/>
      <c r="I222" s="221"/>
      <c r="J222" s="221"/>
      <c r="K222" s="22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218"/>
      <c r="C223" s="212"/>
      <c r="D223" s="212"/>
      <c r="E223" s="212"/>
      <c r="F223" s="212"/>
      <c r="G223" s="1"/>
      <c r="H223" s="221"/>
      <c r="I223" s="221"/>
      <c r="J223" s="221"/>
      <c r="K223" s="22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218"/>
      <c r="C224" s="212"/>
      <c r="D224" s="212"/>
      <c r="E224" s="212"/>
      <c r="F224" s="212"/>
      <c r="G224" s="1"/>
      <c r="H224" s="221"/>
      <c r="I224" s="221"/>
      <c r="J224" s="221"/>
      <c r="K224" s="22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218"/>
      <c r="C225" s="212"/>
      <c r="D225" s="212"/>
      <c r="E225" s="212"/>
      <c r="F225" s="212"/>
      <c r="G225" s="1"/>
      <c r="H225" s="221"/>
      <c r="I225" s="221"/>
      <c r="J225" s="221"/>
      <c r="K225" s="22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218"/>
      <c r="C226" s="212"/>
      <c r="D226" s="212"/>
      <c r="E226" s="212"/>
      <c r="F226" s="212"/>
      <c r="G226" s="1"/>
      <c r="H226" s="221"/>
      <c r="I226" s="221"/>
      <c r="J226" s="221"/>
      <c r="K226" s="22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218"/>
      <c r="C227" s="212"/>
      <c r="D227" s="212"/>
      <c r="E227" s="212"/>
      <c r="F227" s="212"/>
      <c r="G227" s="1"/>
      <c r="H227" s="221"/>
      <c r="I227" s="221"/>
      <c r="J227" s="221"/>
      <c r="K227" s="22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218"/>
      <c r="C228" s="212"/>
      <c r="D228" s="212"/>
      <c r="E228" s="212"/>
      <c r="F228" s="212"/>
      <c r="G228" s="1"/>
      <c r="H228" s="221"/>
      <c r="I228" s="221"/>
      <c r="J228" s="221"/>
      <c r="K228" s="22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218"/>
      <c r="C229" s="212"/>
      <c r="D229" s="212"/>
      <c r="E229" s="212"/>
      <c r="F229" s="212"/>
      <c r="G229" s="1"/>
      <c r="H229" s="221"/>
      <c r="I229" s="221"/>
      <c r="J229" s="221"/>
      <c r="K229" s="22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218"/>
      <c r="C230" s="212"/>
      <c r="D230" s="212"/>
      <c r="E230" s="212"/>
      <c r="F230" s="212"/>
      <c r="G230" s="1"/>
      <c r="H230" s="221"/>
      <c r="I230" s="221"/>
      <c r="J230" s="221"/>
      <c r="K230" s="22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218"/>
      <c r="C231" s="212"/>
      <c r="D231" s="212"/>
      <c r="E231" s="212"/>
      <c r="F231" s="212"/>
      <c r="G231" s="1"/>
      <c r="H231" s="221"/>
      <c r="I231" s="221"/>
      <c r="J231" s="221"/>
      <c r="K231" s="22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218"/>
      <c r="C232" s="212"/>
      <c r="D232" s="212"/>
      <c r="E232" s="212"/>
      <c r="F232" s="212"/>
      <c r="G232" s="1"/>
      <c r="H232" s="221"/>
      <c r="I232" s="221"/>
      <c r="J232" s="221"/>
      <c r="K232" s="22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218"/>
      <c r="C233" s="212"/>
      <c r="D233" s="212"/>
      <c r="E233" s="212"/>
      <c r="F233" s="212"/>
      <c r="G233" s="1"/>
      <c r="H233" s="221"/>
      <c r="I233" s="221"/>
      <c r="J233" s="221"/>
      <c r="K233" s="22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4.25" customHeight="1">
      <c r="A234" s="1"/>
      <c r="B234" s="218"/>
      <c r="C234" s="212"/>
      <c r="D234" s="212"/>
      <c r="E234" s="212"/>
      <c r="F234" s="212"/>
      <c r="G234" s="1"/>
      <c r="H234" s="221"/>
      <c r="I234" s="221"/>
      <c r="J234" s="221"/>
      <c r="K234" s="22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4.25" customHeight="1">
      <c r="A235" s="1"/>
      <c r="B235" s="218"/>
      <c r="C235" s="212"/>
      <c r="D235" s="212"/>
      <c r="E235" s="212"/>
      <c r="F235" s="212"/>
      <c r="G235" s="1"/>
      <c r="H235" s="221"/>
      <c r="I235" s="221"/>
      <c r="J235" s="221"/>
      <c r="K235" s="22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4.25" customHeight="1">
      <c r="A236" s="1"/>
      <c r="B236" s="218"/>
      <c r="C236" s="212"/>
      <c r="D236" s="212"/>
      <c r="E236" s="212"/>
      <c r="F236" s="212"/>
      <c r="G236" s="1"/>
      <c r="H236" s="221"/>
      <c r="I236" s="221"/>
      <c r="J236" s="221"/>
      <c r="K236" s="22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4.25" customHeight="1">
      <c r="A237" s="1"/>
      <c r="B237" s="218"/>
      <c r="C237" s="212"/>
      <c r="D237" s="212"/>
      <c r="E237" s="212"/>
      <c r="F237" s="212"/>
      <c r="G237" s="1"/>
      <c r="H237" s="221"/>
      <c r="I237" s="221"/>
      <c r="J237" s="221"/>
      <c r="K237" s="22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4.25" customHeight="1">
      <c r="A238" s="1"/>
      <c r="B238" s="218"/>
      <c r="C238" s="212"/>
      <c r="D238" s="212"/>
      <c r="E238" s="212"/>
      <c r="F238" s="212"/>
      <c r="G238" s="1"/>
      <c r="H238" s="221"/>
      <c r="I238" s="221"/>
      <c r="J238" s="221"/>
      <c r="K238" s="22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4.25" customHeight="1">
      <c r="A239" s="1"/>
      <c r="B239" s="218"/>
      <c r="C239" s="212"/>
      <c r="D239" s="212"/>
      <c r="E239" s="212"/>
      <c r="F239" s="212"/>
      <c r="G239" s="1"/>
      <c r="H239" s="221"/>
      <c r="I239" s="221"/>
      <c r="J239" s="221"/>
      <c r="K239" s="22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4.25" customHeight="1">
      <c r="A240" s="1"/>
      <c r="B240" s="218"/>
      <c r="C240" s="212"/>
      <c r="D240" s="212"/>
      <c r="E240" s="212"/>
      <c r="F240" s="212"/>
      <c r="G240" s="1"/>
      <c r="H240" s="221"/>
      <c r="I240" s="221"/>
      <c r="J240" s="221"/>
      <c r="K240" s="22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4.25" customHeight="1">
      <c r="A241" s="1"/>
      <c r="B241" s="218"/>
      <c r="C241" s="212"/>
      <c r="D241" s="212"/>
      <c r="E241" s="212"/>
      <c r="F241" s="212"/>
      <c r="G241" s="1"/>
      <c r="H241" s="221"/>
      <c r="I241" s="221"/>
      <c r="J241" s="221"/>
      <c r="K241" s="22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4.25" customHeight="1">
      <c r="A242" s="1"/>
      <c r="B242" s="218"/>
      <c r="C242" s="212"/>
      <c r="D242" s="212"/>
      <c r="E242" s="212"/>
      <c r="F242" s="212"/>
      <c r="G242" s="1"/>
      <c r="H242" s="221"/>
      <c r="I242" s="221"/>
      <c r="J242" s="221"/>
      <c r="K242" s="22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4.25" customHeight="1">
      <c r="A243" s="1"/>
      <c r="B243" s="218"/>
      <c r="C243" s="212"/>
      <c r="D243" s="212"/>
      <c r="E243" s="212"/>
      <c r="F243" s="212"/>
      <c r="G243" s="1"/>
      <c r="H243" s="221"/>
      <c r="I243" s="221"/>
      <c r="J243" s="221"/>
      <c r="K243" s="22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4.25" customHeight="1">
      <c r="A244" s="1"/>
      <c r="B244" s="218"/>
      <c r="C244" s="212"/>
      <c r="D244" s="212"/>
      <c r="E244" s="212"/>
      <c r="F244" s="212"/>
      <c r="G244" s="1"/>
      <c r="H244" s="221"/>
      <c r="I244" s="221"/>
      <c r="J244" s="221"/>
      <c r="K244" s="22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4.25" customHeight="1">
      <c r="A245" s="1"/>
      <c r="B245" s="218"/>
      <c r="C245" s="212"/>
      <c r="D245" s="212"/>
      <c r="E245" s="212"/>
      <c r="F245" s="212"/>
      <c r="G245" s="1"/>
      <c r="H245" s="221"/>
      <c r="I245" s="221"/>
      <c r="J245" s="221"/>
      <c r="K245" s="22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4.25" customHeight="1">
      <c r="A246" s="1"/>
      <c r="B246" s="218"/>
      <c r="C246" s="212"/>
      <c r="D246" s="212"/>
      <c r="E246" s="212"/>
      <c r="F246" s="212"/>
      <c r="G246" s="1"/>
      <c r="H246" s="221"/>
      <c r="I246" s="221"/>
      <c r="J246" s="221"/>
      <c r="K246" s="22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4.25" customHeight="1">
      <c r="A247" s="1"/>
      <c r="B247" s="218"/>
      <c r="C247" s="212"/>
      <c r="D247" s="212"/>
      <c r="E247" s="212"/>
      <c r="F247" s="212"/>
      <c r="G247" s="1"/>
      <c r="H247" s="221"/>
      <c r="I247" s="221"/>
      <c r="J247" s="221"/>
      <c r="K247" s="22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4.25" customHeight="1">
      <c r="A248" s="1"/>
      <c r="B248" s="218"/>
      <c r="C248" s="212"/>
      <c r="D248" s="212"/>
      <c r="E248" s="212"/>
      <c r="F248" s="212"/>
      <c r="G248" s="1"/>
      <c r="H248" s="221"/>
      <c r="I248" s="221"/>
      <c r="J248" s="221"/>
      <c r="K248" s="22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4.25" customHeight="1">
      <c r="A249" s="1"/>
      <c r="B249" s="218"/>
      <c r="C249" s="212"/>
      <c r="D249" s="212"/>
      <c r="E249" s="212"/>
      <c r="F249" s="212"/>
      <c r="G249" s="1"/>
      <c r="H249" s="221"/>
      <c r="I249" s="221"/>
      <c r="J249" s="221"/>
      <c r="K249" s="22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4.25" customHeight="1">
      <c r="A250" s="1"/>
      <c r="B250" s="218"/>
      <c r="C250" s="212"/>
      <c r="D250" s="212"/>
      <c r="E250" s="212"/>
      <c r="F250" s="212"/>
      <c r="G250" s="1"/>
      <c r="H250" s="221"/>
      <c r="I250" s="221"/>
      <c r="J250" s="221"/>
      <c r="K250" s="22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4.25" customHeight="1">
      <c r="A251" s="1"/>
      <c r="B251" s="218"/>
      <c r="C251" s="212"/>
      <c r="D251" s="212"/>
      <c r="E251" s="212"/>
      <c r="F251" s="212"/>
      <c r="G251" s="1"/>
      <c r="H251" s="221"/>
      <c r="I251" s="221"/>
      <c r="J251" s="221"/>
      <c r="K251" s="22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4.25" customHeight="1">
      <c r="A252" s="1"/>
      <c r="B252" s="218"/>
      <c r="C252" s="212"/>
      <c r="D252" s="212"/>
      <c r="E252" s="212"/>
      <c r="F252" s="212"/>
      <c r="G252" s="1"/>
      <c r="H252" s="221"/>
      <c r="I252" s="221"/>
      <c r="J252" s="221"/>
      <c r="K252" s="22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4.25" customHeight="1">
      <c r="A253" s="1"/>
      <c r="B253" s="218"/>
      <c r="C253" s="212"/>
      <c r="D253" s="212"/>
      <c r="E253" s="212"/>
      <c r="F253" s="212"/>
      <c r="G253" s="1"/>
      <c r="H253" s="221"/>
      <c r="I253" s="221"/>
      <c r="J253" s="221"/>
      <c r="K253" s="22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4.25" customHeight="1">
      <c r="A254" s="1"/>
      <c r="B254" s="218"/>
      <c r="C254" s="212"/>
      <c r="D254" s="212"/>
      <c r="E254" s="212"/>
      <c r="F254" s="212"/>
      <c r="G254" s="1"/>
      <c r="H254" s="221"/>
      <c r="I254" s="221"/>
      <c r="J254" s="221"/>
      <c r="K254" s="22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4.25" customHeight="1">
      <c r="A255" s="1"/>
      <c r="B255" s="218"/>
      <c r="C255" s="212"/>
      <c r="D255" s="212"/>
      <c r="E255" s="212"/>
      <c r="F255" s="212"/>
      <c r="G255" s="1"/>
      <c r="H255" s="221"/>
      <c r="I255" s="221"/>
      <c r="J255" s="221"/>
      <c r="K255" s="22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4.25" customHeight="1">
      <c r="A256" s="1"/>
      <c r="B256" s="218"/>
      <c r="C256" s="212"/>
      <c r="D256" s="212"/>
      <c r="E256" s="212"/>
      <c r="F256" s="212"/>
      <c r="G256" s="1"/>
      <c r="H256" s="221"/>
      <c r="I256" s="221"/>
      <c r="J256" s="221"/>
      <c r="K256" s="22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4.25" customHeight="1">
      <c r="A257" s="1"/>
      <c r="B257" s="218"/>
      <c r="C257" s="212"/>
      <c r="D257" s="212"/>
      <c r="E257" s="212"/>
      <c r="F257" s="212"/>
      <c r="G257" s="1"/>
      <c r="H257" s="221"/>
      <c r="I257" s="221"/>
      <c r="J257" s="221"/>
      <c r="K257" s="22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4.25" customHeight="1">
      <c r="A258" s="1"/>
      <c r="B258" s="218"/>
      <c r="C258" s="212"/>
      <c r="D258" s="212"/>
      <c r="E258" s="212"/>
      <c r="F258" s="212"/>
      <c r="G258" s="1"/>
      <c r="H258" s="221"/>
      <c r="I258" s="221"/>
      <c r="J258" s="221"/>
      <c r="K258" s="22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4.25" customHeight="1">
      <c r="A259" s="1"/>
      <c r="B259" s="218"/>
      <c r="C259" s="212"/>
      <c r="D259" s="212"/>
      <c r="E259" s="212"/>
      <c r="F259" s="212"/>
      <c r="G259" s="1"/>
      <c r="H259" s="221"/>
      <c r="I259" s="221"/>
      <c r="J259" s="221"/>
      <c r="K259" s="22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4.25" customHeight="1">
      <c r="A260" s="1"/>
      <c r="B260" s="218"/>
      <c r="C260" s="212"/>
      <c r="D260" s="212"/>
      <c r="E260" s="212"/>
      <c r="F260" s="212"/>
      <c r="G260" s="1"/>
      <c r="H260" s="221"/>
      <c r="I260" s="221"/>
      <c r="J260" s="221"/>
      <c r="K260" s="22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4.25" customHeight="1">
      <c r="A261" s="1"/>
      <c r="B261" s="218"/>
      <c r="C261" s="212"/>
      <c r="D261" s="212"/>
      <c r="E261" s="212"/>
      <c r="F261" s="212"/>
      <c r="G261" s="1"/>
      <c r="H261" s="221"/>
      <c r="I261" s="221"/>
      <c r="J261" s="221"/>
      <c r="K261" s="22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4.25" customHeight="1">
      <c r="A262" s="1"/>
      <c r="B262" s="218"/>
      <c r="C262" s="212"/>
      <c r="D262" s="212"/>
      <c r="E262" s="212"/>
      <c r="F262" s="212"/>
      <c r="G262" s="1"/>
      <c r="H262" s="221"/>
      <c r="I262" s="221"/>
      <c r="J262" s="221"/>
      <c r="K262" s="22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4.25" customHeight="1">
      <c r="A263" s="1"/>
      <c r="B263" s="218"/>
      <c r="C263" s="212"/>
      <c r="D263" s="212"/>
      <c r="E263" s="212"/>
      <c r="F263" s="212"/>
      <c r="G263" s="1"/>
      <c r="H263" s="221"/>
      <c r="I263" s="221"/>
      <c r="J263" s="221"/>
      <c r="K263" s="22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4.25" customHeight="1">
      <c r="A264" s="1"/>
      <c r="B264" s="218"/>
      <c r="C264" s="212"/>
      <c r="D264" s="212"/>
      <c r="E264" s="212"/>
      <c r="F264" s="212"/>
      <c r="G264" s="1"/>
      <c r="H264" s="221"/>
      <c r="I264" s="221"/>
      <c r="J264" s="221"/>
      <c r="K264" s="22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4.25" customHeight="1">
      <c r="A265" s="1"/>
      <c r="B265" s="218"/>
      <c r="C265" s="212"/>
      <c r="D265" s="212"/>
      <c r="E265" s="212"/>
      <c r="F265" s="212"/>
      <c r="G265" s="1"/>
      <c r="H265" s="221"/>
      <c r="I265" s="221"/>
      <c r="J265" s="221"/>
      <c r="K265" s="22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4.25" customHeight="1">
      <c r="A266" s="1"/>
      <c r="B266" s="218"/>
      <c r="C266" s="212"/>
      <c r="D266" s="212"/>
      <c r="E266" s="212"/>
      <c r="F266" s="212"/>
      <c r="G266" s="1"/>
      <c r="H266" s="221"/>
      <c r="I266" s="221"/>
      <c r="J266" s="221"/>
      <c r="K266" s="22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4.25" customHeight="1">
      <c r="A267" s="1"/>
      <c r="B267" s="218"/>
      <c r="C267" s="212"/>
      <c r="D267" s="212"/>
      <c r="E267" s="212"/>
      <c r="F267" s="212"/>
      <c r="G267" s="1"/>
      <c r="H267" s="221"/>
      <c r="I267" s="221"/>
      <c r="J267" s="221"/>
      <c r="K267" s="22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4.25" customHeight="1">
      <c r="A268" s="1"/>
      <c r="B268" s="218"/>
      <c r="C268" s="212"/>
      <c r="D268" s="212"/>
      <c r="E268" s="212"/>
      <c r="F268" s="212"/>
      <c r="G268" s="1"/>
      <c r="H268" s="221"/>
      <c r="I268" s="221"/>
      <c r="J268" s="221"/>
      <c r="K268" s="22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4.25" customHeight="1">
      <c r="A269" s="1"/>
      <c r="B269" s="218"/>
      <c r="C269" s="212"/>
      <c r="D269" s="212"/>
      <c r="E269" s="212"/>
      <c r="F269" s="212"/>
      <c r="G269" s="1"/>
      <c r="H269" s="221"/>
      <c r="I269" s="221"/>
      <c r="J269" s="221"/>
      <c r="K269" s="22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4.25" customHeight="1">
      <c r="A270" s="1"/>
      <c r="B270" s="218"/>
      <c r="C270" s="212"/>
      <c r="D270" s="212"/>
      <c r="E270" s="212"/>
      <c r="F270" s="212"/>
      <c r="G270" s="1"/>
      <c r="H270" s="221"/>
      <c r="I270" s="221"/>
      <c r="J270" s="221"/>
      <c r="K270" s="22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4.25" customHeight="1">
      <c r="A271" s="1"/>
      <c r="B271" s="218"/>
      <c r="C271" s="212"/>
      <c r="D271" s="212"/>
      <c r="E271" s="212"/>
      <c r="F271" s="212"/>
      <c r="G271" s="1"/>
      <c r="H271" s="221"/>
      <c r="I271" s="221"/>
      <c r="J271" s="221"/>
      <c r="K271" s="22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4.25" customHeight="1">
      <c r="A272" s="1"/>
      <c r="B272" s="218"/>
      <c r="C272" s="212"/>
      <c r="D272" s="212"/>
      <c r="E272" s="212"/>
      <c r="F272" s="212"/>
      <c r="G272" s="1"/>
      <c r="H272" s="221"/>
      <c r="I272" s="221"/>
      <c r="J272" s="221"/>
      <c r="K272" s="22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4.25" customHeight="1">
      <c r="A273" s="1"/>
      <c r="B273" s="218"/>
      <c r="C273" s="212"/>
      <c r="D273" s="212"/>
      <c r="E273" s="212"/>
      <c r="F273" s="212"/>
      <c r="G273" s="1"/>
      <c r="H273" s="221"/>
      <c r="I273" s="221"/>
      <c r="J273" s="221"/>
      <c r="K273" s="22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4.25" customHeight="1">
      <c r="A274" s="1"/>
      <c r="B274" s="218"/>
      <c r="C274" s="212"/>
      <c r="D274" s="212"/>
      <c r="E274" s="212"/>
      <c r="F274" s="212"/>
      <c r="G274" s="1"/>
      <c r="H274" s="221"/>
      <c r="I274" s="221"/>
      <c r="J274" s="221"/>
      <c r="K274" s="22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4.25" customHeight="1">
      <c r="A275" s="1"/>
      <c r="B275" s="218"/>
      <c r="C275" s="212"/>
      <c r="D275" s="212"/>
      <c r="E275" s="212"/>
      <c r="F275" s="212"/>
      <c r="G275" s="1"/>
      <c r="H275" s="221"/>
      <c r="I275" s="221"/>
      <c r="J275" s="221"/>
      <c r="K275" s="22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4.25" customHeight="1">
      <c r="A276" s="1"/>
      <c r="B276" s="218"/>
      <c r="C276" s="212"/>
      <c r="D276" s="212"/>
      <c r="E276" s="212"/>
      <c r="F276" s="212"/>
      <c r="G276" s="1"/>
      <c r="H276" s="221"/>
      <c r="I276" s="221"/>
      <c r="J276" s="221"/>
      <c r="K276" s="22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4.25" customHeight="1">
      <c r="A277" s="1"/>
      <c r="B277" s="218"/>
      <c r="C277" s="212"/>
      <c r="D277" s="212"/>
      <c r="E277" s="212"/>
      <c r="F277" s="212"/>
      <c r="G277" s="1"/>
      <c r="H277" s="221"/>
      <c r="I277" s="221"/>
      <c r="J277" s="221"/>
      <c r="K277" s="22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4.25" customHeight="1">
      <c r="A278" s="1"/>
      <c r="B278" s="218"/>
      <c r="C278" s="212"/>
      <c r="D278" s="212"/>
      <c r="E278" s="212"/>
      <c r="F278" s="212"/>
      <c r="G278" s="1"/>
      <c r="H278" s="221"/>
      <c r="I278" s="221"/>
      <c r="J278" s="221"/>
      <c r="K278" s="22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4.25" customHeight="1">
      <c r="A279" s="1"/>
      <c r="B279" s="218"/>
      <c r="C279" s="212"/>
      <c r="D279" s="212"/>
      <c r="E279" s="212"/>
      <c r="F279" s="212"/>
      <c r="G279" s="1"/>
      <c r="H279" s="221"/>
      <c r="I279" s="221"/>
      <c r="J279" s="221"/>
      <c r="K279" s="22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4.25" customHeight="1">
      <c r="A280" s="1"/>
      <c r="B280" s="218"/>
      <c r="C280" s="212"/>
      <c r="D280" s="212"/>
      <c r="E280" s="212"/>
      <c r="F280" s="212"/>
      <c r="G280" s="1"/>
      <c r="H280" s="221"/>
      <c r="I280" s="221"/>
      <c r="J280" s="221"/>
      <c r="K280" s="22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4.25" customHeight="1">
      <c r="A281" s="1"/>
      <c r="B281" s="218"/>
      <c r="C281" s="212"/>
      <c r="D281" s="212"/>
      <c r="E281" s="212"/>
      <c r="F281" s="212"/>
      <c r="G281" s="1"/>
      <c r="H281" s="221"/>
      <c r="I281" s="221"/>
      <c r="J281" s="221"/>
      <c r="K281" s="22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4.25" customHeight="1">
      <c r="A282" s="1"/>
      <c r="B282" s="218"/>
      <c r="C282" s="212"/>
      <c r="D282" s="212"/>
      <c r="E282" s="212"/>
      <c r="F282" s="212"/>
      <c r="G282" s="1"/>
      <c r="H282" s="221"/>
      <c r="I282" s="221"/>
      <c r="J282" s="221"/>
      <c r="K282" s="22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4.25" customHeight="1">
      <c r="A283" s="1"/>
      <c r="B283" s="218"/>
      <c r="C283" s="212"/>
      <c r="D283" s="212"/>
      <c r="E283" s="212"/>
      <c r="F283" s="212"/>
      <c r="G283" s="1"/>
      <c r="H283" s="221"/>
      <c r="I283" s="221"/>
      <c r="J283" s="221"/>
      <c r="K283" s="22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4.25" customHeight="1">
      <c r="A284" s="1"/>
      <c r="B284" s="218"/>
      <c r="C284" s="212"/>
      <c r="D284" s="212"/>
      <c r="E284" s="212"/>
      <c r="F284" s="212"/>
      <c r="G284" s="1"/>
      <c r="H284" s="221"/>
      <c r="I284" s="221"/>
      <c r="J284" s="221"/>
      <c r="K284" s="22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4.25" customHeight="1">
      <c r="A285" s="1"/>
      <c r="B285" s="218"/>
      <c r="C285" s="212"/>
      <c r="D285" s="212"/>
      <c r="E285" s="212"/>
      <c r="F285" s="212"/>
      <c r="G285" s="1"/>
      <c r="H285" s="221"/>
      <c r="I285" s="221"/>
      <c r="J285" s="221"/>
      <c r="K285" s="22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4.25" customHeight="1">
      <c r="A286" s="1"/>
      <c r="B286" s="218"/>
      <c r="C286" s="212"/>
      <c r="D286" s="212"/>
      <c r="E286" s="212"/>
      <c r="F286" s="212"/>
      <c r="G286" s="1"/>
      <c r="H286" s="221"/>
      <c r="I286" s="221"/>
      <c r="J286" s="221"/>
      <c r="K286" s="22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4.25" customHeight="1">
      <c r="A287" s="1"/>
      <c r="B287" s="218"/>
      <c r="C287" s="212"/>
      <c r="D287" s="212"/>
      <c r="E287" s="212"/>
      <c r="F287" s="212"/>
      <c r="G287" s="1"/>
      <c r="H287" s="221"/>
      <c r="I287" s="221"/>
      <c r="J287" s="221"/>
      <c r="K287" s="22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4.25" customHeight="1">
      <c r="A288" s="1"/>
      <c r="B288" s="218"/>
      <c r="C288" s="212"/>
      <c r="D288" s="212"/>
      <c r="E288" s="212"/>
      <c r="F288" s="212"/>
      <c r="G288" s="1"/>
      <c r="H288" s="221"/>
      <c r="I288" s="221"/>
      <c r="J288" s="221"/>
      <c r="K288" s="22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4.25" customHeight="1">
      <c r="A289" s="1"/>
      <c r="B289" s="218"/>
      <c r="C289" s="212"/>
      <c r="D289" s="212"/>
      <c r="E289" s="212"/>
      <c r="F289" s="212"/>
      <c r="G289" s="1"/>
      <c r="H289" s="221"/>
      <c r="I289" s="221"/>
      <c r="J289" s="221"/>
      <c r="K289" s="22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4.25" customHeight="1">
      <c r="A290" s="1"/>
      <c r="B290" s="218"/>
      <c r="C290" s="212"/>
      <c r="D290" s="212"/>
      <c r="E290" s="212"/>
      <c r="F290" s="212"/>
      <c r="G290" s="1"/>
      <c r="H290" s="221"/>
      <c r="I290" s="221"/>
      <c r="J290" s="221"/>
      <c r="K290" s="22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4.25" customHeight="1">
      <c r="A291" s="1"/>
      <c r="B291" s="218"/>
      <c r="C291" s="212"/>
      <c r="D291" s="212"/>
      <c r="E291" s="212"/>
      <c r="F291" s="212"/>
      <c r="G291" s="1"/>
      <c r="H291" s="221"/>
      <c r="I291" s="221"/>
      <c r="J291" s="221"/>
      <c r="K291" s="22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4.25" customHeight="1">
      <c r="A292" s="1"/>
      <c r="B292" s="218"/>
      <c r="C292" s="212"/>
      <c r="D292" s="212"/>
      <c r="E292" s="212"/>
      <c r="F292" s="212"/>
      <c r="G292" s="1"/>
      <c r="H292" s="221"/>
      <c r="I292" s="221"/>
      <c r="J292" s="221"/>
      <c r="K292" s="22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4.25" customHeight="1">
      <c r="A293" s="1"/>
      <c r="B293" s="218"/>
      <c r="C293" s="212"/>
      <c r="D293" s="212"/>
      <c r="E293" s="212"/>
      <c r="F293" s="212"/>
      <c r="G293" s="1"/>
      <c r="H293" s="221"/>
      <c r="I293" s="221"/>
      <c r="J293" s="221"/>
      <c r="K293" s="22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4.25" customHeight="1">
      <c r="A294" s="1"/>
      <c r="B294" s="218"/>
      <c r="C294" s="212"/>
      <c r="D294" s="212"/>
      <c r="E294" s="212"/>
      <c r="F294" s="212"/>
      <c r="G294" s="1"/>
      <c r="H294" s="221"/>
      <c r="I294" s="221"/>
      <c r="J294" s="221"/>
      <c r="K294" s="22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4.25" customHeight="1">
      <c r="A295" s="1"/>
      <c r="B295" s="218"/>
      <c r="C295" s="212"/>
      <c r="D295" s="212"/>
      <c r="E295" s="212"/>
      <c r="F295" s="212"/>
      <c r="G295" s="1"/>
      <c r="H295" s="221"/>
      <c r="I295" s="221"/>
      <c r="J295" s="221"/>
      <c r="K295" s="22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4.25" customHeight="1">
      <c r="A296" s="1"/>
      <c r="B296" s="218"/>
      <c r="C296" s="212"/>
      <c r="D296" s="212"/>
      <c r="E296" s="212"/>
      <c r="F296" s="212"/>
      <c r="G296" s="1"/>
      <c r="H296" s="221"/>
      <c r="I296" s="221"/>
      <c r="J296" s="221"/>
      <c r="K296" s="22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4.25" customHeight="1">
      <c r="A297" s="1"/>
      <c r="B297" s="218"/>
      <c r="C297" s="212"/>
      <c r="D297" s="212"/>
      <c r="E297" s="212"/>
      <c r="F297" s="212"/>
      <c r="G297" s="1"/>
      <c r="H297" s="221"/>
      <c r="I297" s="221"/>
      <c r="J297" s="221"/>
      <c r="K297" s="22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4.25" customHeight="1">
      <c r="A298" s="1"/>
      <c r="B298" s="218"/>
      <c r="C298" s="212"/>
      <c r="D298" s="212"/>
      <c r="E298" s="212"/>
      <c r="F298" s="212"/>
      <c r="G298" s="1"/>
      <c r="H298" s="221"/>
      <c r="I298" s="221"/>
      <c r="J298" s="221"/>
      <c r="K298" s="22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4.25" customHeight="1">
      <c r="A299" s="1"/>
      <c r="B299" s="218"/>
      <c r="C299" s="212"/>
      <c r="D299" s="212"/>
      <c r="E299" s="212"/>
      <c r="F299" s="212"/>
      <c r="G299" s="1"/>
      <c r="H299" s="221"/>
      <c r="I299" s="221"/>
      <c r="J299" s="221"/>
      <c r="K299" s="22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4.25" customHeight="1">
      <c r="A300" s="1"/>
      <c r="B300" s="218"/>
      <c r="C300" s="212"/>
      <c r="D300" s="212"/>
      <c r="E300" s="212"/>
      <c r="F300" s="212"/>
      <c r="G300" s="1"/>
      <c r="H300" s="221"/>
      <c r="I300" s="221"/>
      <c r="J300" s="221"/>
      <c r="K300" s="22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4.25" customHeight="1">
      <c r="A301" s="1"/>
      <c r="B301" s="218"/>
      <c r="C301" s="212"/>
      <c r="D301" s="212"/>
      <c r="E301" s="212"/>
      <c r="F301" s="212"/>
      <c r="G301" s="1"/>
      <c r="H301" s="221"/>
      <c r="I301" s="221"/>
      <c r="J301" s="221"/>
      <c r="K301" s="22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4.25" customHeight="1">
      <c r="A302" s="1"/>
      <c r="B302" s="218"/>
      <c r="C302" s="212"/>
      <c r="D302" s="212"/>
      <c r="E302" s="212"/>
      <c r="F302" s="212"/>
      <c r="G302" s="1"/>
      <c r="H302" s="221"/>
      <c r="I302" s="221"/>
      <c r="J302" s="221"/>
      <c r="K302" s="22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4.25" customHeight="1">
      <c r="A303" s="1"/>
      <c r="B303" s="218"/>
      <c r="C303" s="212"/>
      <c r="D303" s="212"/>
      <c r="E303" s="212"/>
      <c r="F303" s="212"/>
      <c r="G303" s="1"/>
      <c r="H303" s="221"/>
      <c r="I303" s="221"/>
      <c r="J303" s="221"/>
      <c r="K303" s="22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4.25" customHeight="1">
      <c r="A304" s="1"/>
      <c r="B304" s="218"/>
      <c r="C304" s="212"/>
      <c r="D304" s="212"/>
      <c r="E304" s="212"/>
      <c r="F304" s="212"/>
      <c r="G304" s="1"/>
      <c r="H304" s="221"/>
      <c r="I304" s="221"/>
      <c r="J304" s="221"/>
      <c r="K304" s="22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4.25" customHeight="1">
      <c r="A305" s="1"/>
      <c r="B305" s="218"/>
      <c r="C305" s="212"/>
      <c r="D305" s="212"/>
      <c r="E305" s="212"/>
      <c r="F305" s="212"/>
      <c r="G305" s="1"/>
      <c r="H305" s="221"/>
      <c r="I305" s="221"/>
      <c r="J305" s="221"/>
      <c r="K305" s="22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4.25" customHeight="1">
      <c r="A306" s="1"/>
      <c r="B306" s="218"/>
      <c r="C306" s="212"/>
      <c r="D306" s="212"/>
      <c r="E306" s="212"/>
      <c r="F306" s="212"/>
      <c r="G306" s="1"/>
      <c r="H306" s="221"/>
      <c r="I306" s="221"/>
      <c r="J306" s="221"/>
      <c r="K306" s="22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4.25" customHeight="1">
      <c r="A307" s="1"/>
      <c r="B307" s="218"/>
      <c r="C307" s="212"/>
      <c r="D307" s="212"/>
      <c r="E307" s="212"/>
      <c r="F307" s="212"/>
      <c r="G307" s="1"/>
      <c r="H307" s="221"/>
      <c r="I307" s="221"/>
      <c r="J307" s="221"/>
      <c r="K307" s="22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4.25" customHeight="1">
      <c r="A308" s="1"/>
      <c r="B308" s="218"/>
      <c r="C308" s="212"/>
      <c r="D308" s="212"/>
      <c r="E308" s="212"/>
      <c r="F308" s="212"/>
      <c r="G308" s="1"/>
      <c r="H308" s="221"/>
      <c r="I308" s="221"/>
      <c r="J308" s="221"/>
      <c r="K308" s="22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4.25" customHeight="1">
      <c r="A309" s="1"/>
      <c r="B309" s="218"/>
      <c r="C309" s="212"/>
      <c r="D309" s="212"/>
      <c r="E309" s="212"/>
      <c r="F309" s="212"/>
      <c r="G309" s="1"/>
      <c r="H309" s="221"/>
      <c r="I309" s="221"/>
      <c r="J309" s="221"/>
      <c r="K309" s="22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4.25" customHeight="1">
      <c r="A310" s="1"/>
      <c r="B310" s="218"/>
      <c r="C310" s="212"/>
      <c r="D310" s="212"/>
      <c r="E310" s="212"/>
      <c r="F310" s="212"/>
      <c r="G310" s="1"/>
      <c r="H310" s="221"/>
      <c r="I310" s="221"/>
      <c r="J310" s="221"/>
      <c r="K310" s="22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4.25" customHeight="1">
      <c r="A311" s="1"/>
      <c r="B311" s="218"/>
      <c r="C311" s="212"/>
      <c r="D311" s="212"/>
      <c r="E311" s="212"/>
      <c r="F311" s="212"/>
      <c r="G311" s="1"/>
      <c r="H311" s="221"/>
      <c r="I311" s="221"/>
      <c r="J311" s="221"/>
      <c r="K311" s="22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4.25" customHeight="1">
      <c r="A312" s="1"/>
      <c r="B312" s="218"/>
      <c r="C312" s="212"/>
      <c r="D312" s="212"/>
      <c r="E312" s="212"/>
      <c r="F312" s="212"/>
      <c r="G312" s="1"/>
      <c r="H312" s="221"/>
      <c r="I312" s="221"/>
      <c r="J312" s="221"/>
      <c r="K312" s="22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4.25" customHeight="1">
      <c r="A313" s="1"/>
      <c r="B313" s="218"/>
      <c r="C313" s="212"/>
      <c r="D313" s="212"/>
      <c r="E313" s="212"/>
      <c r="F313" s="212"/>
      <c r="G313" s="1"/>
      <c r="H313" s="221"/>
      <c r="I313" s="221"/>
      <c r="J313" s="221"/>
      <c r="K313" s="22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4.25" customHeight="1">
      <c r="A314" s="1"/>
      <c r="B314" s="218"/>
      <c r="C314" s="212"/>
      <c r="D314" s="212"/>
      <c r="E314" s="212"/>
      <c r="F314" s="212"/>
      <c r="G314" s="1"/>
      <c r="H314" s="221"/>
      <c r="I314" s="221"/>
      <c r="J314" s="221"/>
      <c r="K314" s="22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4.25" customHeight="1">
      <c r="A315" s="1"/>
      <c r="B315" s="218"/>
      <c r="C315" s="212"/>
      <c r="D315" s="212"/>
      <c r="E315" s="212"/>
      <c r="F315" s="212"/>
      <c r="G315" s="1"/>
      <c r="H315" s="221"/>
      <c r="I315" s="221"/>
      <c r="J315" s="221"/>
      <c r="K315" s="22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4.25" customHeight="1">
      <c r="A316" s="1"/>
      <c r="B316" s="218"/>
      <c r="C316" s="212"/>
      <c r="D316" s="212"/>
      <c r="E316" s="212"/>
      <c r="F316" s="212"/>
      <c r="G316" s="1"/>
      <c r="H316" s="221"/>
      <c r="I316" s="221"/>
      <c r="J316" s="221"/>
      <c r="K316" s="22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4.25" customHeight="1">
      <c r="A317" s="1"/>
      <c r="B317" s="218"/>
      <c r="C317" s="212"/>
      <c r="D317" s="212"/>
      <c r="E317" s="212"/>
      <c r="F317" s="212"/>
      <c r="G317" s="1"/>
      <c r="H317" s="221"/>
      <c r="I317" s="221"/>
      <c r="J317" s="221"/>
      <c r="K317" s="22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4.25" customHeight="1">
      <c r="A318" s="1"/>
      <c r="B318" s="218"/>
      <c r="C318" s="212"/>
      <c r="D318" s="212"/>
      <c r="E318" s="212"/>
      <c r="F318" s="212"/>
      <c r="G318" s="1"/>
      <c r="H318" s="221"/>
      <c r="I318" s="221"/>
      <c r="J318" s="221"/>
      <c r="K318" s="22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4.25" customHeight="1">
      <c r="A319" s="1"/>
      <c r="B319" s="218"/>
      <c r="C319" s="212"/>
      <c r="D319" s="212"/>
      <c r="E319" s="212"/>
      <c r="F319" s="212"/>
      <c r="G319" s="1"/>
      <c r="H319" s="221"/>
      <c r="I319" s="221"/>
      <c r="J319" s="221"/>
      <c r="K319" s="22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4.25" customHeight="1">
      <c r="A320" s="1"/>
      <c r="B320" s="218"/>
      <c r="C320" s="212"/>
      <c r="D320" s="212"/>
      <c r="E320" s="212"/>
      <c r="F320" s="212"/>
      <c r="G320" s="1"/>
      <c r="H320" s="221"/>
      <c r="I320" s="221"/>
      <c r="J320" s="221"/>
      <c r="K320" s="22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4.25" customHeight="1">
      <c r="A321" s="1"/>
      <c r="B321" s="218"/>
      <c r="C321" s="212"/>
      <c r="D321" s="212"/>
      <c r="E321" s="212"/>
      <c r="F321" s="212"/>
      <c r="G321" s="1"/>
      <c r="H321" s="221"/>
      <c r="I321" s="221"/>
      <c r="J321" s="221"/>
      <c r="K321" s="22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4.25" customHeight="1">
      <c r="A322" s="1"/>
      <c r="B322" s="218"/>
      <c r="C322" s="212"/>
      <c r="D322" s="212"/>
      <c r="E322" s="212"/>
      <c r="F322" s="212"/>
      <c r="G322" s="1"/>
      <c r="H322" s="221"/>
      <c r="I322" s="221"/>
      <c r="J322" s="221"/>
      <c r="K322" s="22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4.25" customHeight="1">
      <c r="A323" s="1"/>
      <c r="B323" s="218"/>
      <c r="C323" s="212"/>
      <c r="D323" s="212"/>
      <c r="E323" s="212"/>
      <c r="F323" s="212"/>
      <c r="G323" s="1"/>
      <c r="H323" s="221"/>
      <c r="I323" s="221"/>
      <c r="J323" s="221"/>
      <c r="K323" s="22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4.25" customHeight="1">
      <c r="A324" s="1"/>
      <c r="B324" s="218"/>
      <c r="C324" s="212"/>
      <c r="D324" s="212"/>
      <c r="E324" s="212"/>
      <c r="F324" s="212"/>
      <c r="G324" s="1"/>
      <c r="H324" s="221"/>
      <c r="I324" s="221"/>
      <c r="J324" s="221"/>
      <c r="K324" s="22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4.25" customHeight="1">
      <c r="A325" s="1"/>
      <c r="B325" s="218"/>
      <c r="C325" s="212"/>
      <c r="D325" s="212"/>
      <c r="E325" s="212"/>
      <c r="F325" s="212"/>
      <c r="G325" s="1"/>
      <c r="H325" s="221"/>
      <c r="I325" s="221"/>
      <c r="J325" s="221"/>
      <c r="K325" s="22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4.25" customHeight="1">
      <c r="A326" s="1"/>
      <c r="B326" s="218"/>
      <c r="C326" s="212"/>
      <c r="D326" s="212"/>
      <c r="E326" s="212"/>
      <c r="F326" s="212"/>
      <c r="G326" s="1"/>
      <c r="H326" s="221"/>
      <c r="I326" s="221"/>
      <c r="J326" s="221"/>
      <c r="K326" s="22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4.25" customHeight="1">
      <c r="A327" s="1"/>
      <c r="B327" s="218"/>
      <c r="C327" s="212"/>
      <c r="D327" s="212"/>
      <c r="E327" s="212"/>
      <c r="F327" s="212"/>
      <c r="G327" s="1"/>
      <c r="H327" s="221"/>
      <c r="I327" s="221"/>
      <c r="J327" s="221"/>
      <c r="K327" s="22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4.25" customHeight="1">
      <c r="A328" s="1"/>
      <c r="B328" s="218"/>
      <c r="C328" s="212"/>
      <c r="D328" s="212"/>
      <c r="E328" s="212"/>
      <c r="F328" s="212"/>
      <c r="G328" s="1"/>
      <c r="H328" s="221"/>
      <c r="I328" s="221"/>
      <c r="J328" s="221"/>
      <c r="K328" s="22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4.25" customHeight="1">
      <c r="A329" s="1"/>
      <c r="B329" s="218"/>
      <c r="C329" s="212"/>
      <c r="D329" s="212"/>
      <c r="E329" s="212"/>
      <c r="F329" s="212"/>
      <c r="G329" s="1"/>
      <c r="H329" s="221"/>
      <c r="I329" s="221"/>
      <c r="J329" s="221"/>
      <c r="K329" s="22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4.25" customHeight="1">
      <c r="A330" s="1"/>
      <c r="B330" s="218"/>
      <c r="C330" s="212"/>
      <c r="D330" s="212"/>
      <c r="E330" s="212"/>
      <c r="F330" s="212"/>
      <c r="G330" s="1"/>
      <c r="H330" s="221"/>
      <c r="I330" s="221"/>
      <c r="J330" s="221"/>
      <c r="K330" s="22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4.25" customHeight="1">
      <c r="A331" s="1"/>
      <c r="B331" s="218"/>
      <c r="C331" s="212"/>
      <c r="D331" s="212"/>
      <c r="E331" s="212"/>
      <c r="F331" s="212"/>
      <c r="G331" s="1"/>
      <c r="H331" s="221"/>
      <c r="I331" s="221"/>
      <c r="J331" s="221"/>
      <c r="K331" s="22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4.25" customHeight="1">
      <c r="A332" s="1"/>
      <c r="B332" s="218"/>
      <c r="C332" s="212"/>
      <c r="D332" s="212"/>
      <c r="E332" s="212"/>
      <c r="F332" s="212"/>
      <c r="G332" s="1"/>
      <c r="H332" s="221"/>
      <c r="I332" s="221"/>
      <c r="J332" s="221"/>
      <c r="K332" s="22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4.25" customHeight="1">
      <c r="A333" s="1"/>
      <c r="B333" s="218"/>
      <c r="C333" s="212"/>
      <c r="D333" s="212"/>
      <c r="E333" s="212"/>
      <c r="F333" s="212"/>
      <c r="G333" s="1"/>
      <c r="H333" s="221"/>
      <c r="I333" s="221"/>
      <c r="J333" s="221"/>
      <c r="K333" s="22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4.25" customHeight="1">
      <c r="A334" s="1"/>
      <c r="B334" s="218"/>
      <c r="C334" s="212"/>
      <c r="D334" s="212"/>
      <c r="E334" s="212"/>
      <c r="F334" s="212"/>
      <c r="G334" s="1"/>
      <c r="H334" s="221"/>
      <c r="I334" s="221"/>
      <c r="J334" s="221"/>
      <c r="K334" s="22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4.25" customHeight="1">
      <c r="A335" s="1"/>
      <c r="B335" s="218"/>
      <c r="C335" s="212"/>
      <c r="D335" s="212"/>
      <c r="E335" s="212"/>
      <c r="F335" s="212"/>
      <c r="G335" s="1"/>
      <c r="H335" s="221"/>
      <c r="I335" s="221"/>
      <c r="J335" s="221"/>
      <c r="K335" s="22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4.25" customHeight="1">
      <c r="A336" s="1"/>
      <c r="B336" s="218"/>
      <c r="C336" s="212"/>
      <c r="D336" s="212"/>
      <c r="E336" s="212"/>
      <c r="F336" s="212"/>
      <c r="G336" s="1"/>
      <c r="H336" s="221"/>
      <c r="I336" s="221"/>
      <c r="J336" s="221"/>
      <c r="K336" s="22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4.25" customHeight="1">
      <c r="A337" s="1"/>
      <c r="B337" s="218"/>
      <c r="C337" s="212"/>
      <c r="D337" s="212"/>
      <c r="E337" s="212"/>
      <c r="F337" s="212"/>
      <c r="G337" s="1"/>
      <c r="H337" s="221"/>
      <c r="I337" s="221"/>
      <c r="J337" s="221"/>
      <c r="K337" s="22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4.25" customHeight="1">
      <c r="A338" s="1"/>
      <c r="B338" s="218"/>
      <c r="C338" s="212"/>
      <c r="D338" s="212"/>
      <c r="E338" s="212"/>
      <c r="F338" s="212"/>
      <c r="G338" s="1"/>
      <c r="H338" s="221"/>
      <c r="I338" s="221"/>
      <c r="J338" s="221"/>
      <c r="K338" s="22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4.25" customHeight="1">
      <c r="A339" s="1"/>
      <c r="B339" s="218"/>
      <c r="C339" s="212"/>
      <c r="D339" s="212"/>
      <c r="E339" s="212"/>
      <c r="F339" s="212"/>
      <c r="G339" s="1"/>
      <c r="H339" s="221"/>
      <c r="I339" s="221"/>
      <c r="J339" s="221"/>
      <c r="K339" s="22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4.25" customHeight="1">
      <c r="A340" s="1"/>
      <c r="B340" s="218"/>
      <c r="C340" s="212"/>
      <c r="D340" s="212"/>
      <c r="E340" s="212"/>
      <c r="F340" s="212"/>
      <c r="G340" s="1"/>
      <c r="H340" s="221"/>
      <c r="I340" s="221"/>
      <c r="J340" s="221"/>
      <c r="K340" s="22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4.25" customHeight="1">
      <c r="A341" s="1"/>
      <c r="B341" s="218"/>
      <c r="C341" s="212"/>
      <c r="D341" s="212"/>
      <c r="E341" s="212"/>
      <c r="F341" s="212"/>
      <c r="G341" s="1"/>
      <c r="H341" s="221"/>
      <c r="I341" s="221"/>
      <c r="J341" s="221"/>
      <c r="K341" s="22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4.25" customHeight="1">
      <c r="A342" s="1"/>
      <c r="B342" s="218"/>
      <c r="C342" s="212"/>
      <c r="D342" s="212"/>
      <c r="E342" s="212"/>
      <c r="F342" s="212"/>
      <c r="G342" s="1"/>
      <c r="H342" s="221"/>
      <c r="I342" s="221"/>
      <c r="J342" s="221"/>
      <c r="K342" s="22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4.25" customHeight="1">
      <c r="A343" s="1"/>
      <c r="B343" s="218"/>
      <c r="C343" s="212"/>
      <c r="D343" s="212"/>
      <c r="E343" s="212"/>
      <c r="F343" s="212"/>
      <c r="G343" s="1"/>
      <c r="H343" s="221"/>
      <c r="I343" s="221"/>
      <c r="J343" s="221"/>
      <c r="K343" s="22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4.25" customHeight="1">
      <c r="A344" s="1"/>
      <c r="B344" s="218"/>
      <c r="C344" s="212"/>
      <c r="D344" s="212"/>
      <c r="E344" s="212"/>
      <c r="F344" s="212"/>
      <c r="G344" s="1"/>
      <c r="H344" s="221"/>
      <c r="I344" s="221"/>
      <c r="J344" s="221"/>
      <c r="K344" s="22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4.25" customHeight="1">
      <c r="A345" s="1"/>
      <c r="B345" s="218"/>
      <c r="C345" s="212"/>
      <c r="D345" s="212"/>
      <c r="E345" s="212"/>
      <c r="F345" s="212"/>
      <c r="G345" s="1"/>
      <c r="H345" s="221"/>
      <c r="I345" s="221"/>
      <c r="J345" s="221"/>
      <c r="K345" s="22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4.25" customHeight="1">
      <c r="A346" s="1"/>
      <c r="B346" s="218"/>
      <c r="C346" s="212"/>
      <c r="D346" s="212"/>
      <c r="E346" s="212"/>
      <c r="F346" s="212"/>
      <c r="G346" s="1"/>
      <c r="H346" s="221"/>
      <c r="I346" s="221"/>
      <c r="J346" s="221"/>
      <c r="K346" s="22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4.25" customHeight="1">
      <c r="A347" s="1"/>
      <c r="B347" s="218"/>
      <c r="C347" s="212"/>
      <c r="D347" s="212"/>
      <c r="E347" s="212"/>
      <c r="F347" s="212"/>
      <c r="G347" s="1"/>
      <c r="H347" s="221"/>
      <c r="I347" s="221"/>
      <c r="J347" s="221"/>
      <c r="K347" s="22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4.25" customHeight="1">
      <c r="A348" s="1"/>
      <c r="B348" s="218"/>
      <c r="C348" s="212"/>
      <c r="D348" s="212"/>
      <c r="E348" s="212"/>
      <c r="F348" s="212"/>
      <c r="G348" s="1"/>
      <c r="H348" s="221"/>
      <c r="I348" s="221"/>
      <c r="J348" s="221"/>
      <c r="K348" s="22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4.25" customHeight="1">
      <c r="A349" s="1"/>
      <c r="B349" s="218"/>
      <c r="C349" s="212"/>
      <c r="D349" s="212"/>
      <c r="E349" s="212"/>
      <c r="F349" s="212"/>
      <c r="G349" s="1"/>
      <c r="H349" s="221"/>
      <c r="I349" s="221"/>
      <c r="J349" s="221"/>
      <c r="K349" s="22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4.25" customHeight="1">
      <c r="A350" s="1"/>
      <c r="B350" s="218"/>
      <c r="C350" s="212"/>
      <c r="D350" s="212"/>
      <c r="E350" s="212"/>
      <c r="F350" s="212"/>
      <c r="G350" s="1"/>
      <c r="H350" s="221"/>
      <c r="I350" s="221"/>
      <c r="J350" s="221"/>
      <c r="K350" s="22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4.25" customHeight="1">
      <c r="A351" s="1"/>
      <c r="B351" s="218"/>
      <c r="C351" s="212"/>
      <c r="D351" s="212"/>
      <c r="E351" s="212"/>
      <c r="F351" s="212"/>
      <c r="G351" s="1"/>
      <c r="H351" s="221"/>
      <c r="I351" s="221"/>
      <c r="J351" s="221"/>
      <c r="K351" s="22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4.25" customHeight="1">
      <c r="A352" s="1"/>
      <c r="B352" s="218"/>
      <c r="C352" s="212"/>
      <c r="D352" s="212"/>
      <c r="E352" s="212"/>
      <c r="F352" s="212"/>
      <c r="G352" s="1"/>
      <c r="H352" s="221"/>
      <c r="I352" s="221"/>
      <c r="J352" s="221"/>
      <c r="K352" s="22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4.25" customHeight="1">
      <c r="A353" s="1"/>
      <c r="B353" s="218"/>
      <c r="C353" s="212"/>
      <c r="D353" s="212"/>
      <c r="E353" s="212"/>
      <c r="F353" s="212"/>
      <c r="G353" s="1"/>
      <c r="H353" s="221"/>
      <c r="I353" s="221"/>
      <c r="J353" s="221"/>
      <c r="K353" s="22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4.25" customHeight="1">
      <c r="A354" s="1"/>
      <c r="B354" s="218"/>
      <c r="C354" s="212"/>
      <c r="D354" s="212"/>
      <c r="E354" s="212"/>
      <c r="F354" s="212"/>
      <c r="G354" s="1"/>
      <c r="H354" s="221"/>
      <c r="I354" s="221"/>
      <c r="J354" s="221"/>
      <c r="K354" s="22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4.25" customHeight="1">
      <c r="A355" s="1"/>
      <c r="B355" s="218"/>
      <c r="C355" s="212"/>
      <c r="D355" s="212"/>
      <c r="E355" s="212"/>
      <c r="F355" s="212"/>
      <c r="G355" s="1"/>
      <c r="H355" s="221"/>
      <c r="I355" s="221"/>
      <c r="J355" s="221"/>
      <c r="K355" s="22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4.25" customHeight="1">
      <c r="A356" s="1"/>
      <c r="B356" s="218"/>
      <c r="C356" s="212"/>
      <c r="D356" s="212"/>
      <c r="E356" s="212"/>
      <c r="F356" s="212"/>
      <c r="G356" s="1"/>
      <c r="H356" s="221"/>
      <c r="I356" s="221"/>
      <c r="J356" s="221"/>
      <c r="K356" s="22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4.25" customHeight="1">
      <c r="A357" s="1"/>
      <c r="B357" s="218"/>
      <c r="C357" s="212"/>
      <c r="D357" s="212"/>
      <c r="E357" s="212"/>
      <c r="F357" s="212"/>
      <c r="G357" s="1"/>
      <c r="H357" s="221"/>
      <c r="I357" s="221"/>
      <c r="J357" s="221"/>
      <c r="K357" s="22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4.25" customHeight="1">
      <c r="A358" s="1"/>
      <c r="B358" s="218"/>
      <c r="C358" s="212"/>
      <c r="D358" s="212"/>
      <c r="E358" s="212"/>
      <c r="F358" s="212"/>
      <c r="G358" s="1"/>
      <c r="H358" s="221"/>
      <c r="I358" s="221"/>
      <c r="J358" s="221"/>
      <c r="K358" s="22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4.25" customHeight="1">
      <c r="A359" s="1"/>
      <c r="B359" s="218"/>
      <c r="C359" s="212"/>
      <c r="D359" s="212"/>
      <c r="E359" s="212"/>
      <c r="F359" s="212"/>
      <c r="G359" s="1"/>
      <c r="H359" s="221"/>
      <c r="I359" s="221"/>
      <c r="J359" s="221"/>
      <c r="K359" s="22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4.25" customHeight="1">
      <c r="A360" s="1"/>
      <c r="B360" s="218"/>
      <c r="C360" s="212"/>
      <c r="D360" s="212"/>
      <c r="E360" s="212"/>
      <c r="F360" s="212"/>
      <c r="G360" s="1"/>
      <c r="H360" s="221"/>
      <c r="I360" s="221"/>
      <c r="J360" s="221"/>
      <c r="K360" s="22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4.25" customHeight="1">
      <c r="A361" s="1"/>
      <c r="B361" s="218"/>
      <c r="C361" s="212"/>
      <c r="D361" s="212"/>
      <c r="E361" s="212"/>
      <c r="F361" s="212"/>
      <c r="G361" s="1"/>
      <c r="H361" s="221"/>
      <c r="I361" s="221"/>
      <c r="J361" s="221"/>
      <c r="K361" s="22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4.25" customHeight="1">
      <c r="A362" s="1"/>
      <c r="B362" s="218"/>
      <c r="C362" s="212"/>
      <c r="D362" s="212"/>
      <c r="E362" s="212"/>
      <c r="F362" s="212"/>
      <c r="G362" s="1"/>
      <c r="H362" s="221"/>
      <c r="I362" s="221"/>
      <c r="J362" s="221"/>
      <c r="K362" s="22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4.25" customHeight="1">
      <c r="A363" s="1"/>
      <c r="B363" s="218"/>
      <c r="C363" s="212"/>
      <c r="D363" s="212"/>
      <c r="E363" s="212"/>
      <c r="F363" s="212"/>
      <c r="G363" s="1"/>
      <c r="H363" s="221"/>
      <c r="I363" s="221"/>
      <c r="J363" s="221"/>
      <c r="K363" s="22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4.25" customHeight="1">
      <c r="A364" s="1"/>
      <c r="B364" s="218"/>
      <c r="C364" s="212"/>
      <c r="D364" s="212"/>
      <c r="E364" s="212"/>
      <c r="F364" s="212"/>
      <c r="G364" s="1"/>
      <c r="H364" s="221"/>
      <c r="I364" s="221"/>
      <c r="J364" s="221"/>
      <c r="K364" s="22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4.25" customHeight="1">
      <c r="A365" s="1"/>
      <c r="B365" s="218"/>
      <c r="C365" s="212"/>
      <c r="D365" s="212"/>
      <c r="E365" s="212"/>
      <c r="F365" s="212"/>
      <c r="G365" s="1"/>
      <c r="H365" s="221"/>
      <c r="I365" s="221"/>
      <c r="J365" s="221"/>
      <c r="K365" s="22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4.25" customHeight="1">
      <c r="A366" s="1"/>
      <c r="B366" s="218"/>
      <c r="C366" s="212"/>
      <c r="D366" s="212"/>
      <c r="E366" s="212"/>
      <c r="F366" s="212"/>
      <c r="G366" s="1"/>
      <c r="H366" s="221"/>
      <c r="I366" s="221"/>
      <c r="J366" s="221"/>
      <c r="K366" s="22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4.25" customHeight="1">
      <c r="A367" s="1"/>
      <c r="B367" s="218"/>
      <c r="C367" s="212"/>
      <c r="D367" s="212"/>
      <c r="E367" s="212"/>
      <c r="F367" s="212"/>
      <c r="G367" s="1"/>
      <c r="H367" s="221"/>
      <c r="I367" s="221"/>
      <c r="J367" s="221"/>
      <c r="K367" s="22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4.25" customHeight="1">
      <c r="A368" s="1"/>
      <c r="B368" s="218"/>
      <c r="C368" s="212"/>
      <c r="D368" s="212"/>
      <c r="E368" s="212"/>
      <c r="F368" s="212"/>
      <c r="G368" s="1"/>
      <c r="H368" s="221"/>
      <c r="I368" s="221"/>
      <c r="J368" s="221"/>
      <c r="K368" s="22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4.25" customHeight="1">
      <c r="A369" s="1"/>
      <c r="B369" s="218"/>
      <c r="C369" s="212"/>
      <c r="D369" s="212"/>
      <c r="E369" s="212"/>
      <c r="F369" s="212"/>
      <c r="G369" s="1"/>
      <c r="H369" s="221"/>
      <c r="I369" s="221"/>
      <c r="J369" s="221"/>
      <c r="K369" s="22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4.25" customHeight="1">
      <c r="A370" s="1"/>
      <c r="B370" s="218"/>
      <c r="C370" s="212"/>
      <c r="D370" s="212"/>
      <c r="E370" s="212"/>
      <c r="F370" s="212"/>
      <c r="G370" s="1"/>
      <c r="H370" s="221"/>
      <c r="I370" s="221"/>
      <c r="J370" s="221"/>
      <c r="K370" s="22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4.25" customHeight="1">
      <c r="A371" s="1"/>
      <c r="B371" s="218"/>
      <c r="C371" s="212"/>
      <c r="D371" s="212"/>
      <c r="E371" s="212"/>
      <c r="F371" s="212"/>
      <c r="G371" s="1"/>
      <c r="H371" s="221"/>
      <c r="I371" s="221"/>
      <c r="J371" s="221"/>
      <c r="K371" s="22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4.25" customHeight="1">
      <c r="A372" s="1"/>
      <c r="B372" s="218"/>
      <c r="C372" s="212"/>
      <c r="D372" s="212"/>
      <c r="E372" s="212"/>
      <c r="F372" s="212"/>
      <c r="G372" s="1"/>
      <c r="H372" s="221"/>
      <c r="I372" s="221"/>
      <c r="J372" s="221"/>
      <c r="K372" s="22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4.25" customHeight="1">
      <c r="A373" s="1"/>
      <c r="B373" s="218"/>
      <c r="C373" s="212"/>
      <c r="D373" s="212"/>
      <c r="E373" s="212"/>
      <c r="F373" s="212"/>
      <c r="G373" s="1"/>
      <c r="H373" s="221"/>
      <c r="I373" s="221"/>
      <c r="J373" s="221"/>
      <c r="K373" s="22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4.25" customHeight="1">
      <c r="A374" s="1"/>
      <c r="B374" s="218"/>
      <c r="C374" s="212"/>
      <c r="D374" s="212"/>
      <c r="E374" s="212"/>
      <c r="F374" s="212"/>
      <c r="G374" s="1"/>
      <c r="H374" s="221"/>
      <c r="I374" s="221"/>
      <c r="J374" s="221"/>
      <c r="K374" s="22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4.25" customHeight="1">
      <c r="A375" s="1"/>
      <c r="B375" s="218"/>
      <c r="C375" s="212"/>
      <c r="D375" s="212"/>
      <c r="E375" s="212"/>
      <c r="F375" s="212"/>
      <c r="G375" s="1"/>
      <c r="H375" s="221"/>
      <c r="I375" s="221"/>
      <c r="J375" s="221"/>
      <c r="K375" s="22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4.25" customHeight="1">
      <c r="A376" s="1"/>
      <c r="B376" s="218"/>
      <c r="C376" s="212"/>
      <c r="D376" s="212"/>
      <c r="E376" s="212"/>
      <c r="F376" s="212"/>
      <c r="G376" s="1"/>
      <c r="H376" s="221"/>
      <c r="I376" s="221"/>
      <c r="J376" s="221"/>
      <c r="K376" s="22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4.25" customHeight="1">
      <c r="A377" s="1"/>
      <c r="B377" s="218"/>
      <c r="C377" s="212"/>
      <c r="D377" s="212"/>
      <c r="E377" s="212"/>
      <c r="F377" s="212"/>
      <c r="G377" s="1"/>
      <c r="H377" s="221"/>
      <c r="I377" s="221"/>
      <c r="J377" s="221"/>
      <c r="K377" s="22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4.25" customHeight="1">
      <c r="A378" s="1"/>
      <c r="B378" s="218"/>
      <c r="C378" s="212"/>
      <c r="D378" s="212"/>
      <c r="E378" s="212"/>
      <c r="F378" s="212"/>
      <c r="G378" s="1"/>
      <c r="H378" s="221"/>
      <c r="I378" s="221"/>
      <c r="J378" s="221"/>
      <c r="K378" s="22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4.25" customHeight="1">
      <c r="A379" s="1"/>
      <c r="B379" s="218"/>
      <c r="C379" s="212"/>
      <c r="D379" s="212"/>
      <c r="E379" s="212"/>
      <c r="F379" s="212"/>
      <c r="G379" s="1"/>
      <c r="H379" s="221"/>
      <c r="I379" s="221"/>
      <c r="J379" s="221"/>
      <c r="K379" s="22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4.25" customHeight="1">
      <c r="A380" s="1"/>
      <c r="B380" s="218"/>
      <c r="C380" s="212"/>
      <c r="D380" s="212"/>
      <c r="E380" s="212"/>
      <c r="F380" s="212"/>
      <c r="G380" s="1"/>
      <c r="H380" s="221"/>
      <c r="I380" s="221"/>
      <c r="J380" s="221"/>
      <c r="K380" s="22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4.25" customHeight="1">
      <c r="A381" s="1"/>
      <c r="B381" s="218"/>
      <c r="C381" s="212"/>
      <c r="D381" s="212"/>
      <c r="E381" s="212"/>
      <c r="F381" s="212"/>
      <c r="G381" s="1"/>
      <c r="H381" s="221"/>
      <c r="I381" s="221"/>
      <c r="J381" s="221"/>
      <c r="K381" s="22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4.25" customHeight="1">
      <c r="A382" s="1"/>
      <c r="B382" s="218"/>
      <c r="C382" s="212"/>
      <c r="D382" s="212"/>
      <c r="E382" s="212"/>
      <c r="F382" s="212"/>
      <c r="G382" s="1"/>
      <c r="H382" s="221"/>
      <c r="I382" s="221"/>
      <c r="J382" s="221"/>
      <c r="K382" s="22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4.25" customHeight="1">
      <c r="A383" s="1"/>
      <c r="B383" s="218"/>
      <c r="C383" s="212"/>
      <c r="D383" s="212"/>
      <c r="E383" s="212"/>
      <c r="F383" s="212"/>
      <c r="G383" s="1"/>
      <c r="H383" s="221"/>
      <c r="I383" s="221"/>
      <c r="J383" s="221"/>
      <c r="K383" s="22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4.25" customHeight="1">
      <c r="A384" s="1"/>
      <c r="B384" s="218"/>
      <c r="C384" s="212"/>
      <c r="D384" s="212"/>
      <c r="E384" s="212"/>
      <c r="F384" s="212"/>
      <c r="G384" s="1"/>
      <c r="H384" s="221"/>
      <c r="I384" s="221"/>
      <c r="J384" s="221"/>
      <c r="K384" s="22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4.25" customHeight="1">
      <c r="A385" s="1"/>
      <c r="B385" s="218"/>
      <c r="C385" s="212"/>
      <c r="D385" s="212"/>
      <c r="E385" s="212"/>
      <c r="F385" s="212"/>
      <c r="G385" s="1"/>
      <c r="H385" s="221"/>
      <c r="I385" s="221"/>
      <c r="J385" s="221"/>
      <c r="K385" s="22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4.25" customHeight="1">
      <c r="A386" s="1"/>
      <c r="B386" s="218"/>
      <c r="C386" s="212"/>
      <c r="D386" s="212"/>
      <c r="E386" s="212"/>
      <c r="F386" s="212"/>
      <c r="G386" s="1"/>
      <c r="H386" s="221"/>
      <c r="I386" s="221"/>
      <c r="J386" s="221"/>
      <c r="K386" s="22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4.25" customHeight="1">
      <c r="A387" s="1"/>
      <c r="B387" s="218"/>
      <c r="C387" s="212"/>
      <c r="D387" s="212"/>
      <c r="E387" s="212"/>
      <c r="F387" s="212"/>
      <c r="G387" s="1"/>
      <c r="H387" s="221"/>
      <c r="I387" s="221"/>
      <c r="J387" s="221"/>
      <c r="K387" s="22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4.25" customHeight="1">
      <c r="A388" s="1"/>
      <c r="B388" s="218"/>
      <c r="C388" s="212"/>
      <c r="D388" s="212"/>
      <c r="E388" s="212"/>
      <c r="F388" s="212"/>
      <c r="G388" s="1"/>
      <c r="H388" s="221"/>
      <c r="I388" s="221"/>
      <c r="J388" s="221"/>
      <c r="K388" s="22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4.25" customHeight="1">
      <c r="A389" s="1"/>
      <c r="B389" s="218"/>
      <c r="C389" s="212"/>
      <c r="D389" s="212"/>
      <c r="E389" s="212"/>
      <c r="F389" s="212"/>
      <c r="G389" s="1"/>
      <c r="H389" s="221"/>
      <c r="I389" s="221"/>
      <c r="J389" s="221"/>
      <c r="K389" s="22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4.25" customHeight="1">
      <c r="A390" s="1"/>
      <c r="B390" s="218"/>
      <c r="C390" s="212"/>
      <c r="D390" s="212"/>
      <c r="E390" s="212"/>
      <c r="F390" s="212"/>
      <c r="G390" s="1"/>
      <c r="H390" s="221"/>
      <c r="I390" s="221"/>
      <c r="J390" s="221"/>
      <c r="K390" s="22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4.25" customHeight="1">
      <c r="A391" s="1"/>
      <c r="B391" s="218"/>
      <c r="C391" s="212"/>
      <c r="D391" s="212"/>
      <c r="E391" s="212"/>
      <c r="F391" s="212"/>
      <c r="G391" s="1"/>
      <c r="H391" s="221"/>
      <c r="I391" s="221"/>
      <c r="J391" s="221"/>
      <c r="K391" s="22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4.25" customHeight="1">
      <c r="A392" s="1"/>
      <c r="B392" s="218"/>
      <c r="C392" s="212"/>
      <c r="D392" s="212"/>
      <c r="E392" s="212"/>
      <c r="F392" s="212"/>
      <c r="G392" s="1"/>
      <c r="H392" s="221"/>
      <c r="I392" s="221"/>
      <c r="J392" s="221"/>
      <c r="K392" s="22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4.25" customHeight="1">
      <c r="A393" s="1"/>
      <c r="B393" s="218"/>
      <c r="C393" s="212"/>
      <c r="D393" s="212"/>
      <c r="E393" s="212"/>
      <c r="F393" s="212"/>
      <c r="G393" s="1"/>
      <c r="H393" s="221"/>
      <c r="I393" s="221"/>
      <c r="J393" s="221"/>
      <c r="K393" s="22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4.25" customHeight="1">
      <c r="A394" s="1"/>
      <c r="B394" s="218"/>
      <c r="C394" s="212"/>
      <c r="D394" s="212"/>
      <c r="E394" s="212"/>
      <c r="F394" s="212"/>
      <c r="G394" s="1"/>
      <c r="H394" s="221"/>
      <c r="I394" s="221"/>
      <c r="J394" s="221"/>
      <c r="K394" s="22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4.25" customHeight="1">
      <c r="A395" s="1"/>
      <c r="B395" s="218"/>
      <c r="C395" s="212"/>
      <c r="D395" s="212"/>
      <c r="E395" s="212"/>
      <c r="F395" s="212"/>
      <c r="G395" s="1"/>
      <c r="H395" s="221"/>
      <c r="I395" s="221"/>
      <c r="J395" s="221"/>
      <c r="K395" s="22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4.25" customHeight="1">
      <c r="A396" s="1"/>
      <c r="B396" s="218"/>
      <c r="C396" s="212"/>
      <c r="D396" s="212"/>
      <c r="E396" s="212"/>
      <c r="F396" s="212"/>
      <c r="G396" s="1"/>
      <c r="H396" s="221"/>
      <c r="I396" s="221"/>
      <c r="J396" s="221"/>
      <c r="K396" s="22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4.25" customHeight="1">
      <c r="A397" s="1"/>
      <c r="B397" s="218"/>
      <c r="C397" s="212"/>
      <c r="D397" s="212"/>
      <c r="E397" s="212"/>
      <c r="F397" s="212"/>
      <c r="G397" s="1"/>
      <c r="H397" s="221"/>
      <c r="I397" s="221"/>
      <c r="J397" s="221"/>
      <c r="K397" s="22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4.25" customHeight="1">
      <c r="A398" s="1"/>
      <c r="B398" s="218"/>
      <c r="C398" s="212"/>
      <c r="D398" s="212"/>
      <c r="E398" s="212"/>
      <c r="F398" s="212"/>
      <c r="G398" s="1"/>
      <c r="H398" s="221"/>
      <c r="I398" s="221"/>
      <c r="J398" s="221"/>
      <c r="K398" s="22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4.25" customHeight="1">
      <c r="A399" s="1"/>
      <c r="B399" s="218"/>
      <c r="C399" s="212"/>
      <c r="D399" s="212"/>
      <c r="E399" s="212"/>
      <c r="F399" s="212"/>
      <c r="G399" s="1"/>
      <c r="H399" s="221"/>
      <c r="I399" s="221"/>
      <c r="J399" s="221"/>
      <c r="K399" s="22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4.25" customHeight="1">
      <c r="A400" s="1"/>
      <c r="B400" s="218"/>
      <c r="C400" s="212"/>
      <c r="D400" s="212"/>
      <c r="E400" s="212"/>
      <c r="F400" s="212"/>
      <c r="G400" s="1"/>
      <c r="H400" s="221"/>
      <c r="I400" s="221"/>
      <c r="J400" s="221"/>
      <c r="K400" s="22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4.25" customHeight="1">
      <c r="A401" s="1"/>
      <c r="B401" s="218"/>
      <c r="C401" s="212"/>
      <c r="D401" s="212"/>
      <c r="E401" s="212"/>
      <c r="F401" s="212"/>
      <c r="G401" s="1"/>
      <c r="H401" s="221"/>
      <c r="I401" s="221"/>
      <c r="J401" s="221"/>
      <c r="K401" s="22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4.25" customHeight="1">
      <c r="A402" s="1"/>
      <c r="B402" s="218"/>
      <c r="C402" s="212"/>
      <c r="D402" s="212"/>
      <c r="E402" s="212"/>
      <c r="F402" s="212"/>
      <c r="G402" s="1"/>
      <c r="H402" s="221"/>
      <c r="I402" s="221"/>
      <c r="J402" s="221"/>
      <c r="K402" s="22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4.25" customHeight="1">
      <c r="A403" s="1"/>
      <c r="B403" s="218"/>
      <c r="C403" s="212"/>
      <c r="D403" s="212"/>
      <c r="E403" s="212"/>
      <c r="F403" s="212"/>
      <c r="G403" s="1"/>
      <c r="H403" s="221"/>
      <c r="I403" s="221"/>
      <c r="J403" s="221"/>
      <c r="K403" s="22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4.25" customHeight="1">
      <c r="A404" s="1"/>
      <c r="B404" s="218"/>
      <c r="C404" s="212"/>
      <c r="D404" s="212"/>
      <c r="E404" s="212"/>
      <c r="F404" s="212"/>
      <c r="G404" s="1"/>
      <c r="H404" s="221"/>
      <c r="I404" s="221"/>
      <c r="J404" s="221"/>
      <c r="K404" s="22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4.25" customHeight="1">
      <c r="A405" s="1"/>
      <c r="B405" s="218"/>
      <c r="C405" s="212"/>
      <c r="D405" s="212"/>
      <c r="E405" s="212"/>
      <c r="F405" s="212"/>
      <c r="G405" s="1"/>
      <c r="H405" s="221"/>
      <c r="I405" s="221"/>
      <c r="J405" s="221"/>
      <c r="K405" s="22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4.25" customHeight="1">
      <c r="A406" s="1"/>
      <c r="B406" s="218"/>
      <c r="C406" s="212"/>
      <c r="D406" s="212"/>
      <c r="E406" s="212"/>
      <c r="F406" s="212"/>
      <c r="G406" s="1"/>
      <c r="H406" s="221"/>
      <c r="I406" s="221"/>
      <c r="J406" s="221"/>
      <c r="K406" s="22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4.25" customHeight="1">
      <c r="A407" s="1"/>
      <c r="B407" s="218"/>
      <c r="C407" s="212"/>
      <c r="D407" s="212"/>
      <c r="E407" s="212"/>
      <c r="F407" s="212"/>
      <c r="G407" s="1"/>
      <c r="H407" s="221"/>
      <c r="I407" s="221"/>
      <c r="J407" s="221"/>
      <c r="K407" s="22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4.25" customHeight="1">
      <c r="A408" s="1"/>
      <c r="B408" s="218"/>
      <c r="C408" s="212"/>
      <c r="D408" s="212"/>
      <c r="E408" s="212"/>
      <c r="F408" s="212"/>
      <c r="G408" s="1"/>
      <c r="H408" s="221"/>
      <c r="I408" s="221"/>
      <c r="J408" s="221"/>
      <c r="K408" s="22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4.25" customHeight="1">
      <c r="A409" s="1"/>
      <c r="B409" s="218"/>
      <c r="C409" s="212"/>
      <c r="D409" s="212"/>
      <c r="E409" s="212"/>
      <c r="F409" s="212"/>
      <c r="G409" s="1"/>
      <c r="H409" s="221"/>
      <c r="I409" s="221"/>
      <c r="J409" s="221"/>
      <c r="K409" s="22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4.25" customHeight="1">
      <c r="A410" s="1"/>
      <c r="B410" s="218"/>
      <c r="C410" s="212"/>
      <c r="D410" s="212"/>
      <c r="E410" s="212"/>
      <c r="F410" s="212"/>
      <c r="G410" s="1"/>
      <c r="H410" s="221"/>
      <c r="I410" s="221"/>
      <c r="J410" s="221"/>
      <c r="K410" s="22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4.25" customHeight="1">
      <c r="A411" s="1"/>
      <c r="B411" s="218"/>
      <c r="C411" s="212"/>
      <c r="D411" s="212"/>
      <c r="E411" s="212"/>
      <c r="F411" s="212"/>
      <c r="G411" s="1"/>
      <c r="H411" s="221"/>
      <c r="I411" s="221"/>
      <c r="J411" s="221"/>
      <c r="K411" s="22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4.25" customHeight="1">
      <c r="A412" s="1"/>
      <c r="B412" s="218"/>
      <c r="C412" s="212"/>
      <c r="D412" s="212"/>
      <c r="E412" s="212"/>
      <c r="F412" s="212"/>
      <c r="G412" s="1"/>
      <c r="H412" s="221"/>
      <c r="I412" s="221"/>
      <c r="J412" s="221"/>
      <c r="K412" s="22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4.25" customHeight="1">
      <c r="A413" s="1"/>
      <c r="B413" s="218"/>
      <c r="C413" s="212"/>
      <c r="D413" s="212"/>
      <c r="E413" s="212"/>
      <c r="F413" s="212"/>
      <c r="G413" s="1"/>
      <c r="H413" s="221"/>
      <c r="I413" s="221"/>
      <c r="J413" s="221"/>
      <c r="K413" s="22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4.25" customHeight="1">
      <c r="A414" s="1"/>
      <c r="B414" s="218"/>
      <c r="C414" s="212"/>
      <c r="D414" s="212"/>
      <c r="E414" s="212"/>
      <c r="F414" s="212"/>
      <c r="G414" s="1"/>
      <c r="H414" s="221"/>
      <c r="I414" s="221"/>
      <c r="J414" s="221"/>
      <c r="K414" s="22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4.25" customHeight="1">
      <c r="A415" s="1"/>
      <c r="B415" s="218"/>
      <c r="C415" s="212"/>
      <c r="D415" s="212"/>
      <c r="E415" s="212"/>
      <c r="F415" s="212"/>
      <c r="G415" s="1"/>
      <c r="H415" s="221"/>
      <c r="I415" s="221"/>
      <c r="J415" s="221"/>
      <c r="K415" s="22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4.25" customHeight="1">
      <c r="A416" s="1"/>
      <c r="B416" s="218"/>
      <c r="C416" s="212"/>
      <c r="D416" s="212"/>
      <c r="E416" s="212"/>
      <c r="F416" s="212"/>
      <c r="G416" s="1"/>
      <c r="H416" s="221"/>
      <c r="I416" s="221"/>
      <c r="J416" s="221"/>
      <c r="K416" s="22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4.25" customHeight="1">
      <c r="A417" s="1"/>
      <c r="B417" s="218"/>
      <c r="C417" s="212"/>
      <c r="D417" s="212"/>
      <c r="E417" s="212"/>
      <c r="F417" s="212"/>
      <c r="G417" s="1"/>
      <c r="H417" s="221"/>
      <c r="I417" s="221"/>
      <c r="J417" s="221"/>
      <c r="K417" s="22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4.25" customHeight="1">
      <c r="A418" s="1"/>
      <c r="B418" s="218"/>
      <c r="C418" s="212"/>
      <c r="D418" s="212"/>
      <c r="E418" s="212"/>
      <c r="F418" s="212"/>
      <c r="G418" s="1"/>
      <c r="H418" s="221"/>
      <c r="I418" s="221"/>
      <c r="J418" s="221"/>
      <c r="K418" s="22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4.25" customHeight="1">
      <c r="A419" s="1"/>
      <c r="B419" s="218"/>
      <c r="C419" s="212"/>
      <c r="D419" s="212"/>
      <c r="E419" s="212"/>
      <c r="F419" s="212"/>
      <c r="G419" s="1"/>
      <c r="H419" s="221"/>
      <c r="I419" s="221"/>
      <c r="J419" s="221"/>
      <c r="K419" s="22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4.25" customHeight="1">
      <c r="A420" s="1"/>
      <c r="B420" s="218"/>
      <c r="C420" s="212"/>
      <c r="D420" s="212"/>
      <c r="E420" s="212"/>
      <c r="F420" s="212"/>
      <c r="G420" s="1"/>
      <c r="H420" s="221"/>
      <c r="I420" s="221"/>
      <c r="J420" s="221"/>
      <c r="K420" s="22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4.25" customHeight="1">
      <c r="A421" s="1"/>
      <c r="B421" s="218"/>
      <c r="C421" s="212"/>
      <c r="D421" s="212"/>
      <c r="E421" s="212"/>
      <c r="F421" s="212"/>
      <c r="G421" s="1"/>
      <c r="H421" s="221"/>
      <c r="I421" s="221"/>
      <c r="J421" s="221"/>
      <c r="K421" s="22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4.25" customHeight="1">
      <c r="A422" s="1"/>
      <c r="B422" s="218"/>
      <c r="C422" s="212"/>
      <c r="D422" s="212"/>
      <c r="E422" s="212"/>
      <c r="F422" s="212"/>
      <c r="G422" s="1"/>
      <c r="H422" s="221"/>
      <c r="I422" s="221"/>
      <c r="J422" s="221"/>
      <c r="K422" s="22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4.25" customHeight="1">
      <c r="A423" s="1"/>
      <c r="B423" s="218"/>
      <c r="C423" s="212"/>
      <c r="D423" s="212"/>
      <c r="E423" s="212"/>
      <c r="F423" s="212"/>
      <c r="G423" s="1"/>
      <c r="H423" s="221"/>
      <c r="I423" s="221"/>
      <c r="J423" s="221"/>
      <c r="K423" s="22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4.25" customHeight="1">
      <c r="A424" s="1"/>
      <c r="B424" s="218"/>
      <c r="C424" s="212"/>
      <c r="D424" s="212"/>
      <c r="E424" s="212"/>
      <c r="F424" s="212"/>
      <c r="G424" s="1"/>
      <c r="H424" s="221"/>
      <c r="I424" s="221"/>
      <c r="J424" s="221"/>
      <c r="K424" s="22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4.25" customHeight="1">
      <c r="A425" s="1"/>
      <c r="B425" s="218"/>
      <c r="C425" s="212"/>
      <c r="D425" s="212"/>
      <c r="E425" s="212"/>
      <c r="F425" s="212"/>
      <c r="G425" s="1"/>
      <c r="H425" s="221"/>
      <c r="I425" s="221"/>
      <c r="J425" s="221"/>
      <c r="K425" s="22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4.25" customHeight="1">
      <c r="A426" s="1"/>
      <c r="B426" s="218"/>
      <c r="C426" s="212"/>
      <c r="D426" s="212"/>
      <c r="E426" s="212"/>
      <c r="F426" s="212"/>
      <c r="G426" s="1"/>
      <c r="H426" s="221"/>
      <c r="I426" s="221"/>
      <c r="J426" s="221"/>
      <c r="K426" s="22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4.25" customHeight="1">
      <c r="A427" s="1"/>
      <c r="B427" s="218"/>
      <c r="C427" s="212"/>
      <c r="D427" s="212"/>
      <c r="E427" s="212"/>
      <c r="F427" s="212"/>
      <c r="G427" s="1"/>
      <c r="H427" s="221"/>
      <c r="I427" s="221"/>
      <c r="J427" s="221"/>
      <c r="K427" s="22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4.25" customHeight="1">
      <c r="A428" s="1"/>
      <c r="B428" s="218"/>
      <c r="C428" s="212"/>
      <c r="D428" s="212"/>
      <c r="E428" s="212"/>
      <c r="F428" s="212"/>
      <c r="G428" s="1"/>
      <c r="H428" s="221"/>
      <c r="I428" s="221"/>
      <c r="J428" s="221"/>
      <c r="K428" s="22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4.25" customHeight="1">
      <c r="A429" s="1"/>
      <c r="B429" s="218"/>
      <c r="C429" s="212"/>
      <c r="D429" s="212"/>
      <c r="E429" s="212"/>
      <c r="F429" s="212"/>
      <c r="G429" s="1"/>
      <c r="H429" s="221"/>
      <c r="I429" s="221"/>
      <c r="J429" s="221"/>
      <c r="K429" s="22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4.25" customHeight="1">
      <c r="A430" s="1"/>
      <c r="B430" s="218"/>
      <c r="C430" s="212"/>
      <c r="D430" s="212"/>
      <c r="E430" s="212"/>
      <c r="F430" s="212"/>
      <c r="G430" s="1"/>
      <c r="H430" s="221"/>
      <c r="I430" s="221"/>
      <c r="J430" s="221"/>
      <c r="K430" s="22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4.25" customHeight="1">
      <c r="A431" s="1"/>
      <c r="B431" s="218"/>
      <c r="C431" s="212"/>
      <c r="D431" s="212"/>
      <c r="E431" s="212"/>
      <c r="F431" s="212"/>
      <c r="G431" s="1"/>
      <c r="H431" s="221"/>
      <c r="I431" s="221"/>
      <c r="J431" s="221"/>
      <c r="K431" s="22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4.25" customHeight="1">
      <c r="A432" s="1"/>
      <c r="B432" s="218"/>
      <c r="C432" s="212"/>
      <c r="D432" s="212"/>
      <c r="E432" s="212"/>
      <c r="F432" s="212"/>
      <c r="G432" s="1"/>
      <c r="H432" s="221"/>
      <c r="I432" s="221"/>
      <c r="J432" s="221"/>
      <c r="K432" s="22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4.25" customHeight="1">
      <c r="A433" s="1"/>
      <c r="B433" s="218"/>
      <c r="C433" s="212"/>
      <c r="D433" s="212"/>
      <c r="E433" s="212"/>
      <c r="F433" s="212"/>
      <c r="G433" s="1"/>
      <c r="H433" s="221"/>
      <c r="I433" s="221"/>
      <c r="J433" s="221"/>
      <c r="K433" s="22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4.25" customHeight="1">
      <c r="A434" s="1"/>
      <c r="B434" s="218"/>
      <c r="C434" s="212"/>
      <c r="D434" s="212"/>
      <c r="E434" s="212"/>
      <c r="F434" s="212"/>
      <c r="G434" s="1"/>
      <c r="H434" s="221"/>
      <c r="I434" s="221"/>
      <c r="J434" s="221"/>
      <c r="K434" s="22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4.25" customHeight="1">
      <c r="A435" s="1"/>
      <c r="B435" s="218"/>
      <c r="C435" s="212"/>
      <c r="D435" s="212"/>
      <c r="E435" s="212"/>
      <c r="F435" s="212"/>
      <c r="G435" s="1"/>
      <c r="H435" s="221"/>
      <c r="I435" s="221"/>
      <c r="J435" s="221"/>
      <c r="K435" s="22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4.25" customHeight="1">
      <c r="A436" s="1"/>
      <c r="B436" s="218"/>
      <c r="C436" s="212"/>
      <c r="D436" s="212"/>
      <c r="E436" s="212"/>
      <c r="F436" s="212"/>
      <c r="G436" s="1"/>
      <c r="H436" s="221"/>
      <c r="I436" s="221"/>
      <c r="J436" s="221"/>
      <c r="K436" s="22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4.25" customHeight="1">
      <c r="A437" s="1"/>
      <c r="B437" s="218"/>
      <c r="C437" s="212"/>
      <c r="D437" s="212"/>
      <c r="E437" s="212"/>
      <c r="F437" s="212"/>
      <c r="G437" s="1"/>
      <c r="H437" s="221"/>
      <c r="I437" s="221"/>
      <c r="J437" s="221"/>
      <c r="K437" s="22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4.25" customHeight="1">
      <c r="A438" s="1"/>
      <c r="B438" s="218"/>
      <c r="C438" s="212"/>
      <c r="D438" s="212"/>
      <c r="E438" s="212"/>
      <c r="F438" s="212"/>
      <c r="G438" s="1"/>
      <c r="H438" s="221"/>
      <c r="I438" s="221"/>
      <c r="J438" s="221"/>
      <c r="K438" s="22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4.25" customHeight="1">
      <c r="A439" s="1"/>
      <c r="B439" s="218"/>
      <c r="C439" s="212"/>
      <c r="D439" s="212"/>
      <c r="E439" s="212"/>
      <c r="F439" s="212"/>
      <c r="G439" s="1"/>
      <c r="H439" s="221"/>
      <c r="I439" s="221"/>
      <c r="J439" s="221"/>
      <c r="K439" s="22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4.25" customHeight="1">
      <c r="A440" s="1"/>
      <c r="B440" s="218"/>
      <c r="C440" s="212"/>
      <c r="D440" s="212"/>
      <c r="E440" s="212"/>
      <c r="F440" s="212"/>
      <c r="G440" s="1"/>
      <c r="H440" s="221"/>
      <c r="I440" s="221"/>
      <c r="J440" s="221"/>
      <c r="K440" s="22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4.25" customHeight="1">
      <c r="A441" s="1"/>
      <c r="B441" s="218"/>
      <c r="C441" s="212"/>
      <c r="D441" s="212"/>
      <c r="E441" s="212"/>
      <c r="F441" s="212"/>
      <c r="G441" s="1"/>
      <c r="H441" s="221"/>
      <c r="I441" s="221"/>
      <c r="J441" s="221"/>
      <c r="K441" s="22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4.25" customHeight="1">
      <c r="A442" s="1"/>
      <c r="B442" s="218"/>
      <c r="C442" s="212"/>
      <c r="D442" s="212"/>
      <c r="E442" s="212"/>
      <c r="F442" s="212"/>
      <c r="G442" s="1"/>
      <c r="H442" s="221"/>
      <c r="I442" s="221"/>
      <c r="J442" s="221"/>
      <c r="K442" s="22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4.25" customHeight="1">
      <c r="A443" s="1"/>
      <c r="B443" s="218"/>
      <c r="C443" s="212"/>
      <c r="D443" s="212"/>
      <c r="E443" s="212"/>
      <c r="F443" s="212"/>
      <c r="G443" s="1"/>
      <c r="H443" s="221"/>
      <c r="I443" s="221"/>
      <c r="J443" s="221"/>
      <c r="K443" s="22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4.25" customHeight="1">
      <c r="A444" s="1"/>
      <c r="B444" s="218"/>
      <c r="C444" s="212"/>
      <c r="D444" s="212"/>
      <c r="E444" s="212"/>
      <c r="F444" s="212"/>
      <c r="G444" s="1"/>
      <c r="H444" s="221"/>
      <c r="I444" s="221"/>
      <c r="J444" s="221"/>
      <c r="K444" s="22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4.25" customHeight="1">
      <c r="A445" s="1"/>
      <c r="B445" s="218"/>
      <c r="C445" s="212"/>
      <c r="D445" s="212"/>
      <c r="E445" s="212"/>
      <c r="F445" s="212"/>
      <c r="G445" s="1"/>
      <c r="H445" s="221"/>
      <c r="I445" s="221"/>
      <c r="J445" s="221"/>
      <c r="K445" s="22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4.25" customHeight="1">
      <c r="A446" s="1"/>
      <c r="B446" s="218"/>
      <c r="C446" s="212"/>
      <c r="D446" s="212"/>
      <c r="E446" s="212"/>
      <c r="F446" s="212"/>
      <c r="G446" s="1"/>
      <c r="H446" s="221"/>
      <c r="I446" s="221"/>
      <c r="J446" s="221"/>
      <c r="K446" s="22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4.25" customHeight="1">
      <c r="A447" s="1"/>
      <c r="B447" s="218"/>
      <c r="C447" s="212"/>
      <c r="D447" s="212"/>
      <c r="E447" s="212"/>
      <c r="F447" s="212"/>
      <c r="G447" s="1"/>
      <c r="H447" s="221"/>
      <c r="I447" s="221"/>
      <c r="J447" s="221"/>
      <c r="K447" s="22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4.25" customHeight="1">
      <c r="A448" s="1"/>
      <c r="B448" s="218"/>
      <c r="C448" s="212"/>
      <c r="D448" s="212"/>
      <c r="E448" s="212"/>
      <c r="F448" s="212"/>
      <c r="G448" s="1"/>
      <c r="H448" s="221"/>
      <c r="I448" s="221"/>
      <c r="J448" s="221"/>
      <c r="K448" s="22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4.25" customHeight="1">
      <c r="A449" s="1"/>
      <c r="B449" s="218"/>
      <c r="C449" s="212"/>
      <c r="D449" s="212"/>
      <c r="E449" s="212"/>
      <c r="F449" s="212"/>
      <c r="G449" s="1"/>
      <c r="H449" s="221"/>
      <c r="I449" s="221"/>
      <c r="J449" s="221"/>
      <c r="K449" s="22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4.25" customHeight="1">
      <c r="A450" s="1"/>
      <c r="B450" s="218"/>
      <c r="C450" s="212"/>
      <c r="D450" s="212"/>
      <c r="E450" s="212"/>
      <c r="F450" s="212"/>
      <c r="G450" s="1"/>
      <c r="H450" s="221"/>
      <c r="I450" s="221"/>
      <c r="J450" s="221"/>
      <c r="K450" s="22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4.25" customHeight="1">
      <c r="A451" s="1"/>
      <c r="B451" s="218"/>
      <c r="C451" s="212"/>
      <c r="D451" s="212"/>
      <c r="E451" s="212"/>
      <c r="F451" s="212"/>
      <c r="G451" s="1"/>
      <c r="H451" s="221"/>
      <c r="I451" s="221"/>
      <c r="J451" s="221"/>
      <c r="K451" s="22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4.25" customHeight="1">
      <c r="A452" s="1"/>
      <c r="B452" s="218"/>
      <c r="C452" s="212"/>
      <c r="D452" s="212"/>
      <c r="E452" s="212"/>
      <c r="F452" s="212"/>
      <c r="G452" s="1"/>
      <c r="H452" s="221"/>
      <c r="I452" s="221"/>
      <c r="J452" s="221"/>
      <c r="K452" s="22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4.25" customHeight="1">
      <c r="A453" s="1"/>
      <c r="B453" s="218"/>
      <c r="C453" s="212"/>
      <c r="D453" s="212"/>
      <c r="E453" s="212"/>
      <c r="F453" s="212"/>
      <c r="G453" s="1"/>
      <c r="H453" s="221"/>
      <c r="I453" s="221"/>
      <c r="J453" s="221"/>
      <c r="K453" s="22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4.25" customHeight="1">
      <c r="A454" s="1"/>
      <c r="B454" s="218"/>
      <c r="C454" s="212"/>
      <c r="D454" s="212"/>
      <c r="E454" s="212"/>
      <c r="F454" s="212"/>
      <c r="G454" s="1"/>
      <c r="H454" s="221"/>
      <c r="I454" s="221"/>
      <c r="J454" s="221"/>
      <c r="K454" s="22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4.25" customHeight="1">
      <c r="A455" s="1"/>
      <c r="B455" s="218"/>
      <c r="C455" s="212"/>
      <c r="D455" s="212"/>
      <c r="E455" s="212"/>
      <c r="F455" s="212"/>
      <c r="G455" s="1"/>
      <c r="H455" s="221"/>
      <c r="I455" s="221"/>
      <c r="J455" s="221"/>
      <c r="K455" s="22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4.25" customHeight="1">
      <c r="A456" s="1"/>
      <c r="B456" s="218"/>
      <c r="C456" s="212"/>
      <c r="D456" s="212"/>
      <c r="E456" s="212"/>
      <c r="F456" s="212"/>
      <c r="G456" s="1"/>
      <c r="H456" s="221"/>
      <c r="I456" s="221"/>
      <c r="J456" s="221"/>
      <c r="K456" s="22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4.25" customHeight="1">
      <c r="A457" s="1"/>
      <c r="B457" s="218"/>
      <c r="C457" s="212"/>
      <c r="D457" s="212"/>
      <c r="E457" s="212"/>
      <c r="F457" s="212"/>
      <c r="G457" s="1"/>
      <c r="H457" s="221"/>
      <c r="I457" s="221"/>
      <c r="J457" s="221"/>
      <c r="K457" s="22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4.25" customHeight="1">
      <c r="A458" s="1"/>
      <c r="B458" s="218"/>
      <c r="C458" s="212"/>
      <c r="D458" s="212"/>
      <c r="E458" s="212"/>
      <c r="F458" s="212"/>
      <c r="G458" s="1"/>
      <c r="H458" s="221"/>
      <c r="I458" s="221"/>
      <c r="J458" s="221"/>
      <c r="K458" s="22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4.25" customHeight="1">
      <c r="A459" s="1"/>
      <c r="B459" s="218"/>
      <c r="C459" s="212"/>
      <c r="D459" s="212"/>
      <c r="E459" s="212"/>
      <c r="F459" s="212"/>
      <c r="G459" s="1"/>
      <c r="H459" s="221"/>
      <c r="I459" s="221"/>
      <c r="J459" s="221"/>
      <c r="K459" s="22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4.25" customHeight="1">
      <c r="A460" s="1"/>
      <c r="B460" s="218"/>
      <c r="C460" s="212"/>
      <c r="D460" s="212"/>
      <c r="E460" s="212"/>
      <c r="F460" s="212"/>
      <c r="G460" s="1"/>
      <c r="H460" s="221"/>
      <c r="I460" s="221"/>
      <c r="J460" s="221"/>
      <c r="K460" s="22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4.25" customHeight="1">
      <c r="A461" s="1"/>
      <c r="B461" s="218"/>
      <c r="C461" s="212"/>
      <c r="D461" s="212"/>
      <c r="E461" s="212"/>
      <c r="F461" s="212"/>
      <c r="G461" s="1"/>
      <c r="H461" s="221"/>
      <c r="I461" s="221"/>
      <c r="J461" s="221"/>
      <c r="K461" s="22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4.25" customHeight="1">
      <c r="A462" s="1"/>
      <c r="B462" s="218"/>
      <c r="C462" s="212"/>
      <c r="D462" s="212"/>
      <c r="E462" s="212"/>
      <c r="F462" s="212"/>
      <c r="G462" s="1"/>
      <c r="H462" s="221"/>
      <c r="I462" s="221"/>
      <c r="J462" s="221"/>
      <c r="K462" s="22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4.25" customHeight="1">
      <c r="A463" s="1"/>
      <c r="B463" s="218"/>
      <c r="C463" s="212"/>
      <c r="D463" s="212"/>
      <c r="E463" s="212"/>
      <c r="F463" s="212"/>
      <c r="G463" s="1"/>
      <c r="H463" s="221"/>
      <c r="I463" s="221"/>
      <c r="J463" s="221"/>
      <c r="K463" s="22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4.25" customHeight="1">
      <c r="A464" s="1"/>
      <c r="B464" s="218"/>
      <c r="C464" s="212"/>
      <c r="D464" s="212"/>
      <c r="E464" s="212"/>
      <c r="F464" s="212"/>
      <c r="G464" s="1"/>
      <c r="H464" s="221"/>
      <c r="I464" s="221"/>
      <c r="J464" s="221"/>
      <c r="K464" s="22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4.25" customHeight="1">
      <c r="A465" s="1"/>
      <c r="B465" s="218"/>
      <c r="C465" s="212"/>
      <c r="D465" s="212"/>
      <c r="E465" s="212"/>
      <c r="F465" s="212"/>
      <c r="G465" s="1"/>
      <c r="H465" s="221"/>
      <c r="I465" s="221"/>
      <c r="J465" s="221"/>
      <c r="K465" s="22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4.25" customHeight="1">
      <c r="A466" s="1"/>
      <c r="B466" s="218"/>
      <c r="C466" s="212"/>
      <c r="D466" s="212"/>
      <c r="E466" s="212"/>
      <c r="F466" s="212"/>
      <c r="G466" s="1"/>
      <c r="H466" s="221"/>
      <c r="I466" s="221"/>
      <c r="J466" s="221"/>
      <c r="K466" s="22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4.25" customHeight="1">
      <c r="A467" s="1"/>
      <c r="B467" s="218"/>
      <c r="C467" s="212"/>
      <c r="D467" s="212"/>
      <c r="E467" s="212"/>
      <c r="F467" s="212"/>
      <c r="G467" s="1"/>
      <c r="H467" s="221"/>
      <c r="I467" s="221"/>
      <c r="J467" s="221"/>
      <c r="K467" s="22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4.25" customHeight="1">
      <c r="A468" s="1"/>
      <c r="B468" s="218"/>
      <c r="C468" s="212"/>
      <c r="D468" s="212"/>
      <c r="E468" s="212"/>
      <c r="F468" s="212"/>
      <c r="G468" s="1"/>
      <c r="H468" s="221"/>
      <c r="I468" s="221"/>
      <c r="J468" s="221"/>
      <c r="K468" s="22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4.25" customHeight="1">
      <c r="A469" s="1"/>
      <c r="B469" s="218"/>
      <c r="C469" s="212"/>
      <c r="D469" s="212"/>
      <c r="E469" s="212"/>
      <c r="F469" s="212"/>
      <c r="G469" s="1"/>
      <c r="H469" s="221"/>
      <c r="I469" s="221"/>
      <c r="J469" s="221"/>
      <c r="K469" s="22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4.25" customHeight="1">
      <c r="A470" s="1"/>
      <c r="B470" s="218"/>
      <c r="C470" s="212"/>
      <c r="D470" s="212"/>
      <c r="E470" s="212"/>
      <c r="F470" s="212"/>
      <c r="G470" s="1"/>
      <c r="H470" s="221"/>
      <c r="I470" s="221"/>
      <c r="J470" s="221"/>
      <c r="K470" s="22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4.25" customHeight="1">
      <c r="A471" s="1"/>
      <c r="B471" s="218"/>
      <c r="C471" s="212"/>
      <c r="D471" s="212"/>
      <c r="E471" s="212"/>
      <c r="F471" s="212"/>
      <c r="G471" s="1"/>
      <c r="H471" s="221"/>
      <c r="I471" s="221"/>
      <c r="J471" s="221"/>
      <c r="K471" s="22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4.25" customHeight="1">
      <c r="A472" s="1"/>
      <c r="B472" s="218"/>
      <c r="C472" s="212"/>
      <c r="D472" s="212"/>
      <c r="E472" s="212"/>
      <c r="F472" s="212"/>
      <c r="G472" s="1"/>
      <c r="H472" s="221"/>
      <c r="I472" s="221"/>
      <c r="J472" s="221"/>
      <c r="K472" s="22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4.25" customHeight="1">
      <c r="A473" s="1"/>
      <c r="B473" s="218"/>
      <c r="C473" s="212"/>
      <c r="D473" s="212"/>
      <c r="E473" s="212"/>
      <c r="F473" s="212"/>
      <c r="G473" s="1"/>
      <c r="H473" s="221"/>
      <c r="I473" s="221"/>
      <c r="J473" s="221"/>
      <c r="K473" s="22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4.25" customHeight="1">
      <c r="A474" s="1"/>
      <c r="B474" s="218"/>
      <c r="C474" s="212"/>
      <c r="D474" s="212"/>
      <c r="E474" s="212"/>
      <c r="F474" s="212"/>
      <c r="G474" s="1"/>
      <c r="H474" s="221"/>
      <c r="I474" s="221"/>
      <c r="J474" s="221"/>
      <c r="K474" s="22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4.25" customHeight="1">
      <c r="A475" s="1"/>
      <c r="B475" s="218"/>
      <c r="C475" s="212"/>
      <c r="D475" s="212"/>
      <c r="E475" s="212"/>
      <c r="F475" s="212"/>
      <c r="G475" s="1"/>
      <c r="H475" s="221"/>
      <c r="I475" s="221"/>
      <c r="J475" s="221"/>
      <c r="K475" s="22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4.25" customHeight="1">
      <c r="A476" s="1"/>
      <c r="B476" s="218"/>
      <c r="C476" s="212"/>
      <c r="D476" s="212"/>
      <c r="E476" s="212"/>
      <c r="F476" s="212"/>
      <c r="G476" s="1"/>
      <c r="H476" s="221"/>
      <c r="I476" s="221"/>
      <c r="J476" s="221"/>
      <c r="K476" s="22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4.25" customHeight="1">
      <c r="A477" s="1"/>
      <c r="B477" s="218"/>
      <c r="C477" s="212"/>
      <c r="D477" s="212"/>
      <c r="E477" s="212"/>
      <c r="F477" s="212"/>
      <c r="G477" s="1"/>
      <c r="H477" s="221"/>
      <c r="I477" s="221"/>
      <c r="J477" s="221"/>
      <c r="K477" s="22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4.25" customHeight="1">
      <c r="A478" s="1"/>
      <c r="B478" s="218"/>
      <c r="C478" s="212"/>
      <c r="D478" s="212"/>
      <c r="E478" s="212"/>
      <c r="F478" s="212"/>
      <c r="G478" s="1"/>
      <c r="H478" s="221"/>
      <c r="I478" s="221"/>
      <c r="J478" s="221"/>
      <c r="K478" s="22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4.25" customHeight="1">
      <c r="A479" s="1"/>
      <c r="B479" s="218"/>
      <c r="C479" s="212"/>
      <c r="D479" s="212"/>
      <c r="E479" s="212"/>
      <c r="F479" s="212"/>
      <c r="G479" s="1"/>
      <c r="H479" s="221"/>
      <c r="I479" s="221"/>
      <c r="J479" s="221"/>
      <c r="K479" s="22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4.25" customHeight="1">
      <c r="A480" s="1"/>
      <c r="B480" s="218"/>
      <c r="C480" s="212"/>
      <c r="D480" s="212"/>
      <c r="E480" s="212"/>
      <c r="F480" s="212"/>
      <c r="G480" s="1"/>
      <c r="H480" s="221"/>
      <c r="I480" s="221"/>
      <c r="J480" s="221"/>
      <c r="K480" s="22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4.25" customHeight="1">
      <c r="A481" s="1"/>
      <c r="B481" s="218"/>
      <c r="C481" s="212"/>
      <c r="D481" s="212"/>
      <c r="E481" s="212"/>
      <c r="F481" s="212"/>
      <c r="G481" s="1"/>
      <c r="H481" s="221"/>
      <c r="I481" s="221"/>
      <c r="J481" s="221"/>
      <c r="K481" s="22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4.25" customHeight="1">
      <c r="A482" s="1"/>
      <c r="B482" s="218"/>
      <c r="C482" s="212"/>
      <c r="D482" s="212"/>
      <c r="E482" s="212"/>
      <c r="F482" s="212"/>
      <c r="G482" s="1"/>
      <c r="H482" s="221"/>
      <c r="I482" s="221"/>
      <c r="J482" s="221"/>
      <c r="K482" s="22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4.25" customHeight="1">
      <c r="A483" s="1"/>
      <c r="B483" s="218"/>
      <c r="C483" s="212"/>
      <c r="D483" s="212"/>
      <c r="E483" s="212"/>
      <c r="F483" s="212"/>
      <c r="G483" s="1"/>
      <c r="H483" s="221"/>
      <c r="I483" s="221"/>
      <c r="J483" s="221"/>
      <c r="K483" s="22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4.25" customHeight="1">
      <c r="A484" s="1"/>
      <c r="B484" s="218"/>
      <c r="C484" s="212"/>
      <c r="D484" s="212"/>
      <c r="E484" s="212"/>
      <c r="F484" s="212"/>
      <c r="G484" s="1"/>
      <c r="H484" s="221"/>
      <c r="I484" s="221"/>
      <c r="J484" s="221"/>
      <c r="K484" s="22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4.25" customHeight="1">
      <c r="A485" s="1"/>
      <c r="B485" s="218"/>
      <c r="C485" s="212"/>
      <c r="D485" s="212"/>
      <c r="E485" s="212"/>
      <c r="F485" s="212"/>
      <c r="G485" s="1"/>
      <c r="H485" s="221"/>
      <c r="I485" s="221"/>
      <c r="J485" s="221"/>
      <c r="K485" s="22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4.25" customHeight="1">
      <c r="A486" s="1"/>
      <c r="B486" s="218"/>
      <c r="C486" s="212"/>
      <c r="D486" s="212"/>
      <c r="E486" s="212"/>
      <c r="F486" s="212"/>
      <c r="G486" s="1"/>
      <c r="H486" s="221"/>
      <c r="I486" s="221"/>
      <c r="J486" s="221"/>
      <c r="K486" s="22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4.25" customHeight="1">
      <c r="A487" s="1"/>
      <c r="B487" s="218"/>
      <c r="C487" s="212"/>
      <c r="D487" s="212"/>
      <c r="E487" s="212"/>
      <c r="F487" s="212"/>
      <c r="G487" s="1"/>
      <c r="H487" s="221"/>
      <c r="I487" s="221"/>
      <c r="J487" s="221"/>
      <c r="K487" s="22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4.25" customHeight="1">
      <c r="A488" s="1"/>
      <c r="B488" s="218"/>
      <c r="C488" s="212"/>
      <c r="D488" s="212"/>
      <c r="E488" s="212"/>
      <c r="F488" s="212"/>
      <c r="G488" s="1"/>
      <c r="H488" s="221"/>
      <c r="I488" s="221"/>
      <c r="J488" s="221"/>
      <c r="K488" s="22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4.25" customHeight="1">
      <c r="A489" s="1"/>
      <c r="B489" s="218"/>
      <c r="C489" s="212"/>
      <c r="D489" s="212"/>
      <c r="E489" s="212"/>
      <c r="F489" s="212"/>
      <c r="G489" s="1"/>
      <c r="H489" s="221"/>
      <c r="I489" s="221"/>
      <c r="J489" s="221"/>
      <c r="K489" s="22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4.25" customHeight="1">
      <c r="A490" s="1"/>
      <c r="B490" s="218"/>
      <c r="C490" s="212"/>
      <c r="D490" s="212"/>
      <c r="E490" s="212"/>
      <c r="F490" s="212"/>
      <c r="G490" s="1"/>
      <c r="H490" s="221"/>
      <c r="I490" s="221"/>
      <c r="J490" s="221"/>
      <c r="K490" s="22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4.25" customHeight="1">
      <c r="A491" s="1"/>
      <c r="B491" s="218"/>
      <c r="C491" s="212"/>
      <c r="D491" s="212"/>
      <c r="E491" s="212"/>
      <c r="F491" s="212"/>
      <c r="G491" s="1"/>
      <c r="H491" s="221"/>
      <c r="I491" s="221"/>
      <c r="J491" s="221"/>
      <c r="K491" s="22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4.25" customHeight="1">
      <c r="A492" s="1"/>
      <c r="B492" s="218"/>
      <c r="C492" s="212"/>
      <c r="D492" s="212"/>
      <c r="E492" s="212"/>
      <c r="F492" s="212"/>
      <c r="G492" s="1"/>
      <c r="H492" s="221"/>
      <c r="I492" s="221"/>
      <c r="J492" s="221"/>
      <c r="K492" s="22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4.25" customHeight="1">
      <c r="A493" s="1"/>
      <c r="B493" s="218"/>
      <c r="C493" s="212"/>
      <c r="D493" s="212"/>
      <c r="E493" s="212"/>
      <c r="F493" s="212"/>
      <c r="G493" s="1"/>
      <c r="H493" s="221"/>
      <c r="I493" s="221"/>
      <c r="J493" s="221"/>
      <c r="K493" s="22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4.25" customHeight="1">
      <c r="A494" s="1"/>
      <c r="B494" s="218"/>
      <c r="C494" s="212"/>
      <c r="D494" s="212"/>
      <c r="E494" s="212"/>
      <c r="F494" s="212"/>
      <c r="G494" s="1"/>
      <c r="H494" s="221"/>
      <c r="I494" s="221"/>
      <c r="J494" s="221"/>
      <c r="K494" s="22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4.25" customHeight="1">
      <c r="A495" s="1"/>
      <c r="B495" s="218"/>
      <c r="C495" s="212"/>
      <c r="D495" s="212"/>
      <c r="E495" s="212"/>
      <c r="F495" s="212"/>
      <c r="G495" s="1"/>
      <c r="H495" s="221"/>
      <c r="I495" s="221"/>
      <c r="J495" s="221"/>
      <c r="K495" s="22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4.25" customHeight="1">
      <c r="A496" s="1"/>
      <c r="B496" s="218"/>
      <c r="C496" s="212"/>
      <c r="D496" s="212"/>
      <c r="E496" s="212"/>
      <c r="F496" s="212"/>
      <c r="G496" s="1"/>
      <c r="H496" s="221"/>
      <c r="I496" s="221"/>
      <c r="J496" s="221"/>
      <c r="K496" s="22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4.25" customHeight="1">
      <c r="A497" s="1"/>
      <c r="B497" s="218"/>
      <c r="C497" s="212"/>
      <c r="D497" s="212"/>
      <c r="E497" s="212"/>
      <c r="F497" s="212"/>
      <c r="G497" s="1"/>
      <c r="H497" s="221"/>
      <c r="I497" s="221"/>
      <c r="J497" s="221"/>
      <c r="K497" s="22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4.25" customHeight="1">
      <c r="A498" s="1"/>
      <c r="B498" s="218"/>
      <c r="C498" s="212"/>
      <c r="D498" s="212"/>
      <c r="E498" s="212"/>
      <c r="F498" s="212"/>
      <c r="G498" s="1"/>
      <c r="H498" s="221"/>
      <c r="I498" s="221"/>
      <c r="J498" s="221"/>
      <c r="K498" s="22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4.25" customHeight="1">
      <c r="A499" s="1"/>
      <c r="B499" s="218"/>
      <c r="C499" s="212"/>
      <c r="D499" s="212"/>
      <c r="E499" s="212"/>
      <c r="F499" s="212"/>
      <c r="G499" s="1"/>
      <c r="H499" s="221"/>
      <c r="I499" s="221"/>
      <c r="J499" s="221"/>
      <c r="K499" s="22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4.25" customHeight="1">
      <c r="A500" s="1"/>
      <c r="B500" s="218"/>
      <c r="C500" s="212"/>
      <c r="D500" s="212"/>
      <c r="E500" s="212"/>
      <c r="F500" s="212"/>
      <c r="G500" s="1"/>
      <c r="H500" s="221"/>
      <c r="I500" s="221"/>
      <c r="J500" s="221"/>
      <c r="K500" s="22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4.25" customHeight="1">
      <c r="A501" s="1"/>
      <c r="B501" s="218"/>
      <c r="C501" s="212"/>
      <c r="D501" s="212"/>
      <c r="E501" s="212"/>
      <c r="F501" s="212"/>
      <c r="G501" s="1"/>
      <c r="H501" s="221"/>
      <c r="I501" s="221"/>
      <c r="J501" s="221"/>
      <c r="K501" s="22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4.25" customHeight="1">
      <c r="A502" s="1"/>
      <c r="B502" s="218"/>
      <c r="C502" s="212"/>
      <c r="D502" s="212"/>
      <c r="E502" s="212"/>
      <c r="F502" s="212"/>
      <c r="G502" s="1"/>
      <c r="H502" s="221"/>
      <c r="I502" s="221"/>
      <c r="J502" s="221"/>
      <c r="K502" s="22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4.25" customHeight="1">
      <c r="A503" s="1"/>
      <c r="B503" s="218"/>
      <c r="C503" s="212"/>
      <c r="D503" s="212"/>
      <c r="E503" s="212"/>
      <c r="F503" s="212"/>
      <c r="G503" s="1"/>
      <c r="H503" s="221"/>
      <c r="I503" s="221"/>
      <c r="J503" s="221"/>
      <c r="K503" s="22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4.25" customHeight="1">
      <c r="A504" s="1"/>
      <c r="B504" s="218"/>
      <c r="C504" s="212"/>
      <c r="D504" s="212"/>
      <c r="E504" s="212"/>
      <c r="F504" s="212"/>
      <c r="G504" s="1"/>
      <c r="H504" s="221"/>
      <c r="I504" s="221"/>
      <c r="J504" s="221"/>
      <c r="K504" s="22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4.25" customHeight="1">
      <c r="A505" s="1"/>
      <c r="B505" s="218"/>
      <c r="C505" s="212"/>
      <c r="D505" s="212"/>
      <c r="E505" s="212"/>
      <c r="F505" s="212"/>
      <c r="G505" s="1"/>
      <c r="H505" s="221"/>
      <c r="I505" s="221"/>
      <c r="J505" s="221"/>
      <c r="K505" s="22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4.25" customHeight="1">
      <c r="A506" s="1"/>
      <c r="B506" s="218"/>
      <c r="C506" s="212"/>
      <c r="D506" s="212"/>
      <c r="E506" s="212"/>
      <c r="F506" s="212"/>
      <c r="G506" s="1"/>
      <c r="H506" s="221"/>
      <c r="I506" s="221"/>
      <c r="J506" s="221"/>
      <c r="K506" s="22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4.25" customHeight="1">
      <c r="A507" s="1"/>
      <c r="B507" s="218"/>
      <c r="C507" s="212"/>
      <c r="D507" s="212"/>
      <c r="E507" s="212"/>
      <c r="F507" s="212"/>
      <c r="G507" s="1"/>
      <c r="H507" s="221"/>
      <c r="I507" s="221"/>
      <c r="J507" s="221"/>
      <c r="K507" s="22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4.25" customHeight="1">
      <c r="A508" s="1"/>
      <c r="B508" s="218"/>
      <c r="C508" s="212"/>
      <c r="D508" s="212"/>
      <c r="E508" s="212"/>
      <c r="F508" s="212"/>
      <c r="G508" s="1"/>
      <c r="H508" s="221"/>
      <c r="I508" s="221"/>
      <c r="J508" s="221"/>
      <c r="K508" s="22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4.25" customHeight="1">
      <c r="A509" s="1"/>
      <c r="B509" s="218"/>
      <c r="C509" s="212"/>
      <c r="D509" s="212"/>
      <c r="E509" s="212"/>
      <c r="F509" s="212"/>
      <c r="G509" s="1"/>
      <c r="H509" s="221"/>
      <c r="I509" s="221"/>
      <c r="J509" s="221"/>
      <c r="K509" s="22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4.25" customHeight="1">
      <c r="A510" s="1"/>
      <c r="B510" s="218"/>
      <c r="C510" s="212"/>
      <c r="D510" s="212"/>
      <c r="E510" s="212"/>
      <c r="F510" s="212"/>
      <c r="G510" s="1"/>
      <c r="H510" s="221"/>
      <c r="I510" s="221"/>
      <c r="J510" s="221"/>
      <c r="K510" s="22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4.25" customHeight="1">
      <c r="A511" s="1"/>
      <c r="B511" s="218"/>
      <c r="C511" s="212"/>
      <c r="D511" s="212"/>
      <c r="E511" s="212"/>
      <c r="F511" s="212"/>
      <c r="G511" s="1"/>
      <c r="H511" s="221"/>
      <c r="I511" s="221"/>
      <c r="J511" s="221"/>
      <c r="K511" s="22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4.25" customHeight="1">
      <c r="A512" s="1"/>
      <c r="B512" s="218"/>
      <c r="C512" s="212"/>
      <c r="D512" s="212"/>
      <c r="E512" s="212"/>
      <c r="F512" s="212"/>
      <c r="G512" s="1"/>
      <c r="H512" s="221"/>
      <c r="I512" s="221"/>
      <c r="J512" s="221"/>
      <c r="K512" s="22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4.25" customHeight="1">
      <c r="A513" s="1"/>
      <c r="B513" s="218"/>
      <c r="C513" s="212"/>
      <c r="D513" s="212"/>
      <c r="E513" s="212"/>
      <c r="F513" s="212"/>
      <c r="G513" s="1"/>
      <c r="H513" s="221"/>
      <c r="I513" s="221"/>
      <c r="J513" s="221"/>
      <c r="K513" s="22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4.25" customHeight="1">
      <c r="A514" s="1"/>
      <c r="B514" s="218"/>
      <c r="C514" s="212"/>
      <c r="D514" s="212"/>
      <c r="E514" s="212"/>
      <c r="F514" s="212"/>
      <c r="G514" s="1"/>
      <c r="H514" s="221"/>
      <c r="I514" s="221"/>
      <c r="J514" s="221"/>
      <c r="K514" s="22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4.25" customHeight="1">
      <c r="A515" s="1"/>
      <c r="B515" s="218"/>
      <c r="C515" s="212"/>
      <c r="D515" s="212"/>
      <c r="E515" s="212"/>
      <c r="F515" s="212"/>
      <c r="G515" s="1"/>
      <c r="H515" s="221"/>
      <c r="I515" s="221"/>
      <c r="J515" s="221"/>
      <c r="K515" s="22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4.25" customHeight="1">
      <c r="A516" s="1"/>
      <c r="B516" s="218"/>
      <c r="C516" s="212"/>
      <c r="D516" s="212"/>
      <c r="E516" s="212"/>
      <c r="F516" s="212"/>
      <c r="G516" s="1"/>
      <c r="H516" s="221"/>
      <c r="I516" s="221"/>
      <c r="J516" s="221"/>
      <c r="K516" s="22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4.25" customHeight="1">
      <c r="A517" s="1"/>
      <c r="B517" s="218"/>
      <c r="C517" s="212"/>
      <c r="D517" s="212"/>
      <c r="E517" s="212"/>
      <c r="F517" s="212"/>
      <c r="G517" s="1"/>
      <c r="H517" s="221"/>
      <c r="I517" s="221"/>
      <c r="J517" s="221"/>
      <c r="K517" s="22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4.25" customHeight="1">
      <c r="A518" s="1"/>
      <c r="B518" s="218"/>
      <c r="C518" s="212"/>
      <c r="D518" s="212"/>
      <c r="E518" s="212"/>
      <c r="F518" s="212"/>
      <c r="G518" s="1"/>
      <c r="H518" s="221"/>
      <c r="I518" s="221"/>
      <c r="J518" s="221"/>
      <c r="K518" s="22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4.25" customHeight="1">
      <c r="A519" s="1"/>
      <c r="B519" s="218"/>
      <c r="C519" s="212"/>
      <c r="D519" s="212"/>
      <c r="E519" s="212"/>
      <c r="F519" s="212"/>
      <c r="G519" s="1"/>
      <c r="H519" s="221"/>
      <c r="I519" s="221"/>
      <c r="J519" s="221"/>
      <c r="K519" s="22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4.25" customHeight="1">
      <c r="A520" s="1"/>
      <c r="B520" s="218"/>
      <c r="C520" s="212"/>
      <c r="D520" s="212"/>
      <c r="E520" s="212"/>
      <c r="F520" s="212"/>
      <c r="G520" s="1"/>
      <c r="H520" s="221"/>
      <c r="I520" s="221"/>
      <c r="J520" s="221"/>
      <c r="K520" s="22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4.25" customHeight="1">
      <c r="A521" s="1"/>
      <c r="B521" s="218"/>
      <c r="C521" s="212"/>
      <c r="D521" s="212"/>
      <c r="E521" s="212"/>
      <c r="F521" s="212"/>
      <c r="G521" s="1"/>
      <c r="H521" s="221"/>
      <c r="I521" s="221"/>
      <c r="J521" s="221"/>
      <c r="K521" s="22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4.25" customHeight="1">
      <c r="A522" s="1"/>
      <c r="B522" s="218"/>
      <c r="C522" s="212"/>
      <c r="D522" s="212"/>
      <c r="E522" s="212"/>
      <c r="F522" s="212"/>
      <c r="G522" s="1"/>
      <c r="H522" s="221"/>
      <c r="I522" s="221"/>
      <c r="J522" s="221"/>
      <c r="K522" s="22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4.25" customHeight="1">
      <c r="A523" s="1"/>
      <c r="B523" s="218"/>
      <c r="C523" s="212"/>
      <c r="D523" s="212"/>
      <c r="E523" s="212"/>
      <c r="F523" s="212"/>
      <c r="G523" s="1"/>
      <c r="H523" s="221"/>
      <c r="I523" s="221"/>
      <c r="J523" s="221"/>
      <c r="K523" s="22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4.25" customHeight="1">
      <c r="A524" s="1"/>
      <c r="B524" s="218"/>
      <c r="C524" s="212"/>
      <c r="D524" s="212"/>
      <c r="E524" s="212"/>
      <c r="F524" s="212"/>
      <c r="G524" s="1"/>
      <c r="H524" s="221"/>
      <c r="I524" s="221"/>
      <c r="J524" s="221"/>
      <c r="K524" s="22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4.25" customHeight="1">
      <c r="A525" s="1"/>
      <c r="B525" s="218"/>
      <c r="C525" s="212"/>
      <c r="D525" s="212"/>
      <c r="E525" s="212"/>
      <c r="F525" s="212"/>
      <c r="G525" s="1"/>
      <c r="H525" s="221"/>
      <c r="I525" s="221"/>
      <c r="J525" s="221"/>
      <c r="K525" s="22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4.25" customHeight="1">
      <c r="A526" s="1"/>
      <c r="B526" s="218"/>
      <c r="C526" s="212"/>
      <c r="D526" s="212"/>
      <c r="E526" s="212"/>
      <c r="F526" s="212"/>
      <c r="G526" s="1"/>
      <c r="H526" s="221"/>
      <c r="I526" s="221"/>
      <c r="J526" s="221"/>
      <c r="K526" s="22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4.25" customHeight="1">
      <c r="A527" s="1"/>
      <c r="B527" s="218"/>
      <c r="C527" s="212"/>
      <c r="D527" s="212"/>
      <c r="E527" s="212"/>
      <c r="F527" s="212"/>
      <c r="G527" s="1"/>
      <c r="H527" s="221"/>
      <c r="I527" s="221"/>
      <c r="J527" s="221"/>
      <c r="K527" s="22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4.25" customHeight="1">
      <c r="A528" s="1"/>
      <c r="B528" s="218"/>
      <c r="C528" s="212"/>
      <c r="D528" s="212"/>
      <c r="E528" s="212"/>
      <c r="F528" s="212"/>
      <c r="G528" s="1"/>
      <c r="H528" s="221"/>
      <c r="I528" s="221"/>
      <c r="J528" s="221"/>
      <c r="K528" s="22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4.25" customHeight="1">
      <c r="A529" s="1"/>
      <c r="B529" s="218"/>
      <c r="C529" s="212"/>
      <c r="D529" s="212"/>
      <c r="E529" s="212"/>
      <c r="F529" s="212"/>
      <c r="G529" s="1"/>
      <c r="H529" s="221"/>
      <c r="I529" s="221"/>
      <c r="J529" s="221"/>
      <c r="K529" s="22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4.25" customHeight="1">
      <c r="A530" s="1"/>
      <c r="B530" s="218"/>
      <c r="C530" s="212"/>
      <c r="D530" s="212"/>
      <c r="E530" s="212"/>
      <c r="F530" s="212"/>
      <c r="G530" s="1"/>
      <c r="H530" s="221"/>
      <c r="I530" s="221"/>
      <c r="J530" s="221"/>
      <c r="K530" s="22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4.25" customHeight="1">
      <c r="A531" s="1"/>
      <c r="B531" s="218"/>
      <c r="C531" s="212"/>
      <c r="D531" s="212"/>
      <c r="E531" s="212"/>
      <c r="F531" s="212"/>
      <c r="G531" s="1"/>
      <c r="H531" s="221"/>
      <c r="I531" s="221"/>
      <c r="J531" s="221"/>
      <c r="K531" s="22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4.25" customHeight="1">
      <c r="A532" s="1"/>
      <c r="B532" s="218"/>
      <c r="C532" s="212"/>
      <c r="D532" s="212"/>
      <c r="E532" s="212"/>
      <c r="F532" s="212"/>
      <c r="G532" s="1"/>
      <c r="H532" s="221"/>
      <c r="I532" s="221"/>
      <c r="J532" s="221"/>
      <c r="K532" s="22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4.25" customHeight="1">
      <c r="A533" s="1"/>
      <c r="B533" s="218"/>
      <c r="C533" s="212"/>
      <c r="D533" s="212"/>
      <c r="E533" s="212"/>
      <c r="F533" s="212"/>
      <c r="G533" s="1"/>
      <c r="H533" s="221"/>
      <c r="I533" s="221"/>
      <c r="J533" s="221"/>
      <c r="K533" s="22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4.25" customHeight="1">
      <c r="A534" s="1"/>
      <c r="B534" s="218"/>
      <c r="C534" s="212"/>
      <c r="D534" s="212"/>
      <c r="E534" s="212"/>
      <c r="F534" s="212"/>
      <c r="G534" s="1"/>
      <c r="H534" s="221"/>
      <c r="I534" s="221"/>
      <c r="J534" s="221"/>
      <c r="K534" s="22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4.25" customHeight="1">
      <c r="A535" s="1"/>
      <c r="B535" s="218"/>
      <c r="C535" s="212"/>
      <c r="D535" s="212"/>
      <c r="E535" s="212"/>
      <c r="F535" s="212"/>
      <c r="G535" s="1"/>
      <c r="H535" s="221"/>
      <c r="I535" s="221"/>
      <c r="J535" s="221"/>
      <c r="K535" s="22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4.25" customHeight="1">
      <c r="A536" s="1"/>
      <c r="B536" s="218"/>
      <c r="C536" s="212"/>
      <c r="D536" s="212"/>
      <c r="E536" s="212"/>
      <c r="F536" s="212"/>
      <c r="G536" s="1"/>
      <c r="H536" s="221"/>
      <c r="I536" s="221"/>
      <c r="J536" s="221"/>
      <c r="K536" s="22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4.25" customHeight="1">
      <c r="A537" s="1"/>
      <c r="B537" s="218"/>
      <c r="C537" s="212"/>
      <c r="D537" s="212"/>
      <c r="E537" s="212"/>
      <c r="F537" s="212"/>
      <c r="G537" s="1"/>
      <c r="H537" s="221"/>
      <c r="I537" s="221"/>
      <c r="J537" s="221"/>
      <c r="K537" s="22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4.25" customHeight="1">
      <c r="A538" s="1"/>
      <c r="B538" s="218"/>
      <c r="C538" s="212"/>
      <c r="D538" s="212"/>
      <c r="E538" s="212"/>
      <c r="F538" s="212"/>
      <c r="G538" s="1"/>
      <c r="H538" s="221"/>
      <c r="I538" s="221"/>
      <c r="J538" s="221"/>
      <c r="K538" s="22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4.25" customHeight="1">
      <c r="A539" s="1"/>
      <c r="B539" s="218"/>
      <c r="C539" s="212"/>
      <c r="D539" s="212"/>
      <c r="E539" s="212"/>
      <c r="F539" s="212"/>
      <c r="G539" s="1"/>
      <c r="H539" s="221"/>
      <c r="I539" s="221"/>
      <c r="J539" s="221"/>
      <c r="K539" s="22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4.25" customHeight="1">
      <c r="A540" s="1"/>
      <c r="B540" s="218"/>
      <c r="C540" s="212"/>
      <c r="D540" s="212"/>
      <c r="E540" s="212"/>
      <c r="F540" s="212"/>
      <c r="G540" s="1"/>
      <c r="H540" s="221"/>
      <c r="I540" s="221"/>
      <c r="J540" s="221"/>
      <c r="K540" s="22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4.25" customHeight="1">
      <c r="A541" s="1"/>
      <c r="B541" s="218"/>
      <c r="C541" s="212"/>
      <c r="D541" s="212"/>
      <c r="E541" s="212"/>
      <c r="F541" s="212"/>
      <c r="G541" s="1"/>
      <c r="H541" s="221"/>
      <c r="I541" s="221"/>
      <c r="J541" s="221"/>
      <c r="K541" s="22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4.25" customHeight="1">
      <c r="A542" s="1"/>
      <c r="B542" s="218"/>
      <c r="C542" s="212"/>
      <c r="D542" s="212"/>
      <c r="E542" s="212"/>
      <c r="F542" s="212"/>
      <c r="G542" s="1"/>
      <c r="H542" s="221"/>
      <c r="I542" s="221"/>
      <c r="J542" s="221"/>
      <c r="K542" s="22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4.25" customHeight="1">
      <c r="A543" s="1"/>
      <c r="B543" s="218"/>
      <c r="C543" s="212"/>
      <c r="D543" s="212"/>
      <c r="E543" s="212"/>
      <c r="F543" s="212"/>
      <c r="G543" s="1"/>
      <c r="H543" s="221"/>
      <c r="I543" s="221"/>
      <c r="J543" s="221"/>
      <c r="K543" s="22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4.25" customHeight="1">
      <c r="A544" s="1"/>
      <c r="B544" s="218"/>
      <c r="C544" s="212"/>
      <c r="D544" s="212"/>
      <c r="E544" s="212"/>
      <c r="F544" s="212"/>
      <c r="G544" s="1"/>
      <c r="H544" s="221"/>
      <c r="I544" s="221"/>
      <c r="J544" s="221"/>
      <c r="K544" s="22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4.25" customHeight="1">
      <c r="A545" s="1"/>
      <c r="B545" s="218"/>
      <c r="C545" s="212"/>
      <c r="D545" s="212"/>
      <c r="E545" s="212"/>
      <c r="F545" s="212"/>
      <c r="G545" s="1"/>
      <c r="H545" s="221"/>
      <c r="I545" s="221"/>
      <c r="J545" s="221"/>
      <c r="K545" s="22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4.25" customHeight="1">
      <c r="A546" s="1"/>
      <c r="B546" s="218"/>
      <c r="C546" s="212"/>
      <c r="D546" s="212"/>
      <c r="E546" s="212"/>
      <c r="F546" s="212"/>
      <c r="G546" s="1"/>
      <c r="H546" s="221"/>
      <c r="I546" s="221"/>
      <c r="J546" s="221"/>
      <c r="K546" s="22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4.25" customHeight="1">
      <c r="A547" s="1"/>
      <c r="B547" s="218"/>
      <c r="C547" s="212"/>
      <c r="D547" s="212"/>
      <c r="E547" s="212"/>
      <c r="F547" s="212"/>
      <c r="G547" s="1"/>
      <c r="H547" s="221"/>
      <c r="I547" s="221"/>
      <c r="J547" s="221"/>
      <c r="K547" s="22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4.25" customHeight="1">
      <c r="A548" s="1"/>
      <c r="B548" s="218"/>
      <c r="C548" s="212"/>
      <c r="D548" s="212"/>
      <c r="E548" s="212"/>
      <c r="F548" s="212"/>
      <c r="G548" s="1"/>
      <c r="H548" s="221"/>
      <c r="I548" s="221"/>
      <c r="J548" s="221"/>
      <c r="K548" s="22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4.25" customHeight="1">
      <c r="A549" s="1"/>
      <c r="B549" s="218"/>
      <c r="C549" s="212"/>
      <c r="D549" s="212"/>
      <c r="E549" s="212"/>
      <c r="F549" s="212"/>
      <c r="G549" s="1"/>
      <c r="H549" s="221"/>
      <c r="I549" s="221"/>
      <c r="J549" s="221"/>
      <c r="K549" s="22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4.25" customHeight="1">
      <c r="A550" s="1"/>
      <c r="B550" s="218"/>
      <c r="C550" s="212"/>
      <c r="D550" s="212"/>
      <c r="E550" s="212"/>
      <c r="F550" s="212"/>
      <c r="G550" s="1"/>
      <c r="H550" s="221"/>
      <c r="I550" s="221"/>
      <c r="J550" s="221"/>
      <c r="K550" s="22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4.25" customHeight="1">
      <c r="A551" s="1"/>
      <c r="B551" s="218"/>
      <c r="C551" s="212"/>
      <c r="D551" s="212"/>
      <c r="E551" s="212"/>
      <c r="F551" s="212"/>
      <c r="G551" s="1"/>
      <c r="H551" s="221"/>
      <c r="I551" s="221"/>
      <c r="J551" s="221"/>
      <c r="K551" s="22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4.25" customHeight="1">
      <c r="A552" s="1"/>
      <c r="B552" s="218"/>
      <c r="C552" s="212"/>
      <c r="D552" s="212"/>
      <c r="E552" s="212"/>
      <c r="F552" s="212"/>
      <c r="G552" s="1"/>
      <c r="H552" s="221"/>
      <c r="I552" s="221"/>
      <c r="J552" s="221"/>
      <c r="K552" s="22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4.25" customHeight="1">
      <c r="A553" s="1"/>
      <c r="B553" s="218"/>
      <c r="C553" s="212"/>
      <c r="D553" s="212"/>
      <c r="E553" s="212"/>
      <c r="F553" s="212"/>
      <c r="G553" s="1"/>
      <c r="H553" s="221"/>
      <c r="I553" s="221"/>
      <c r="J553" s="221"/>
      <c r="K553" s="22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4.25" customHeight="1">
      <c r="A554" s="1"/>
      <c r="B554" s="218"/>
      <c r="C554" s="212"/>
      <c r="D554" s="212"/>
      <c r="E554" s="212"/>
      <c r="F554" s="212"/>
      <c r="G554" s="1"/>
      <c r="H554" s="221"/>
      <c r="I554" s="221"/>
      <c r="J554" s="221"/>
      <c r="K554" s="22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4.25" customHeight="1">
      <c r="A555" s="1"/>
      <c r="B555" s="218"/>
      <c r="C555" s="212"/>
      <c r="D555" s="212"/>
      <c r="E555" s="212"/>
      <c r="F555" s="212"/>
      <c r="G555" s="1"/>
      <c r="H555" s="221"/>
      <c r="I555" s="221"/>
      <c r="J555" s="221"/>
      <c r="K555" s="22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4.25" customHeight="1">
      <c r="A556" s="1"/>
      <c r="B556" s="218"/>
      <c r="C556" s="212"/>
      <c r="D556" s="212"/>
      <c r="E556" s="212"/>
      <c r="F556" s="212"/>
      <c r="G556" s="1"/>
      <c r="H556" s="221"/>
      <c r="I556" s="221"/>
      <c r="J556" s="221"/>
      <c r="K556" s="22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4.25" customHeight="1">
      <c r="A557" s="1"/>
      <c r="B557" s="218"/>
      <c r="C557" s="212"/>
      <c r="D557" s="212"/>
      <c r="E557" s="212"/>
      <c r="F557" s="212"/>
      <c r="G557" s="1"/>
      <c r="H557" s="221"/>
      <c r="I557" s="221"/>
      <c r="J557" s="221"/>
      <c r="K557" s="22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4.25" customHeight="1">
      <c r="A558" s="1"/>
      <c r="B558" s="218"/>
      <c r="C558" s="212"/>
      <c r="D558" s="212"/>
      <c r="E558" s="212"/>
      <c r="F558" s="212"/>
      <c r="G558" s="1"/>
      <c r="H558" s="221"/>
      <c r="I558" s="221"/>
      <c r="J558" s="221"/>
      <c r="K558" s="22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4.25" customHeight="1">
      <c r="A559" s="1"/>
      <c r="B559" s="218"/>
      <c r="C559" s="212"/>
      <c r="D559" s="212"/>
      <c r="E559" s="212"/>
      <c r="F559" s="212"/>
      <c r="G559" s="1"/>
      <c r="H559" s="221"/>
      <c r="I559" s="221"/>
      <c r="J559" s="221"/>
      <c r="K559" s="22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4.25" customHeight="1">
      <c r="A560" s="1"/>
      <c r="B560" s="218"/>
      <c r="C560" s="212"/>
      <c r="D560" s="212"/>
      <c r="E560" s="212"/>
      <c r="F560" s="212"/>
      <c r="G560" s="1"/>
      <c r="H560" s="221"/>
      <c r="I560" s="221"/>
      <c r="J560" s="221"/>
      <c r="K560" s="22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4.25" customHeight="1">
      <c r="A561" s="1"/>
      <c r="B561" s="218"/>
      <c r="C561" s="212"/>
      <c r="D561" s="212"/>
      <c r="E561" s="212"/>
      <c r="F561" s="212"/>
      <c r="G561" s="1"/>
      <c r="H561" s="221"/>
      <c r="I561" s="221"/>
      <c r="J561" s="221"/>
      <c r="K561" s="22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4.25" customHeight="1">
      <c r="A562" s="1"/>
      <c r="B562" s="218"/>
      <c r="C562" s="212"/>
      <c r="D562" s="212"/>
      <c r="E562" s="212"/>
      <c r="F562" s="212"/>
      <c r="G562" s="1"/>
      <c r="H562" s="221"/>
      <c r="I562" s="221"/>
      <c r="J562" s="221"/>
      <c r="K562" s="22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4.25" customHeight="1">
      <c r="A563" s="1"/>
      <c r="B563" s="218"/>
      <c r="C563" s="212"/>
      <c r="D563" s="212"/>
      <c r="E563" s="212"/>
      <c r="F563" s="212"/>
      <c r="G563" s="1"/>
      <c r="H563" s="221"/>
      <c r="I563" s="221"/>
      <c r="J563" s="221"/>
      <c r="K563" s="22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4.25" customHeight="1">
      <c r="A564" s="1"/>
      <c r="B564" s="218"/>
      <c r="C564" s="212"/>
      <c r="D564" s="212"/>
      <c r="E564" s="212"/>
      <c r="F564" s="212"/>
      <c r="G564" s="1"/>
      <c r="H564" s="221"/>
      <c r="I564" s="221"/>
      <c r="J564" s="221"/>
      <c r="K564" s="22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4.25" customHeight="1">
      <c r="A565" s="1"/>
      <c r="B565" s="218"/>
      <c r="C565" s="212"/>
      <c r="D565" s="212"/>
      <c r="E565" s="212"/>
      <c r="F565" s="212"/>
      <c r="G565" s="1"/>
      <c r="H565" s="221"/>
      <c r="I565" s="221"/>
      <c r="J565" s="221"/>
      <c r="K565" s="22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4.25" customHeight="1">
      <c r="A566" s="1"/>
      <c r="B566" s="218"/>
      <c r="C566" s="212"/>
      <c r="D566" s="212"/>
      <c r="E566" s="212"/>
      <c r="F566" s="212"/>
      <c r="G566" s="1"/>
      <c r="H566" s="221"/>
      <c r="I566" s="221"/>
      <c r="J566" s="221"/>
      <c r="K566" s="22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4.25" customHeight="1">
      <c r="A567" s="1"/>
      <c r="B567" s="218"/>
      <c r="C567" s="212"/>
      <c r="D567" s="212"/>
      <c r="E567" s="212"/>
      <c r="F567" s="212"/>
      <c r="G567" s="1"/>
      <c r="H567" s="221"/>
      <c r="I567" s="221"/>
      <c r="J567" s="221"/>
      <c r="K567" s="22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4.25" customHeight="1">
      <c r="A568" s="1"/>
      <c r="B568" s="218"/>
      <c r="C568" s="212"/>
      <c r="D568" s="212"/>
      <c r="E568" s="212"/>
      <c r="F568" s="212"/>
      <c r="G568" s="1"/>
      <c r="H568" s="221"/>
      <c r="I568" s="221"/>
      <c r="J568" s="221"/>
      <c r="K568" s="22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4.25" customHeight="1">
      <c r="A569" s="1"/>
      <c r="B569" s="218"/>
      <c r="C569" s="212"/>
      <c r="D569" s="212"/>
      <c r="E569" s="212"/>
      <c r="F569" s="212"/>
      <c r="G569" s="1"/>
      <c r="H569" s="221"/>
      <c r="I569" s="221"/>
      <c r="J569" s="221"/>
      <c r="K569" s="22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4.25" customHeight="1">
      <c r="A570" s="1"/>
      <c r="B570" s="218"/>
      <c r="C570" s="212"/>
      <c r="D570" s="212"/>
      <c r="E570" s="212"/>
      <c r="F570" s="212"/>
      <c r="G570" s="1"/>
      <c r="H570" s="221"/>
      <c r="I570" s="221"/>
      <c r="J570" s="221"/>
      <c r="K570" s="22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4.25" customHeight="1">
      <c r="A571" s="1"/>
      <c r="B571" s="218"/>
      <c r="C571" s="212"/>
      <c r="D571" s="212"/>
      <c r="E571" s="212"/>
      <c r="F571" s="212"/>
      <c r="G571" s="1"/>
      <c r="H571" s="221"/>
      <c r="I571" s="221"/>
      <c r="J571" s="221"/>
      <c r="K571" s="22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4.25" customHeight="1">
      <c r="A572" s="1"/>
      <c r="B572" s="218"/>
      <c r="C572" s="212"/>
      <c r="D572" s="212"/>
      <c r="E572" s="212"/>
      <c r="F572" s="212"/>
      <c r="G572" s="1"/>
      <c r="H572" s="221"/>
      <c r="I572" s="221"/>
      <c r="J572" s="221"/>
      <c r="K572" s="22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4.25" customHeight="1">
      <c r="A573" s="1"/>
      <c r="B573" s="218"/>
      <c r="C573" s="212"/>
      <c r="D573" s="212"/>
      <c r="E573" s="212"/>
      <c r="F573" s="212"/>
      <c r="G573" s="1"/>
      <c r="H573" s="221"/>
      <c r="I573" s="221"/>
      <c r="J573" s="221"/>
      <c r="K573" s="22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4.25" customHeight="1">
      <c r="A574" s="1"/>
      <c r="B574" s="218"/>
      <c r="C574" s="212"/>
      <c r="D574" s="212"/>
      <c r="E574" s="212"/>
      <c r="F574" s="212"/>
      <c r="G574" s="1"/>
      <c r="H574" s="221"/>
      <c r="I574" s="221"/>
      <c r="J574" s="221"/>
      <c r="K574" s="22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4.25" customHeight="1">
      <c r="A575" s="1"/>
      <c r="B575" s="218"/>
      <c r="C575" s="212"/>
      <c r="D575" s="212"/>
      <c r="E575" s="212"/>
      <c r="F575" s="212"/>
      <c r="G575" s="1"/>
      <c r="H575" s="221"/>
      <c r="I575" s="221"/>
      <c r="J575" s="221"/>
      <c r="K575" s="22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4.25" customHeight="1">
      <c r="A576" s="1"/>
      <c r="B576" s="218"/>
      <c r="C576" s="212"/>
      <c r="D576" s="212"/>
      <c r="E576" s="212"/>
      <c r="F576" s="212"/>
      <c r="G576" s="1"/>
      <c r="H576" s="221"/>
      <c r="I576" s="221"/>
      <c r="J576" s="221"/>
      <c r="K576" s="22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4.25" customHeight="1">
      <c r="A577" s="1"/>
      <c r="B577" s="218"/>
      <c r="C577" s="212"/>
      <c r="D577" s="212"/>
      <c r="E577" s="212"/>
      <c r="F577" s="212"/>
      <c r="G577" s="1"/>
      <c r="H577" s="221"/>
      <c r="I577" s="221"/>
      <c r="J577" s="221"/>
      <c r="K577" s="22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4.25" customHeight="1">
      <c r="A578" s="1"/>
      <c r="B578" s="218"/>
      <c r="C578" s="212"/>
      <c r="D578" s="212"/>
      <c r="E578" s="212"/>
      <c r="F578" s="212"/>
      <c r="G578" s="1"/>
      <c r="H578" s="221"/>
      <c r="I578" s="221"/>
      <c r="J578" s="221"/>
      <c r="K578" s="22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4.25" customHeight="1">
      <c r="A579" s="1"/>
      <c r="B579" s="218"/>
      <c r="C579" s="212"/>
      <c r="D579" s="212"/>
      <c r="E579" s="212"/>
      <c r="F579" s="212"/>
      <c r="G579" s="1"/>
      <c r="H579" s="221"/>
      <c r="I579" s="221"/>
      <c r="J579" s="221"/>
      <c r="K579" s="22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4.25" customHeight="1">
      <c r="A580" s="1"/>
      <c r="B580" s="218"/>
      <c r="C580" s="212"/>
      <c r="D580" s="212"/>
      <c r="E580" s="212"/>
      <c r="F580" s="212"/>
      <c r="G580" s="1"/>
      <c r="H580" s="221"/>
      <c r="I580" s="221"/>
      <c r="J580" s="221"/>
      <c r="K580" s="22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4.25" customHeight="1">
      <c r="A581" s="1"/>
      <c r="B581" s="218"/>
      <c r="C581" s="212"/>
      <c r="D581" s="212"/>
      <c r="E581" s="212"/>
      <c r="F581" s="212"/>
      <c r="G581" s="1"/>
      <c r="H581" s="221"/>
      <c r="I581" s="221"/>
      <c r="J581" s="221"/>
      <c r="K581" s="22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4.25" customHeight="1">
      <c r="A582" s="1"/>
      <c r="B582" s="218"/>
      <c r="C582" s="212"/>
      <c r="D582" s="212"/>
      <c r="E582" s="212"/>
      <c r="F582" s="212"/>
      <c r="G582" s="1"/>
      <c r="H582" s="221"/>
      <c r="I582" s="221"/>
      <c r="J582" s="221"/>
      <c r="K582" s="22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4.25" customHeight="1">
      <c r="A583" s="1"/>
      <c r="B583" s="218"/>
      <c r="C583" s="212"/>
      <c r="D583" s="212"/>
      <c r="E583" s="212"/>
      <c r="F583" s="212"/>
      <c r="G583" s="1"/>
      <c r="H583" s="221"/>
      <c r="I583" s="221"/>
      <c r="J583" s="221"/>
      <c r="K583" s="22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4.25" customHeight="1">
      <c r="A584" s="1"/>
      <c r="B584" s="218"/>
      <c r="C584" s="212"/>
      <c r="D584" s="212"/>
      <c r="E584" s="212"/>
      <c r="F584" s="212"/>
      <c r="G584" s="1"/>
      <c r="H584" s="221"/>
      <c r="I584" s="221"/>
      <c r="J584" s="221"/>
      <c r="K584" s="22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4.25" customHeight="1">
      <c r="A585" s="1"/>
      <c r="B585" s="218"/>
      <c r="C585" s="212"/>
      <c r="D585" s="212"/>
      <c r="E585" s="212"/>
      <c r="F585" s="212"/>
      <c r="G585" s="1"/>
      <c r="H585" s="221"/>
      <c r="I585" s="221"/>
      <c r="J585" s="221"/>
      <c r="K585" s="22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4.25" customHeight="1">
      <c r="A586" s="1"/>
      <c r="B586" s="218"/>
      <c r="C586" s="212"/>
      <c r="D586" s="212"/>
      <c r="E586" s="212"/>
      <c r="F586" s="212"/>
      <c r="G586" s="1"/>
      <c r="H586" s="221"/>
      <c r="I586" s="221"/>
      <c r="J586" s="221"/>
      <c r="K586" s="22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4.25" customHeight="1">
      <c r="A587" s="1"/>
      <c r="B587" s="218"/>
      <c r="C587" s="212"/>
      <c r="D587" s="212"/>
      <c r="E587" s="212"/>
      <c r="F587" s="212"/>
      <c r="G587" s="1"/>
      <c r="H587" s="221"/>
      <c r="I587" s="221"/>
      <c r="J587" s="221"/>
      <c r="K587" s="22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4.25" customHeight="1">
      <c r="A588" s="1"/>
      <c r="B588" s="218"/>
      <c r="C588" s="212"/>
      <c r="D588" s="212"/>
      <c r="E588" s="212"/>
      <c r="F588" s="212"/>
      <c r="G588" s="1"/>
      <c r="H588" s="221"/>
      <c r="I588" s="221"/>
      <c r="J588" s="221"/>
      <c r="K588" s="22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4.25" customHeight="1">
      <c r="A589" s="1"/>
      <c r="B589" s="218"/>
      <c r="C589" s="212"/>
      <c r="D589" s="212"/>
      <c r="E589" s="212"/>
      <c r="F589" s="212"/>
      <c r="G589" s="1"/>
      <c r="H589" s="221"/>
      <c r="I589" s="221"/>
      <c r="J589" s="221"/>
      <c r="K589" s="22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4.25" customHeight="1">
      <c r="A590" s="1"/>
      <c r="B590" s="218"/>
      <c r="C590" s="212"/>
      <c r="D590" s="212"/>
      <c r="E590" s="212"/>
      <c r="F590" s="212"/>
      <c r="G590" s="1"/>
      <c r="H590" s="221"/>
      <c r="I590" s="221"/>
      <c r="J590" s="221"/>
      <c r="K590" s="22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4.25" customHeight="1">
      <c r="A591" s="1"/>
      <c r="B591" s="218"/>
      <c r="C591" s="212"/>
      <c r="D591" s="212"/>
      <c r="E591" s="212"/>
      <c r="F591" s="212"/>
      <c r="G591" s="1"/>
      <c r="H591" s="221"/>
      <c r="I591" s="221"/>
      <c r="J591" s="221"/>
      <c r="K591" s="22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4.25" customHeight="1">
      <c r="A592" s="1"/>
      <c r="B592" s="218"/>
      <c r="C592" s="212"/>
      <c r="D592" s="212"/>
      <c r="E592" s="212"/>
      <c r="F592" s="212"/>
      <c r="G592" s="1"/>
      <c r="H592" s="221"/>
      <c r="I592" s="221"/>
      <c r="J592" s="221"/>
      <c r="K592" s="22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4.25" customHeight="1">
      <c r="A593" s="1"/>
      <c r="B593" s="218"/>
      <c r="C593" s="212"/>
      <c r="D593" s="212"/>
      <c r="E593" s="212"/>
      <c r="F593" s="212"/>
      <c r="G593" s="1"/>
      <c r="H593" s="221"/>
      <c r="I593" s="221"/>
      <c r="J593" s="221"/>
      <c r="K593" s="22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4.25" customHeight="1">
      <c r="A594" s="1"/>
      <c r="B594" s="218"/>
      <c r="C594" s="212"/>
      <c r="D594" s="212"/>
      <c r="E594" s="212"/>
      <c r="F594" s="212"/>
      <c r="G594" s="1"/>
      <c r="H594" s="221"/>
      <c r="I594" s="221"/>
      <c r="J594" s="221"/>
      <c r="K594" s="22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4.25" customHeight="1">
      <c r="A595" s="1"/>
      <c r="B595" s="218"/>
      <c r="C595" s="212"/>
      <c r="D595" s="212"/>
      <c r="E595" s="212"/>
      <c r="F595" s="212"/>
      <c r="G595" s="1"/>
      <c r="H595" s="221"/>
      <c r="I595" s="221"/>
      <c r="J595" s="221"/>
      <c r="K595" s="22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4.25" customHeight="1">
      <c r="A596" s="1"/>
      <c r="B596" s="218"/>
      <c r="C596" s="212"/>
      <c r="D596" s="212"/>
      <c r="E596" s="212"/>
      <c r="F596" s="212"/>
      <c r="G596" s="1"/>
      <c r="H596" s="221"/>
      <c r="I596" s="221"/>
      <c r="J596" s="221"/>
      <c r="K596" s="22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4.25" customHeight="1">
      <c r="A597" s="1"/>
      <c r="B597" s="218"/>
      <c r="C597" s="212"/>
      <c r="D597" s="212"/>
      <c r="E597" s="212"/>
      <c r="F597" s="212"/>
      <c r="G597" s="1"/>
      <c r="H597" s="221"/>
      <c r="I597" s="221"/>
      <c r="J597" s="221"/>
      <c r="K597" s="22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4.25" customHeight="1">
      <c r="A598" s="1"/>
      <c r="B598" s="218"/>
      <c r="C598" s="212"/>
      <c r="D598" s="212"/>
      <c r="E598" s="212"/>
      <c r="F598" s="212"/>
      <c r="G598" s="1"/>
      <c r="H598" s="221"/>
      <c r="I598" s="221"/>
      <c r="J598" s="221"/>
      <c r="K598" s="22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4.25" customHeight="1">
      <c r="A599" s="1"/>
      <c r="B599" s="218"/>
      <c r="C599" s="212"/>
      <c r="D599" s="212"/>
      <c r="E599" s="212"/>
      <c r="F599" s="212"/>
      <c r="G599" s="1"/>
      <c r="H599" s="221"/>
      <c r="I599" s="221"/>
      <c r="J599" s="221"/>
      <c r="K599" s="22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4.25" customHeight="1">
      <c r="A600" s="1"/>
      <c r="B600" s="218"/>
      <c r="C600" s="212"/>
      <c r="D600" s="212"/>
      <c r="E600" s="212"/>
      <c r="F600" s="212"/>
      <c r="G600" s="1"/>
      <c r="H600" s="221"/>
      <c r="I600" s="221"/>
      <c r="J600" s="221"/>
      <c r="K600" s="22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4.25" customHeight="1">
      <c r="A601" s="1"/>
      <c r="B601" s="218"/>
      <c r="C601" s="212"/>
      <c r="D601" s="212"/>
      <c r="E601" s="212"/>
      <c r="F601" s="212"/>
      <c r="G601" s="1"/>
      <c r="H601" s="221"/>
      <c r="I601" s="221"/>
      <c r="J601" s="221"/>
      <c r="K601" s="22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4.25" customHeight="1">
      <c r="A602" s="1"/>
      <c r="B602" s="218"/>
      <c r="C602" s="212"/>
      <c r="D602" s="212"/>
      <c r="E602" s="212"/>
      <c r="F602" s="212"/>
      <c r="G602" s="1"/>
      <c r="H602" s="221"/>
      <c r="I602" s="221"/>
      <c r="J602" s="221"/>
      <c r="K602" s="22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4.25" customHeight="1">
      <c r="A603" s="1"/>
      <c r="B603" s="218"/>
      <c r="C603" s="212"/>
      <c r="D603" s="212"/>
      <c r="E603" s="212"/>
      <c r="F603" s="212"/>
      <c r="G603" s="1"/>
      <c r="H603" s="221"/>
      <c r="I603" s="221"/>
      <c r="J603" s="221"/>
      <c r="K603" s="22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4.25" customHeight="1">
      <c r="A604" s="1"/>
      <c r="B604" s="218"/>
      <c r="C604" s="212"/>
      <c r="D604" s="212"/>
      <c r="E604" s="212"/>
      <c r="F604" s="212"/>
      <c r="G604" s="1"/>
      <c r="H604" s="221"/>
      <c r="I604" s="221"/>
      <c r="J604" s="221"/>
      <c r="K604" s="22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4.25" customHeight="1">
      <c r="A605" s="1"/>
      <c r="B605" s="218"/>
      <c r="C605" s="212"/>
      <c r="D605" s="212"/>
      <c r="E605" s="212"/>
      <c r="F605" s="212"/>
      <c r="G605" s="1"/>
      <c r="H605" s="221"/>
      <c r="I605" s="221"/>
      <c r="J605" s="221"/>
      <c r="K605" s="22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4.25" customHeight="1">
      <c r="A606" s="1"/>
      <c r="B606" s="218"/>
      <c r="C606" s="212"/>
      <c r="D606" s="212"/>
      <c r="E606" s="212"/>
      <c r="F606" s="212"/>
      <c r="G606" s="1"/>
      <c r="H606" s="221"/>
      <c r="I606" s="221"/>
      <c r="J606" s="221"/>
      <c r="K606" s="22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4.25" customHeight="1">
      <c r="A607" s="1"/>
      <c r="B607" s="218"/>
      <c r="C607" s="212"/>
      <c r="D607" s="212"/>
      <c r="E607" s="212"/>
      <c r="F607" s="212"/>
      <c r="G607" s="1"/>
      <c r="H607" s="221"/>
      <c r="I607" s="221"/>
      <c r="J607" s="221"/>
      <c r="K607" s="22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4.25" customHeight="1">
      <c r="A608" s="1"/>
      <c r="B608" s="218"/>
      <c r="C608" s="212"/>
      <c r="D608" s="212"/>
      <c r="E608" s="212"/>
      <c r="F608" s="212"/>
      <c r="G608" s="1"/>
      <c r="H608" s="221"/>
      <c r="I608" s="221"/>
      <c r="J608" s="221"/>
      <c r="K608" s="22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4.25" customHeight="1">
      <c r="A609" s="1"/>
      <c r="B609" s="218"/>
      <c r="C609" s="212"/>
      <c r="D609" s="212"/>
      <c r="E609" s="212"/>
      <c r="F609" s="212"/>
      <c r="G609" s="1"/>
      <c r="H609" s="221"/>
      <c r="I609" s="221"/>
      <c r="J609" s="221"/>
      <c r="K609" s="22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4.25" customHeight="1">
      <c r="A610" s="1"/>
      <c r="B610" s="218"/>
      <c r="C610" s="212"/>
      <c r="D610" s="212"/>
      <c r="E610" s="212"/>
      <c r="F610" s="212"/>
      <c r="G610" s="1"/>
      <c r="H610" s="221"/>
      <c r="I610" s="221"/>
      <c r="J610" s="221"/>
      <c r="K610" s="22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4.25" customHeight="1">
      <c r="A611" s="1"/>
      <c r="B611" s="218"/>
      <c r="C611" s="212"/>
      <c r="D611" s="212"/>
      <c r="E611" s="212"/>
      <c r="F611" s="212"/>
      <c r="G611" s="1"/>
      <c r="H611" s="221"/>
      <c r="I611" s="221"/>
      <c r="J611" s="221"/>
      <c r="K611" s="22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4.25" customHeight="1">
      <c r="A612" s="1"/>
      <c r="B612" s="218"/>
      <c r="C612" s="212"/>
      <c r="D612" s="212"/>
      <c r="E612" s="212"/>
      <c r="F612" s="212"/>
      <c r="G612" s="1"/>
      <c r="H612" s="221"/>
      <c r="I612" s="221"/>
      <c r="J612" s="221"/>
      <c r="K612" s="22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4.25" customHeight="1">
      <c r="A613" s="1"/>
      <c r="B613" s="218"/>
      <c r="C613" s="212"/>
      <c r="D613" s="212"/>
      <c r="E613" s="212"/>
      <c r="F613" s="212"/>
      <c r="G613" s="1"/>
      <c r="H613" s="221"/>
      <c r="I613" s="221"/>
      <c r="J613" s="221"/>
      <c r="K613" s="22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4.25" customHeight="1">
      <c r="A614" s="1"/>
      <c r="B614" s="218"/>
      <c r="C614" s="212"/>
      <c r="D614" s="212"/>
      <c r="E614" s="212"/>
      <c r="F614" s="212"/>
      <c r="G614" s="1"/>
      <c r="H614" s="221"/>
      <c r="I614" s="221"/>
      <c r="J614" s="221"/>
      <c r="K614" s="22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4.25" customHeight="1">
      <c r="A615" s="1"/>
      <c r="B615" s="218"/>
      <c r="C615" s="212"/>
      <c r="D615" s="212"/>
      <c r="E615" s="212"/>
      <c r="F615" s="212"/>
      <c r="G615" s="1"/>
      <c r="H615" s="221"/>
      <c r="I615" s="221"/>
      <c r="J615" s="221"/>
      <c r="K615" s="22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4.25" customHeight="1">
      <c r="A616" s="1"/>
      <c r="B616" s="218"/>
      <c r="C616" s="212"/>
      <c r="D616" s="212"/>
      <c r="E616" s="212"/>
      <c r="F616" s="212"/>
      <c r="G616" s="1"/>
      <c r="H616" s="221"/>
      <c r="I616" s="221"/>
      <c r="J616" s="221"/>
      <c r="K616" s="22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4.25" customHeight="1">
      <c r="A617" s="1"/>
      <c r="B617" s="218"/>
      <c r="C617" s="212"/>
      <c r="D617" s="212"/>
      <c r="E617" s="212"/>
      <c r="F617" s="212"/>
      <c r="G617" s="1"/>
      <c r="H617" s="221"/>
      <c r="I617" s="221"/>
      <c r="J617" s="221"/>
      <c r="K617" s="22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4.25" customHeight="1">
      <c r="A618" s="1"/>
      <c r="B618" s="218"/>
      <c r="C618" s="212"/>
      <c r="D618" s="212"/>
      <c r="E618" s="212"/>
      <c r="F618" s="212"/>
      <c r="G618" s="1"/>
      <c r="H618" s="221"/>
      <c r="I618" s="221"/>
      <c r="J618" s="221"/>
      <c r="K618" s="22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4.25" customHeight="1">
      <c r="A619" s="1"/>
      <c r="B619" s="218"/>
      <c r="C619" s="212"/>
      <c r="D619" s="212"/>
      <c r="E619" s="212"/>
      <c r="F619" s="212"/>
      <c r="G619" s="1"/>
      <c r="H619" s="221"/>
      <c r="I619" s="221"/>
      <c r="J619" s="221"/>
      <c r="K619" s="22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4.25" customHeight="1">
      <c r="A620" s="1"/>
      <c r="B620" s="218"/>
      <c r="C620" s="212"/>
      <c r="D620" s="212"/>
      <c r="E620" s="212"/>
      <c r="F620" s="212"/>
      <c r="G620" s="1"/>
      <c r="H620" s="221"/>
      <c r="I620" s="221"/>
      <c r="J620" s="221"/>
      <c r="K620" s="22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4.25" customHeight="1">
      <c r="A621" s="1"/>
      <c r="B621" s="218"/>
      <c r="C621" s="212"/>
      <c r="D621" s="212"/>
      <c r="E621" s="212"/>
      <c r="F621" s="212"/>
      <c r="G621" s="1"/>
      <c r="H621" s="221"/>
      <c r="I621" s="221"/>
      <c r="J621" s="221"/>
      <c r="K621" s="22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4.25" customHeight="1">
      <c r="A622" s="1"/>
      <c r="B622" s="218"/>
      <c r="C622" s="212"/>
      <c r="D622" s="212"/>
      <c r="E622" s="212"/>
      <c r="F622" s="212"/>
      <c r="G622" s="1"/>
      <c r="H622" s="221"/>
      <c r="I622" s="221"/>
      <c r="J622" s="221"/>
      <c r="K622" s="22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4.25" customHeight="1">
      <c r="A623" s="1"/>
      <c r="B623" s="218"/>
      <c r="C623" s="212"/>
      <c r="D623" s="212"/>
      <c r="E623" s="212"/>
      <c r="F623" s="212"/>
      <c r="G623" s="1"/>
      <c r="H623" s="221"/>
      <c r="I623" s="221"/>
      <c r="J623" s="221"/>
      <c r="K623" s="22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4.25" customHeight="1">
      <c r="A624" s="1"/>
      <c r="B624" s="218"/>
      <c r="C624" s="212"/>
      <c r="D624" s="212"/>
      <c r="E624" s="212"/>
      <c r="F624" s="212"/>
      <c r="G624" s="1"/>
      <c r="H624" s="221"/>
      <c r="I624" s="221"/>
      <c r="J624" s="221"/>
      <c r="K624" s="22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4.25" customHeight="1">
      <c r="A625" s="1"/>
      <c r="B625" s="218"/>
      <c r="C625" s="212"/>
      <c r="D625" s="212"/>
      <c r="E625" s="212"/>
      <c r="F625" s="212"/>
      <c r="G625" s="1"/>
      <c r="H625" s="221"/>
      <c r="I625" s="221"/>
      <c r="J625" s="221"/>
      <c r="K625" s="22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4.25" customHeight="1">
      <c r="A626" s="1"/>
      <c r="B626" s="218"/>
      <c r="C626" s="212"/>
      <c r="D626" s="212"/>
      <c r="E626" s="212"/>
      <c r="F626" s="212"/>
      <c r="G626" s="1"/>
      <c r="H626" s="221"/>
      <c r="I626" s="221"/>
      <c r="J626" s="221"/>
      <c r="K626" s="22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4.25" customHeight="1">
      <c r="A627" s="1"/>
      <c r="B627" s="218"/>
      <c r="C627" s="212"/>
      <c r="D627" s="212"/>
      <c r="E627" s="212"/>
      <c r="F627" s="212"/>
      <c r="G627" s="1"/>
      <c r="H627" s="221"/>
      <c r="I627" s="221"/>
      <c r="J627" s="221"/>
      <c r="K627" s="22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4.25" customHeight="1">
      <c r="A628" s="1"/>
      <c r="B628" s="218"/>
      <c r="C628" s="212"/>
      <c r="D628" s="212"/>
      <c r="E628" s="212"/>
      <c r="F628" s="212"/>
      <c r="G628" s="1"/>
      <c r="H628" s="221"/>
      <c r="I628" s="221"/>
      <c r="J628" s="221"/>
      <c r="K628" s="22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4.25" customHeight="1">
      <c r="A629" s="1"/>
      <c r="B629" s="218"/>
      <c r="C629" s="212"/>
      <c r="D629" s="212"/>
      <c r="E629" s="212"/>
      <c r="F629" s="212"/>
      <c r="G629" s="1"/>
      <c r="H629" s="221"/>
      <c r="I629" s="221"/>
      <c r="J629" s="221"/>
      <c r="K629" s="22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4.25" customHeight="1">
      <c r="A630" s="1"/>
      <c r="B630" s="218"/>
      <c r="C630" s="212"/>
      <c r="D630" s="212"/>
      <c r="E630" s="212"/>
      <c r="F630" s="212"/>
      <c r="G630" s="1"/>
      <c r="H630" s="221"/>
      <c r="I630" s="221"/>
      <c r="J630" s="221"/>
      <c r="K630" s="22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4.25" customHeight="1">
      <c r="A631" s="1"/>
      <c r="B631" s="218"/>
      <c r="C631" s="212"/>
      <c r="D631" s="212"/>
      <c r="E631" s="212"/>
      <c r="F631" s="212"/>
      <c r="G631" s="1"/>
      <c r="H631" s="221"/>
      <c r="I631" s="221"/>
      <c r="J631" s="221"/>
      <c r="K631" s="22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4.25" customHeight="1">
      <c r="A632" s="1"/>
      <c r="B632" s="218"/>
      <c r="C632" s="212"/>
      <c r="D632" s="212"/>
      <c r="E632" s="212"/>
      <c r="F632" s="212"/>
      <c r="G632" s="1"/>
      <c r="H632" s="221"/>
      <c r="I632" s="221"/>
      <c r="J632" s="221"/>
      <c r="K632" s="22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4.25" customHeight="1">
      <c r="A633" s="1"/>
      <c r="B633" s="218"/>
      <c r="C633" s="212"/>
      <c r="D633" s="212"/>
      <c r="E633" s="212"/>
      <c r="F633" s="212"/>
      <c r="G633" s="1"/>
      <c r="H633" s="221"/>
      <c r="I633" s="221"/>
      <c r="J633" s="221"/>
      <c r="K633" s="22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4.25" customHeight="1">
      <c r="A634" s="1"/>
      <c r="B634" s="218"/>
      <c r="C634" s="212"/>
      <c r="D634" s="212"/>
      <c r="E634" s="212"/>
      <c r="F634" s="212"/>
      <c r="G634" s="1"/>
      <c r="H634" s="221"/>
      <c r="I634" s="221"/>
      <c r="J634" s="221"/>
      <c r="K634" s="22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4.25" customHeight="1">
      <c r="A635" s="1"/>
      <c r="B635" s="218"/>
      <c r="C635" s="212"/>
      <c r="D635" s="212"/>
      <c r="E635" s="212"/>
      <c r="F635" s="212"/>
      <c r="G635" s="1"/>
      <c r="H635" s="221"/>
      <c r="I635" s="221"/>
      <c r="J635" s="221"/>
      <c r="K635" s="22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4.25" customHeight="1">
      <c r="A636" s="1"/>
      <c r="B636" s="218"/>
      <c r="C636" s="212"/>
      <c r="D636" s="212"/>
      <c r="E636" s="212"/>
      <c r="F636" s="212"/>
      <c r="G636" s="1"/>
      <c r="H636" s="221"/>
      <c r="I636" s="221"/>
      <c r="J636" s="221"/>
      <c r="K636" s="22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4.25" customHeight="1">
      <c r="A637" s="1"/>
      <c r="B637" s="218"/>
      <c r="C637" s="212"/>
      <c r="D637" s="212"/>
      <c r="E637" s="212"/>
      <c r="F637" s="212"/>
      <c r="G637" s="1"/>
      <c r="H637" s="221"/>
      <c r="I637" s="221"/>
      <c r="J637" s="221"/>
      <c r="K637" s="22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4.25" customHeight="1">
      <c r="A638" s="1"/>
      <c r="B638" s="218"/>
      <c r="C638" s="212"/>
      <c r="D638" s="212"/>
      <c r="E638" s="212"/>
      <c r="F638" s="212"/>
      <c r="G638" s="1"/>
      <c r="H638" s="221"/>
      <c r="I638" s="221"/>
      <c r="J638" s="221"/>
      <c r="K638" s="22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4.25" customHeight="1">
      <c r="A639" s="1"/>
      <c r="B639" s="218"/>
      <c r="C639" s="212"/>
      <c r="D639" s="212"/>
      <c r="E639" s="212"/>
      <c r="F639" s="212"/>
      <c r="G639" s="1"/>
      <c r="H639" s="221"/>
      <c r="I639" s="221"/>
      <c r="J639" s="221"/>
      <c r="K639" s="22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4.25" customHeight="1">
      <c r="A640" s="1"/>
      <c r="B640" s="218"/>
      <c r="C640" s="212"/>
      <c r="D640" s="212"/>
      <c r="E640" s="212"/>
      <c r="F640" s="212"/>
      <c r="G640" s="1"/>
      <c r="H640" s="221"/>
      <c r="I640" s="221"/>
      <c r="J640" s="221"/>
      <c r="K640" s="22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4.25" customHeight="1">
      <c r="A641" s="1"/>
      <c r="B641" s="218"/>
      <c r="C641" s="212"/>
      <c r="D641" s="212"/>
      <c r="E641" s="212"/>
      <c r="F641" s="212"/>
      <c r="G641" s="1"/>
      <c r="H641" s="221"/>
      <c r="I641" s="221"/>
      <c r="J641" s="221"/>
      <c r="K641" s="22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4.25" customHeight="1">
      <c r="A642" s="1"/>
      <c r="B642" s="218"/>
      <c r="C642" s="212"/>
      <c r="D642" s="212"/>
      <c r="E642" s="212"/>
      <c r="F642" s="212"/>
      <c r="G642" s="1"/>
      <c r="H642" s="221"/>
      <c r="I642" s="221"/>
      <c r="J642" s="221"/>
      <c r="K642" s="22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4.25" customHeight="1">
      <c r="A643" s="1"/>
      <c r="B643" s="218"/>
      <c r="C643" s="212"/>
      <c r="D643" s="212"/>
      <c r="E643" s="212"/>
      <c r="F643" s="212"/>
      <c r="G643" s="1"/>
      <c r="H643" s="221"/>
      <c r="I643" s="221"/>
      <c r="J643" s="221"/>
      <c r="K643" s="22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4.25" customHeight="1">
      <c r="A644" s="1"/>
      <c r="B644" s="218"/>
      <c r="C644" s="212"/>
      <c r="D644" s="212"/>
      <c r="E644" s="212"/>
      <c r="F644" s="212"/>
      <c r="G644" s="1"/>
      <c r="H644" s="221"/>
      <c r="I644" s="221"/>
      <c r="J644" s="221"/>
      <c r="K644" s="22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4.25" customHeight="1">
      <c r="A645" s="1"/>
      <c r="B645" s="218"/>
      <c r="C645" s="212"/>
      <c r="D645" s="212"/>
      <c r="E645" s="212"/>
      <c r="F645" s="212"/>
      <c r="G645" s="1"/>
      <c r="H645" s="221"/>
      <c r="I645" s="221"/>
      <c r="J645" s="221"/>
      <c r="K645" s="22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4.25" customHeight="1">
      <c r="A646" s="1"/>
      <c r="B646" s="218"/>
      <c r="C646" s="212"/>
      <c r="D646" s="212"/>
      <c r="E646" s="212"/>
      <c r="F646" s="212"/>
      <c r="G646" s="1"/>
      <c r="H646" s="221"/>
      <c r="I646" s="221"/>
      <c r="J646" s="221"/>
      <c r="K646" s="22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4.25" customHeight="1">
      <c r="A647" s="1"/>
      <c r="B647" s="218"/>
      <c r="C647" s="212"/>
      <c r="D647" s="212"/>
      <c r="E647" s="212"/>
      <c r="F647" s="212"/>
      <c r="G647" s="1"/>
      <c r="H647" s="221"/>
      <c r="I647" s="221"/>
      <c r="J647" s="221"/>
      <c r="K647" s="22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4.25" customHeight="1">
      <c r="A648" s="1"/>
      <c r="B648" s="218"/>
      <c r="C648" s="212"/>
      <c r="D648" s="212"/>
      <c r="E648" s="212"/>
      <c r="F648" s="212"/>
      <c r="G648" s="1"/>
      <c r="H648" s="221"/>
      <c r="I648" s="221"/>
      <c r="J648" s="221"/>
      <c r="K648" s="22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4.25" customHeight="1">
      <c r="A649" s="1"/>
      <c r="B649" s="218"/>
      <c r="C649" s="212"/>
      <c r="D649" s="212"/>
      <c r="E649" s="212"/>
      <c r="F649" s="212"/>
      <c r="G649" s="1"/>
      <c r="H649" s="221"/>
      <c r="I649" s="221"/>
      <c r="J649" s="221"/>
      <c r="K649" s="22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4.25" customHeight="1">
      <c r="A650" s="1"/>
      <c r="B650" s="218"/>
      <c r="C650" s="212"/>
      <c r="D650" s="212"/>
      <c r="E650" s="212"/>
      <c r="F650" s="212"/>
      <c r="G650" s="1"/>
      <c r="H650" s="221"/>
      <c r="I650" s="221"/>
      <c r="J650" s="221"/>
      <c r="K650" s="22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4.25" customHeight="1">
      <c r="A651" s="1"/>
      <c r="B651" s="218"/>
      <c r="C651" s="212"/>
      <c r="D651" s="212"/>
      <c r="E651" s="212"/>
      <c r="F651" s="212"/>
      <c r="G651" s="1"/>
      <c r="H651" s="221"/>
      <c r="I651" s="221"/>
      <c r="J651" s="221"/>
      <c r="K651" s="22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4.25" customHeight="1">
      <c r="A652" s="1"/>
      <c r="B652" s="218"/>
      <c r="C652" s="212"/>
      <c r="D652" s="212"/>
      <c r="E652" s="212"/>
      <c r="F652" s="212"/>
      <c r="G652" s="1"/>
      <c r="H652" s="221"/>
      <c r="I652" s="221"/>
      <c r="J652" s="221"/>
      <c r="K652" s="22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4.25" customHeight="1">
      <c r="A653" s="1"/>
      <c r="B653" s="218"/>
      <c r="C653" s="212"/>
      <c r="D653" s="212"/>
      <c r="E653" s="212"/>
      <c r="F653" s="212"/>
      <c r="G653" s="1"/>
      <c r="H653" s="221"/>
      <c r="I653" s="221"/>
      <c r="J653" s="221"/>
      <c r="K653" s="22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4.25" customHeight="1">
      <c r="A654" s="1"/>
      <c r="B654" s="218"/>
      <c r="C654" s="212"/>
      <c r="D654" s="212"/>
      <c r="E654" s="212"/>
      <c r="F654" s="212"/>
      <c r="G654" s="1"/>
      <c r="H654" s="221"/>
      <c r="I654" s="221"/>
      <c r="J654" s="221"/>
      <c r="K654" s="22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4.25" customHeight="1">
      <c r="A655" s="1"/>
      <c r="B655" s="218"/>
      <c r="C655" s="212"/>
      <c r="D655" s="212"/>
      <c r="E655" s="212"/>
      <c r="F655" s="212"/>
      <c r="G655" s="1"/>
      <c r="H655" s="221"/>
      <c r="I655" s="221"/>
      <c r="J655" s="221"/>
      <c r="K655" s="22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4.25" customHeight="1">
      <c r="A656" s="1"/>
      <c r="B656" s="218"/>
      <c r="C656" s="212"/>
      <c r="D656" s="212"/>
      <c r="E656" s="212"/>
      <c r="F656" s="212"/>
      <c r="G656" s="1"/>
      <c r="H656" s="221"/>
      <c r="I656" s="221"/>
      <c r="J656" s="221"/>
      <c r="K656" s="22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4.25" customHeight="1">
      <c r="A657" s="1"/>
      <c r="B657" s="218"/>
      <c r="C657" s="212"/>
      <c r="D657" s="212"/>
      <c r="E657" s="212"/>
      <c r="F657" s="212"/>
      <c r="G657" s="1"/>
      <c r="H657" s="221"/>
      <c r="I657" s="221"/>
      <c r="J657" s="221"/>
      <c r="K657" s="22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4.25" customHeight="1">
      <c r="A658" s="1"/>
      <c r="B658" s="218"/>
      <c r="C658" s="212"/>
      <c r="D658" s="212"/>
      <c r="E658" s="212"/>
      <c r="F658" s="212"/>
      <c r="G658" s="1"/>
      <c r="H658" s="221"/>
      <c r="I658" s="221"/>
      <c r="J658" s="221"/>
      <c r="K658" s="22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4.25" customHeight="1">
      <c r="A659" s="1"/>
      <c r="B659" s="218"/>
      <c r="C659" s="212"/>
      <c r="D659" s="212"/>
      <c r="E659" s="212"/>
      <c r="F659" s="212"/>
      <c r="G659" s="1"/>
      <c r="H659" s="221"/>
      <c r="I659" s="221"/>
      <c r="J659" s="221"/>
      <c r="K659" s="22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4.25" customHeight="1">
      <c r="A660" s="1"/>
      <c r="B660" s="218"/>
      <c r="C660" s="212"/>
      <c r="D660" s="212"/>
      <c r="E660" s="212"/>
      <c r="F660" s="212"/>
      <c r="G660" s="1"/>
      <c r="H660" s="221"/>
      <c r="I660" s="221"/>
      <c r="J660" s="221"/>
      <c r="K660" s="22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4.25" customHeight="1">
      <c r="A661" s="1"/>
      <c r="B661" s="218"/>
      <c r="C661" s="212"/>
      <c r="D661" s="212"/>
      <c r="E661" s="212"/>
      <c r="F661" s="212"/>
      <c r="G661" s="1"/>
      <c r="H661" s="221"/>
      <c r="I661" s="221"/>
      <c r="J661" s="221"/>
      <c r="K661" s="22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4.25" customHeight="1">
      <c r="A662" s="1"/>
      <c r="B662" s="218"/>
      <c r="C662" s="212"/>
      <c r="D662" s="212"/>
      <c r="E662" s="212"/>
      <c r="F662" s="212"/>
      <c r="G662" s="1"/>
      <c r="H662" s="221"/>
      <c r="I662" s="221"/>
      <c r="J662" s="221"/>
      <c r="K662" s="22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4.25" customHeight="1">
      <c r="A663" s="1"/>
      <c r="B663" s="218"/>
      <c r="C663" s="212"/>
      <c r="D663" s="212"/>
      <c r="E663" s="212"/>
      <c r="F663" s="212"/>
      <c r="G663" s="1"/>
      <c r="H663" s="221"/>
      <c r="I663" s="221"/>
      <c r="J663" s="221"/>
      <c r="K663" s="22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4.25" customHeight="1">
      <c r="A664" s="1"/>
      <c r="B664" s="218"/>
      <c r="C664" s="212"/>
      <c r="D664" s="212"/>
      <c r="E664" s="212"/>
      <c r="F664" s="212"/>
      <c r="G664" s="1"/>
      <c r="H664" s="221"/>
      <c r="I664" s="221"/>
      <c r="J664" s="221"/>
      <c r="K664" s="22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4.25" customHeight="1">
      <c r="A665" s="1"/>
      <c r="B665" s="218"/>
      <c r="C665" s="212"/>
      <c r="D665" s="212"/>
      <c r="E665" s="212"/>
      <c r="F665" s="212"/>
      <c r="G665" s="1"/>
      <c r="H665" s="221"/>
      <c r="I665" s="221"/>
      <c r="J665" s="221"/>
      <c r="K665" s="22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4.25" customHeight="1">
      <c r="A666" s="1"/>
      <c r="B666" s="218"/>
      <c r="C666" s="212"/>
      <c r="D666" s="212"/>
      <c r="E666" s="212"/>
      <c r="F666" s="212"/>
      <c r="G666" s="1"/>
      <c r="H666" s="221"/>
      <c r="I666" s="221"/>
      <c r="J666" s="221"/>
      <c r="K666" s="22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4.25" customHeight="1">
      <c r="A667" s="1"/>
      <c r="B667" s="218"/>
      <c r="C667" s="212"/>
      <c r="D667" s="212"/>
      <c r="E667" s="212"/>
      <c r="F667" s="212"/>
      <c r="G667" s="1"/>
      <c r="H667" s="221"/>
      <c r="I667" s="221"/>
      <c r="J667" s="221"/>
      <c r="K667" s="22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4.25" customHeight="1">
      <c r="A668" s="1"/>
      <c r="B668" s="218"/>
      <c r="C668" s="212"/>
      <c r="D668" s="212"/>
      <c r="E668" s="212"/>
      <c r="F668" s="212"/>
      <c r="G668" s="1"/>
      <c r="H668" s="221"/>
      <c r="I668" s="221"/>
      <c r="J668" s="221"/>
      <c r="K668" s="22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4.25" customHeight="1">
      <c r="A669" s="1"/>
      <c r="B669" s="218"/>
      <c r="C669" s="212"/>
      <c r="D669" s="212"/>
      <c r="E669" s="212"/>
      <c r="F669" s="212"/>
      <c r="G669" s="1"/>
      <c r="H669" s="221"/>
      <c r="I669" s="221"/>
      <c r="J669" s="221"/>
      <c r="K669" s="22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4.25" customHeight="1">
      <c r="A670" s="1"/>
      <c r="B670" s="218"/>
      <c r="C670" s="212"/>
      <c r="D670" s="212"/>
      <c r="E670" s="212"/>
      <c r="F670" s="212"/>
      <c r="G670" s="1"/>
      <c r="H670" s="221"/>
      <c r="I670" s="221"/>
      <c r="J670" s="221"/>
      <c r="K670" s="22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4.25" customHeight="1">
      <c r="A671" s="1"/>
      <c r="B671" s="218"/>
      <c r="C671" s="212"/>
      <c r="D671" s="212"/>
      <c r="E671" s="212"/>
      <c r="F671" s="212"/>
      <c r="G671" s="1"/>
      <c r="H671" s="221"/>
      <c r="I671" s="221"/>
      <c r="J671" s="221"/>
      <c r="K671" s="22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4.25" customHeight="1">
      <c r="A672" s="1"/>
      <c r="B672" s="218"/>
      <c r="C672" s="212"/>
      <c r="D672" s="212"/>
      <c r="E672" s="212"/>
      <c r="F672" s="212"/>
      <c r="G672" s="1"/>
      <c r="H672" s="221"/>
      <c r="I672" s="221"/>
      <c r="J672" s="221"/>
      <c r="K672" s="22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4.25" customHeight="1">
      <c r="A673" s="1"/>
      <c r="B673" s="218"/>
      <c r="C673" s="212"/>
      <c r="D673" s="212"/>
      <c r="E673" s="212"/>
      <c r="F673" s="212"/>
      <c r="G673" s="1"/>
      <c r="H673" s="221"/>
      <c r="I673" s="221"/>
      <c r="J673" s="221"/>
      <c r="K673" s="22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4.25" customHeight="1">
      <c r="A674" s="1"/>
      <c r="B674" s="218"/>
      <c r="C674" s="212"/>
      <c r="D674" s="212"/>
      <c r="E674" s="212"/>
      <c r="F674" s="212"/>
      <c r="G674" s="1"/>
      <c r="H674" s="221"/>
      <c r="I674" s="221"/>
      <c r="J674" s="221"/>
      <c r="K674" s="22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4.25" customHeight="1">
      <c r="A675" s="1"/>
      <c r="B675" s="218"/>
      <c r="C675" s="212"/>
      <c r="D675" s="212"/>
      <c r="E675" s="212"/>
      <c r="F675" s="212"/>
      <c r="G675" s="1"/>
      <c r="H675" s="221"/>
      <c r="I675" s="221"/>
      <c r="J675" s="221"/>
      <c r="K675" s="22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4.25" customHeight="1">
      <c r="A676" s="1"/>
      <c r="B676" s="218"/>
      <c r="C676" s="212"/>
      <c r="D676" s="212"/>
      <c r="E676" s="212"/>
      <c r="F676" s="212"/>
      <c r="G676" s="1"/>
      <c r="H676" s="221"/>
      <c r="I676" s="221"/>
      <c r="J676" s="221"/>
      <c r="K676" s="22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4.25" customHeight="1">
      <c r="A677" s="1"/>
      <c r="B677" s="218"/>
      <c r="C677" s="212"/>
      <c r="D677" s="212"/>
      <c r="E677" s="212"/>
      <c r="F677" s="212"/>
      <c r="G677" s="1"/>
      <c r="H677" s="221"/>
      <c r="I677" s="221"/>
      <c r="J677" s="221"/>
      <c r="K677" s="22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4.25" customHeight="1">
      <c r="A678" s="1"/>
      <c r="B678" s="218"/>
      <c r="C678" s="212"/>
      <c r="D678" s="212"/>
      <c r="E678" s="212"/>
      <c r="F678" s="212"/>
      <c r="G678" s="1"/>
      <c r="H678" s="221"/>
      <c r="I678" s="221"/>
      <c r="J678" s="221"/>
      <c r="K678" s="22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4.25" customHeight="1">
      <c r="A679" s="1"/>
      <c r="B679" s="218"/>
      <c r="C679" s="212"/>
      <c r="D679" s="212"/>
      <c r="E679" s="212"/>
      <c r="F679" s="212"/>
      <c r="G679" s="1"/>
      <c r="H679" s="221"/>
      <c r="I679" s="221"/>
      <c r="J679" s="221"/>
      <c r="K679" s="22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4.25" customHeight="1">
      <c r="A680" s="1"/>
      <c r="B680" s="218"/>
      <c r="C680" s="212"/>
      <c r="D680" s="212"/>
      <c r="E680" s="212"/>
      <c r="F680" s="212"/>
      <c r="G680" s="1"/>
      <c r="H680" s="221"/>
      <c r="I680" s="221"/>
      <c r="J680" s="221"/>
      <c r="K680" s="22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4.25" customHeight="1">
      <c r="A681" s="1"/>
      <c r="B681" s="218"/>
      <c r="C681" s="212"/>
      <c r="D681" s="212"/>
      <c r="E681" s="212"/>
      <c r="F681" s="212"/>
      <c r="G681" s="1"/>
      <c r="H681" s="221"/>
      <c r="I681" s="221"/>
      <c r="J681" s="221"/>
      <c r="K681" s="22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4.25" customHeight="1">
      <c r="A682" s="1"/>
      <c r="B682" s="218"/>
      <c r="C682" s="212"/>
      <c r="D682" s="212"/>
      <c r="E682" s="212"/>
      <c r="F682" s="212"/>
      <c r="G682" s="1"/>
      <c r="H682" s="221"/>
      <c r="I682" s="221"/>
      <c r="J682" s="221"/>
      <c r="K682" s="22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4.25" customHeight="1">
      <c r="A683" s="1"/>
      <c r="B683" s="218"/>
      <c r="C683" s="212"/>
      <c r="D683" s="212"/>
      <c r="E683" s="212"/>
      <c r="F683" s="212"/>
      <c r="G683" s="1"/>
      <c r="H683" s="221"/>
      <c r="I683" s="221"/>
      <c r="J683" s="221"/>
      <c r="K683" s="22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4.25" customHeight="1">
      <c r="A684" s="1"/>
      <c r="B684" s="218"/>
      <c r="C684" s="212"/>
      <c r="D684" s="212"/>
      <c r="E684" s="212"/>
      <c r="F684" s="212"/>
      <c r="G684" s="1"/>
      <c r="H684" s="221"/>
      <c r="I684" s="221"/>
      <c r="J684" s="221"/>
      <c r="K684" s="22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4.25" customHeight="1">
      <c r="A685" s="1"/>
      <c r="B685" s="218"/>
      <c r="C685" s="212"/>
      <c r="D685" s="212"/>
      <c r="E685" s="212"/>
      <c r="F685" s="212"/>
      <c r="G685" s="1"/>
      <c r="H685" s="221"/>
      <c r="I685" s="221"/>
      <c r="J685" s="221"/>
      <c r="K685" s="22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4.25" customHeight="1">
      <c r="A686" s="1"/>
      <c r="B686" s="218"/>
      <c r="C686" s="212"/>
      <c r="D686" s="212"/>
      <c r="E686" s="212"/>
      <c r="F686" s="212"/>
      <c r="G686" s="1"/>
      <c r="H686" s="221"/>
      <c r="I686" s="221"/>
      <c r="J686" s="221"/>
      <c r="K686" s="22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4.25" customHeight="1">
      <c r="A687" s="1"/>
      <c r="B687" s="218"/>
      <c r="C687" s="212"/>
      <c r="D687" s="212"/>
      <c r="E687" s="212"/>
      <c r="F687" s="212"/>
      <c r="G687" s="1"/>
      <c r="H687" s="221"/>
      <c r="I687" s="221"/>
      <c r="J687" s="221"/>
      <c r="K687" s="22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4.25" customHeight="1">
      <c r="A688" s="1"/>
      <c r="B688" s="218"/>
      <c r="C688" s="212"/>
      <c r="D688" s="212"/>
      <c r="E688" s="212"/>
      <c r="F688" s="212"/>
      <c r="G688" s="1"/>
      <c r="H688" s="221"/>
      <c r="I688" s="221"/>
      <c r="J688" s="221"/>
      <c r="K688" s="22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4.25" customHeight="1">
      <c r="A689" s="1"/>
      <c r="B689" s="218"/>
      <c r="C689" s="212"/>
      <c r="D689" s="212"/>
      <c r="E689" s="212"/>
      <c r="F689" s="212"/>
      <c r="G689" s="1"/>
      <c r="H689" s="221"/>
      <c r="I689" s="221"/>
      <c r="J689" s="221"/>
      <c r="K689" s="22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4.25" customHeight="1">
      <c r="A690" s="1"/>
      <c r="B690" s="218"/>
      <c r="C690" s="212"/>
      <c r="D690" s="212"/>
      <c r="E690" s="212"/>
      <c r="F690" s="212"/>
      <c r="G690" s="1"/>
      <c r="H690" s="221"/>
      <c r="I690" s="221"/>
      <c r="J690" s="221"/>
      <c r="K690" s="22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4.25" customHeight="1">
      <c r="A691" s="1"/>
      <c r="B691" s="218"/>
      <c r="C691" s="212"/>
      <c r="D691" s="212"/>
      <c r="E691" s="212"/>
      <c r="F691" s="212"/>
      <c r="G691" s="1"/>
      <c r="H691" s="221"/>
      <c r="I691" s="221"/>
      <c r="J691" s="221"/>
      <c r="K691" s="22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4.25" customHeight="1">
      <c r="A692" s="1"/>
      <c r="B692" s="218"/>
      <c r="C692" s="212"/>
      <c r="D692" s="212"/>
      <c r="E692" s="212"/>
      <c r="F692" s="212"/>
      <c r="G692" s="1"/>
      <c r="H692" s="221"/>
      <c r="I692" s="221"/>
      <c r="J692" s="221"/>
      <c r="K692" s="22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4.25" customHeight="1">
      <c r="A693" s="1"/>
      <c r="B693" s="218"/>
      <c r="C693" s="212"/>
      <c r="D693" s="212"/>
      <c r="E693" s="212"/>
      <c r="F693" s="212"/>
      <c r="G693" s="1"/>
      <c r="H693" s="221"/>
      <c r="I693" s="221"/>
      <c r="J693" s="221"/>
      <c r="K693" s="22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4.25" customHeight="1">
      <c r="A694" s="1"/>
      <c r="B694" s="218"/>
      <c r="C694" s="212"/>
      <c r="D694" s="212"/>
      <c r="E694" s="212"/>
      <c r="F694" s="212"/>
      <c r="G694" s="1"/>
      <c r="H694" s="221"/>
      <c r="I694" s="221"/>
      <c r="J694" s="221"/>
      <c r="K694" s="22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4.25" customHeight="1">
      <c r="A695" s="1"/>
      <c r="B695" s="218"/>
      <c r="C695" s="212"/>
      <c r="D695" s="212"/>
      <c r="E695" s="212"/>
      <c r="F695" s="212"/>
      <c r="G695" s="1"/>
      <c r="H695" s="221"/>
      <c r="I695" s="221"/>
      <c r="J695" s="221"/>
      <c r="K695" s="22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4.25" customHeight="1">
      <c r="A696" s="1"/>
      <c r="B696" s="218"/>
      <c r="C696" s="212"/>
      <c r="D696" s="212"/>
      <c r="E696" s="212"/>
      <c r="F696" s="212"/>
      <c r="G696" s="1"/>
      <c r="H696" s="221"/>
      <c r="I696" s="221"/>
      <c r="J696" s="221"/>
      <c r="K696" s="22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4.25" customHeight="1">
      <c r="A697" s="1"/>
      <c r="B697" s="218"/>
      <c r="C697" s="212"/>
      <c r="D697" s="212"/>
      <c r="E697" s="212"/>
      <c r="F697" s="212"/>
      <c r="G697" s="1"/>
      <c r="H697" s="221"/>
      <c r="I697" s="221"/>
      <c r="J697" s="221"/>
      <c r="K697" s="22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4.25" customHeight="1">
      <c r="A698" s="1"/>
      <c r="B698" s="218"/>
      <c r="C698" s="212"/>
      <c r="D698" s="212"/>
      <c r="E698" s="212"/>
      <c r="F698" s="212"/>
      <c r="G698" s="1"/>
      <c r="H698" s="221"/>
      <c r="I698" s="221"/>
      <c r="J698" s="221"/>
      <c r="K698" s="22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4.25" customHeight="1">
      <c r="A699" s="1"/>
      <c r="B699" s="218"/>
      <c r="C699" s="212"/>
      <c r="D699" s="212"/>
      <c r="E699" s="212"/>
      <c r="F699" s="212"/>
      <c r="G699" s="1"/>
      <c r="H699" s="221"/>
      <c r="I699" s="221"/>
      <c r="J699" s="221"/>
      <c r="K699" s="22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4.25" customHeight="1">
      <c r="A700" s="1"/>
      <c r="B700" s="218"/>
      <c r="C700" s="212"/>
      <c r="D700" s="212"/>
      <c r="E700" s="212"/>
      <c r="F700" s="212"/>
      <c r="G700" s="1"/>
      <c r="H700" s="221"/>
      <c r="I700" s="221"/>
      <c r="J700" s="221"/>
      <c r="K700" s="22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4.25" customHeight="1">
      <c r="A701" s="1"/>
      <c r="B701" s="218"/>
      <c r="C701" s="212"/>
      <c r="D701" s="212"/>
      <c r="E701" s="212"/>
      <c r="F701" s="212"/>
      <c r="G701" s="1"/>
      <c r="H701" s="221"/>
      <c r="I701" s="221"/>
      <c r="J701" s="221"/>
      <c r="K701" s="22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4.25" customHeight="1">
      <c r="A702" s="1"/>
      <c r="B702" s="218"/>
      <c r="C702" s="212"/>
      <c r="D702" s="212"/>
      <c r="E702" s="212"/>
      <c r="F702" s="212"/>
      <c r="G702" s="1"/>
      <c r="H702" s="221"/>
      <c r="I702" s="221"/>
      <c r="J702" s="221"/>
      <c r="K702" s="22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4.25" customHeight="1">
      <c r="A703" s="1"/>
      <c r="B703" s="218"/>
      <c r="C703" s="212"/>
      <c r="D703" s="212"/>
      <c r="E703" s="212"/>
      <c r="F703" s="212"/>
      <c r="G703" s="1"/>
      <c r="H703" s="221"/>
      <c r="I703" s="221"/>
      <c r="J703" s="221"/>
      <c r="K703" s="22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4.25" customHeight="1">
      <c r="A704" s="1"/>
      <c r="B704" s="218"/>
      <c r="C704" s="212"/>
      <c r="D704" s="212"/>
      <c r="E704" s="212"/>
      <c r="F704" s="212"/>
      <c r="G704" s="1"/>
      <c r="H704" s="221"/>
      <c r="I704" s="221"/>
      <c r="J704" s="221"/>
      <c r="K704" s="22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4.25" customHeight="1">
      <c r="A705" s="1"/>
      <c r="B705" s="218"/>
      <c r="C705" s="212"/>
      <c r="D705" s="212"/>
      <c r="E705" s="212"/>
      <c r="F705" s="212"/>
      <c r="G705" s="1"/>
      <c r="H705" s="221"/>
      <c r="I705" s="221"/>
      <c r="J705" s="221"/>
      <c r="K705" s="22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4.25" customHeight="1">
      <c r="A706" s="1"/>
      <c r="B706" s="218"/>
      <c r="C706" s="212"/>
      <c r="D706" s="212"/>
      <c r="E706" s="212"/>
      <c r="F706" s="212"/>
      <c r="G706" s="1"/>
      <c r="H706" s="221"/>
      <c r="I706" s="221"/>
      <c r="J706" s="221"/>
      <c r="K706" s="22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4.25" customHeight="1">
      <c r="A707" s="1"/>
      <c r="B707" s="218"/>
      <c r="C707" s="212"/>
      <c r="D707" s="212"/>
      <c r="E707" s="212"/>
      <c r="F707" s="212"/>
      <c r="G707" s="1"/>
      <c r="H707" s="221"/>
      <c r="I707" s="221"/>
      <c r="J707" s="221"/>
      <c r="K707" s="22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4.25" customHeight="1">
      <c r="A708" s="1"/>
      <c r="B708" s="218"/>
      <c r="C708" s="212"/>
      <c r="D708" s="212"/>
      <c r="E708" s="212"/>
      <c r="F708" s="212"/>
      <c r="G708" s="1"/>
      <c r="H708" s="221"/>
      <c r="I708" s="221"/>
      <c r="J708" s="221"/>
      <c r="K708" s="22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4.25" customHeight="1">
      <c r="A709" s="1"/>
      <c r="B709" s="218"/>
      <c r="C709" s="212"/>
      <c r="D709" s="212"/>
      <c r="E709" s="212"/>
      <c r="F709" s="212"/>
      <c r="G709" s="1"/>
      <c r="H709" s="221"/>
      <c r="I709" s="221"/>
      <c r="J709" s="221"/>
      <c r="K709" s="22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4.25" customHeight="1">
      <c r="A710" s="1"/>
      <c r="B710" s="218"/>
      <c r="C710" s="212"/>
      <c r="D710" s="212"/>
      <c r="E710" s="212"/>
      <c r="F710" s="212"/>
      <c r="G710" s="1"/>
      <c r="H710" s="221"/>
      <c r="I710" s="221"/>
      <c r="J710" s="221"/>
      <c r="K710" s="22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4.25" customHeight="1">
      <c r="A711" s="1"/>
      <c r="B711" s="218"/>
      <c r="C711" s="212"/>
      <c r="D711" s="212"/>
      <c r="E711" s="212"/>
      <c r="F711" s="212"/>
      <c r="G711" s="1"/>
      <c r="H711" s="221"/>
      <c r="I711" s="221"/>
      <c r="J711" s="221"/>
      <c r="K711" s="22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4.25" customHeight="1">
      <c r="A712" s="1"/>
      <c r="B712" s="218"/>
      <c r="C712" s="212"/>
      <c r="D712" s="212"/>
      <c r="E712" s="212"/>
      <c r="F712" s="212"/>
      <c r="G712" s="1"/>
      <c r="H712" s="221"/>
      <c r="I712" s="221"/>
      <c r="J712" s="221"/>
      <c r="K712" s="22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4.25" customHeight="1">
      <c r="A713" s="1"/>
      <c r="B713" s="218"/>
      <c r="C713" s="212"/>
      <c r="D713" s="212"/>
      <c r="E713" s="212"/>
      <c r="F713" s="212"/>
      <c r="G713" s="1"/>
      <c r="H713" s="221"/>
      <c r="I713" s="221"/>
      <c r="J713" s="221"/>
      <c r="K713" s="22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4.25" customHeight="1">
      <c r="A714" s="1"/>
      <c r="B714" s="218"/>
      <c r="C714" s="212"/>
      <c r="D714" s="212"/>
      <c r="E714" s="212"/>
      <c r="F714" s="212"/>
      <c r="G714" s="1"/>
      <c r="H714" s="221"/>
      <c r="I714" s="221"/>
      <c r="J714" s="221"/>
      <c r="K714" s="22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4.25" customHeight="1">
      <c r="A715" s="1"/>
      <c r="B715" s="218"/>
      <c r="C715" s="212"/>
      <c r="D715" s="212"/>
      <c r="E715" s="212"/>
      <c r="F715" s="212"/>
      <c r="G715" s="1"/>
      <c r="H715" s="221"/>
      <c r="I715" s="221"/>
      <c r="J715" s="221"/>
      <c r="K715" s="22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4.25" customHeight="1">
      <c r="A716" s="1"/>
      <c r="B716" s="218"/>
      <c r="C716" s="212"/>
      <c r="D716" s="212"/>
      <c r="E716" s="212"/>
      <c r="F716" s="212"/>
      <c r="G716" s="1"/>
      <c r="H716" s="221"/>
      <c r="I716" s="221"/>
      <c r="J716" s="221"/>
      <c r="K716" s="22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4.25" customHeight="1">
      <c r="A717" s="1"/>
      <c r="B717" s="218"/>
      <c r="C717" s="212"/>
      <c r="D717" s="212"/>
      <c r="E717" s="212"/>
      <c r="F717" s="212"/>
      <c r="G717" s="1"/>
      <c r="H717" s="221"/>
      <c r="I717" s="221"/>
      <c r="J717" s="221"/>
      <c r="K717" s="22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4.25" customHeight="1">
      <c r="A718" s="1"/>
      <c r="B718" s="218"/>
      <c r="C718" s="212"/>
      <c r="D718" s="212"/>
      <c r="E718" s="212"/>
      <c r="F718" s="212"/>
      <c r="G718" s="1"/>
      <c r="H718" s="221"/>
      <c r="I718" s="221"/>
      <c r="J718" s="221"/>
      <c r="K718" s="22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4.25" customHeight="1">
      <c r="A719" s="1"/>
      <c r="B719" s="218"/>
      <c r="C719" s="212"/>
      <c r="D719" s="212"/>
      <c r="E719" s="212"/>
      <c r="F719" s="212"/>
      <c r="G719" s="1"/>
      <c r="H719" s="221"/>
      <c r="I719" s="221"/>
      <c r="J719" s="221"/>
      <c r="K719" s="22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4.25" customHeight="1">
      <c r="A720" s="1"/>
      <c r="B720" s="218"/>
      <c r="C720" s="212"/>
      <c r="D720" s="212"/>
      <c r="E720" s="212"/>
      <c r="F720" s="212"/>
      <c r="G720" s="1"/>
      <c r="H720" s="221"/>
      <c r="I720" s="221"/>
      <c r="J720" s="221"/>
      <c r="K720" s="22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4.25" customHeight="1">
      <c r="A721" s="1"/>
      <c r="B721" s="218"/>
      <c r="C721" s="212"/>
      <c r="D721" s="212"/>
      <c r="E721" s="212"/>
      <c r="F721" s="212"/>
      <c r="G721" s="1"/>
      <c r="H721" s="221"/>
      <c r="I721" s="221"/>
      <c r="J721" s="221"/>
      <c r="K721" s="22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4.25" customHeight="1">
      <c r="A722" s="1"/>
      <c r="B722" s="218"/>
      <c r="C722" s="212"/>
      <c r="D722" s="212"/>
      <c r="E722" s="212"/>
      <c r="F722" s="212"/>
      <c r="G722" s="1"/>
      <c r="H722" s="221"/>
      <c r="I722" s="221"/>
      <c r="J722" s="221"/>
      <c r="K722" s="22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4.25" customHeight="1">
      <c r="A723" s="1"/>
      <c r="B723" s="218"/>
      <c r="C723" s="212"/>
      <c r="D723" s="212"/>
      <c r="E723" s="212"/>
      <c r="F723" s="212"/>
      <c r="G723" s="1"/>
      <c r="H723" s="221"/>
      <c r="I723" s="221"/>
      <c r="J723" s="221"/>
      <c r="K723" s="22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4.25" customHeight="1">
      <c r="A724" s="1"/>
      <c r="B724" s="218"/>
      <c r="C724" s="212"/>
      <c r="D724" s="212"/>
      <c r="E724" s="212"/>
      <c r="F724" s="212"/>
      <c r="G724" s="1"/>
      <c r="H724" s="221"/>
      <c r="I724" s="221"/>
      <c r="J724" s="221"/>
      <c r="K724" s="22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4.25" customHeight="1">
      <c r="A725" s="1"/>
      <c r="B725" s="218"/>
      <c r="C725" s="212"/>
      <c r="D725" s="212"/>
      <c r="E725" s="212"/>
      <c r="F725" s="212"/>
      <c r="G725" s="1"/>
      <c r="H725" s="221"/>
      <c r="I725" s="221"/>
      <c r="J725" s="221"/>
      <c r="K725" s="22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4.25" customHeight="1">
      <c r="A726" s="1"/>
      <c r="B726" s="218"/>
      <c r="C726" s="212"/>
      <c r="D726" s="212"/>
      <c r="E726" s="212"/>
      <c r="F726" s="212"/>
      <c r="G726" s="1"/>
      <c r="H726" s="221"/>
      <c r="I726" s="221"/>
      <c r="J726" s="221"/>
      <c r="K726" s="22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4.25" customHeight="1">
      <c r="A727" s="1"/>
      <c r="B727" s="218"/>
      <c r="C727" s="212"/>
      <c r="D727" s="212"/>
      <c r="E727" s="212"/>
      <c r="F727" s="212"/>
      <c r="G727" s="1"/>
      <c r="H727" s="221"/>
      <c r="I727" s="221"/>
      <c r="J727" s="221"/>
      <c r="K727" s="22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4.25" customHeight="1">
      <c r="A728" s="1"/>
      <c r="B728" s="218"/>
      <c r="C728" s="212"/>
      <c r="D728" s="212"/>
      <c r="E728" s="212"/>
      <c r="F728" s="212"/>
      <c r="G728" s="1"/>
      <c r="H728" s="221"/>
      <c r="I728" s="221"/>
      <c r="J728" s="221"/>
      <c r="K728" s="22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4.25" customHeight="1">
      <c r="A729" s="1"/>
      <c r="B729" s="218"/>
      <c r="C729" s="212"/>
      <c r="D729" s="212"/>
      <c r="E729" s="212"/>
      <c r="F729" s="212"/>
      <c r="G729" s="1"/>
      <c r="H729" s="221"/>
      <c r="I729" s="221"/>
      <c r="J729" s="221"/>
      <c r="K729" s="22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4.25" customHeight="1">
      <c r="A730" s="1"/>
      <c r="B730" s="218"/>
      <c r="C730" s="212"/>
      <c r="D730" s="212"/>
      <c r="E730" s="212"/>
      <c r="F730" s="212"/>
      <c r="G730" s="1"/>
      <c r="H730" s="221"/>
      <c r="I730" s="221"/>
      <c r="J730" s="221"/>
      <c r="K730" s="22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4.25" customHeight="1">
      <c r="A731" s="1"/>
      <c r="B731" s="218"/>
      <c r="C731" s="212"/>
      <c r="D731" s="212"/>
      <c r="E731" s="212"/>
      <c r="F731" s="212"/>
      <c r="G731" s="1"/>
      <c r="H731" s="221"/>
      <c r="I731" s="221"/>
      <c r="J731" s="221"/>
      <c r="K731" s="22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4.25" customHeight="1">
      <c r="A732" s="1"/>
      <c r="B732" s="218"/>
      <c r="C732" s="212"/>
      <c r="D732" s="212"/>
      <c r="E732" s="212"/>
      <c r="F732" s="212"/>
      <c r="G732" s="1"/>
      <c r="H732" s="221"/>
      <c r="I732" s="221"/>
      <c r="J732" s="221"/>
      <c r="K732" s="22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4.25" customHeight="1">
      <c r="A733" s="1"/>
      <c r="B733" s="218"/>
      <c r="C733" s="212"/>
      <c r="D733" s="212"/>
      <c r="E733" s="212"/>
      <c r="F733" s="212"/>
      <c r="G733" s="1"/>
      <c r="H733" s="221"/>
      <c r="I733" s="221"/>
      <c r="J733" s="221"/>
      <c r="K733" s="22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4.25" customHeight="1">
      <c r="A734" s="1"/>
      <c r="B734" s="218"/>
      <c r="C734" s="212"/>
      <c r="D734" s="212"/>
      <c r="E734" s="212"/>
      <c r="F734" s="212"/>
      <c r="G734" s="1"/>
      <c r="H734" s="221"/>
      <c r="I734" s="221"/>
      <c r="J734" s="221"/>
      <c r="K734" s="22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4.25" customHeight="1">
      <c r="A735" s="1"/>
      <c r="B735" s="218"/>
      <c r="C735" s="212"/>
      <c r="D735" s="212"/>
      <c r="E735" s="212"/>
      <c r="F735" s="212"/>
      <c r="G735" s="1"/>
      <c r="H735" s="221"/>
      <c r="I735" s="221"/>
      <c r="J735" s="221"/>
      <c r="K735" s="22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4.25" customHeight="1">
      <c r="A736" s="1"/>
      <c r="B736" s="218"/>
      <c r="C736" s="212"/>
      <c r="D736" s="212"/>
      <c r="E736" s="212"/>
      <c r="F736" s="212"/>
      <c r="G736" s="1"/>
      <c r="H736" s="221"/>
      <c r="I736" s="221"/>
      <c r="J736" s="221"/>
      <c r="K736" s="22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4.25" customHeight="1">
      <c r="A737" s="1"/>
      <c r="B737" s="218"/>
      <c r="C737" s="212"/>
      <c r="D737" s="212"/>
      <c r="E737" s="212"/>
      <c r="F737" s="212"/>
      <c r="G737" s="1"/>
      <c r="H737" s="221"/>
      <c r="I737" s="221"/>
      <c r="J737" s="221"/>
      <c r="K737" s="22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4.25" customHeight="1">
      <c r="A738" s="1"/>
      <c r="B738" s="218"/>
      <c r="C738" s="212"/>
      <c r="D738" s="212"/>
      <c r="E738" s="212"/>
      <c r="F738" s="212"/>
      <c r="G738" s="1"/>
      <c r="H738" s="221"/>
      <c r="I738" s="221"/>
      <c r="J738" s="221"/>
      <c r="K738" s="22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4.25" customHeight="1">
      <c r="A739" s="1"/>
      <c r="B739" s="218"/>
      <c r="C739" s="212"/>
      <c r="D739" s="212"/>
      <c r="E739" s="212"/>
      <c r="F739" s="212"/>
      <c r="G739" s="1"/>
      <c r="H739" s="221"/>
      <c r="I739" s="221"/>
      <c r="J739" s="221"/>
      <c r="K739" s="22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4.25" customHeight="1">
      <c r="A740" s="1"/>
      <c r="B740" s="218"/>
      <c r="C740" s="212"/>
      <c r="D740" s="212"/>
      <c r="E740" s="212"/>
      <c r="F740" s="212"/>
      <c r="G740" s="1"/>
      <c r="H740" s="221"/>
      <c r="I740" s="221"/>
      <c r="J740" s="221"/>
      <c r="K740" s="22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4.25" customHeight="1">
      <c r="A741" s="1"/>
      <c r="B741" s="218"/>
      <c r="C741" s="212"/>
      <c r="D741" s="212"/>
      <c r="E741" s="212"/>
      <c r="F741" s="212"/>
      <c r="G741" s="1"/>
      <c r="H741" s="221"/>
      <c r="I741" s="221"/>
      <c r="J741" s="221"/>
      <c r="K741" s="22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4.25" customHeight="1">
      <c r="A742" s="1"/>
      <c r="B742" s="218"/>
      <c r="C742" s="212"/>
      <c r="D742" s="212"/>
      <c r="E742" s="212"/>
      <c r="F742" s="212"/>
      <c r="G742" s="1"/>
      <c r="H742" s="221"/>
      <c r="I742" s="221"/>
      <c r="J742" s="221"/>
      <c r="K742" s="22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4.25" customHeight="1">
      <c r="A743" s="1"/>
      <c r="B743" s="218"/>
      <c r="C743" s="212"/>
      <c r="D743" s="212"/>
      <c r="E743" s="212"/>
      <c r="F743" s="212"/>
      <c r="G743" s="1"/>
      <c r="H743" s="221"/>
      <c r="I743" s="221"/>
      <c r="J743" s="221"/>
      <c r="K743" s="22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4.25" customHeight="1">
      <c r="A744" s="1"/>
      <c r="B744" s="218"/>
      <c r="C744" s="212"/>
      <c r="D744" s="212"/>
      <c r="E744" s="212"/>
      <c r="F744" s="212"/>
      <c r="G744" s="1"/>
      <c r="H744" s="221"/>
      <c r="I744" s="221"/>
      <c r="J744" s="221"/>
      <c r="K744" s="22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4.25" customHeight="1">
      <c r="A745" s="1"/>
      <c r="B745" s="218"/>
      <c r="C745" s="212"/>
      <c r="D745" s="212"/>
      <c r="E745" s="212"/>
      <c r="F745" s="212"/>
      <c r="G745" s="1"/>
      <c r="H745" s="221"/>
      <c r="I745" s="221"/>
      <c r="J745" s="221"/>
      <c r="K745" s="22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4.25" customHeight="1">
      <c r="A746" s="1"/>
      <c r="B746" s="218"/>
      <c r="C746" s="212"/>
      <c r="D746" s="212"/>
      <c r="E746" s="212"/>
      <c r="F746" s="212"/>
      <c r="G746" s="1"/>
      <c r="H746" s="221"/>
      <c r="I746" s="221"/>
      <c r="J746" s="221"/>
      <c r="K746" s="22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4.25" customHeight="1">
      <c r="A747" s="1"/>
      <c r="B747" s="218"/>
      <c r="C747" s="212"/>
      <c r="D747" s="212"/>
      <c r="E747" s="212"/>
      <c r="F747" s="212"/>
      <c r="G747" s="1"/>
      <c r="H747" s="221"/>
      <c r="I747" s="221"/>
      <c r="J747" s="221"/>
      <c r="K747" s="22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4.25" customHeight="1">
      <c r="A748" s="1"/>
      <c r="B748" s="218"/>
      <c r="C748" s="212"/>
      <c r="D748" s="212"/>
      <c r="E748" s="212"/>
      <c r="F748" s="212"/>
      <c r="G748" s="1"/>
      <c r="H748" s="221"/>
      <c r="I748" s="221"/>
      <c r="J748" s="221"/>
      <c r="K748" s="22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4.25" customHeight="1">
      <c r="A749" s="1"/>
      <c r="B749" s="218"/>
      <c r="C749" s="212"/>
      <c r="D749" s="212"/>
      <c r="E749" s="212"/>
      <c r="F749" s="212"/>
      <c r="G749" s="1"/>
      <c r="H749" s="221"/>
      <c r="I749" s="221"/>
      <c r="J749" s="221"/>
      <c r="K749" s="22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4.25" customHeight="1">
      <c r="A750" s="1"/>
      <c r="B750" s="218"/>
      <c r="C750" s="212"/>
      <c r="D750" s="212"/>
      <c r="E750" s="212"/>
      <c r="F750" s="212"/>
      <c r="G750" s="1"/>
      <c r="H750" s="221"/>
      <c r="I750" s="221"/>
      <c r="J750" s="221"/>
      <c r="K750" s="22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4.25" customHeight="1">
      <c r="A751" s="1"/>
      <c r="B751" s="218"/>
      <c r="C751" s="212"/>
      <c r="D751" s="212"/>
      <c r="E751" s="212"/>
      <c r="F751" s="212"/>
      <c r="G751" s="1"/>
      <c r="H751" s="221"/>
      <c r="I751" s="221"/>
      <c r="J751" s="221"/>
      <c r="K751" s="22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4.25" customHeight="1">
      <c r="A752" s="1"/>
      <c r="B752" s="218"/>
      <c r="C752" s="212"/>
      <c r="D752" s="212"/>
      <c r="E752" s="212"/>
      <c r="F752" s="212"/>
      <c r="G752" s="1"/>
      <c r="H752" s="221"/>
      <c r="I752" s="221"/>
      <c r="J752" s="221"/>
      <c r="K752" s="22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4.25" customHeight="1">
      <c r="A753" s="1"/>
      <c r="B753" s="218"/>
      <c r="C753" s="212"/>
      <c r="D753" s="212"/>
      <c r="E753" s="212"/>
      <c r="F753" s="212"/>
      <c r="G753" s="1"/>
      <c r="H753" s="221"/>
      <c r="I753" s="221"/>
      <c r="J753" s="221"/>
      <c r="K753" s="22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4.25" customHeight="1">
      <c r="A754" s="1"/>
      <c r="B754" s="218"/>
      <c r="C754" s="212"/>
      <c r="D754" s="212"/>
      <c r="E754" s="212"/>
      <c r="F754" s="212"/>
      <c r="G754" s="1"/>
      <c r="H754" s="221"/>
      <c r="I754" s="221"/>
      <c r="J754" s="221"/>
      <c r="K754" s="22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4.25" customHeight="1">
      <c r="A755" s="1"/>
      <c r="B755" s="218"/>
      <c r="C755" s="212"/>
      <c r="D755" s="212"/>
      <c r="E755" s="212"/>
      <c r="F755" s="212"/>
      <c r="G755" s="1"/>
      <c r="H755" s="221"/>
      <c r="I755" s="221"/>
      <c r="J755" s="221"/>
      <c r="K755" s="22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4.25" customHeight="1">
      <c r="A756" s="1"/>
      <c r="B756" s="218"/>
      <c r="C756" s="212"/>
      <c r="D756" s="212"/>
      <c r="E756" s="212"/>
      <c r="F756" s="212"/>
      <c r="G756" s="1"/>
      <c r="H756" s="221"/>
      <c r="I756" s="221"/>
      <c r="J756" s="221"/>
      <c r="K756" s="22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4.25" customHeight="1">
      <c r="A757" s="1"/>
      <c r="B757" s="218"/>
      <c r="C757" s="212"/>
      <c r="D757" s="212"/>
      <c r="E757" s="212"/>
      <c r="F757" s="212"/>
      <c r="G757" s="1"/>
      <c r="H757" s="221"/>
      <c r="I757" s="221"/>
      <c r="J757" s="221"/>
      <c r="K757" s="22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4.25" customHeight="1">
      <c r="A758" s="1"/>
      <c r="B758" s="218"/>
      <c r="C758" s="212"/>
      <c r="D758" s="212"/>
      <c r="E758" s="212"/>
      <c r="F758" s="212"/>
      <c r="G758" s="1"/>
      <c r="H758" s="221"/>
      <c r="I758" s="221"/>
      <c r="J758" s="221"/>
      <c r="K758" s="22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4.25" customHeight="1">
      <c r="A759" s="1"/>
      <c r="B759" s="218"/>
      <c r="C759" s="212"/>
      <c r="D759" s="212"/>
      <c r="E759" s="212"/>
      <c r="F759" s="212"/>
      <c r="G759" s="1"/>
      <c r="H759" s="221"/>
      <c r="I759" s="221"/>
      <c r="J759" s="221"/>
      <c r="K759" s="22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4.25" customHeight="1">
      <c r="A760" s="1"/>
      <c r="B760" s="218"/>
      <c r="C760" s="212"/>
      <c r="D760" s="212"/>
      <c r="E760" s="212"/>
      <c r="F760" s="212"/>
      <c r="G760" s="1"/>
      <c r="H760" s="221"/>
      <c r="I760" s="221"/>
      <c r="J760" s="221"/>
      <c r="K760" s="22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4.25" customHeight="1">
      <c r="A761" s="1"/>
      <c r="B761" s="218"/>
      <c r="C761" s="212"/>
      <c r="D761" s="212"/>
      <c r="E761" s="212"/>
      <c r="F761" s="212"/>
      <c r="G761" s="1"/>
      <c r="H761" s="221"/>
      <c r="I761" s="221"/>
      <c r="J761" s="221"/>
      <c r="K761" s="22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4.25" customHeight="1">
      <c r="A762" s="1"/>
      <c r="B762" s="218"/>
      <c r="C762" s="212"/>
      <c r="D762" s="212"/>
      <c r="E762" s="212"/>
      <c r="F762" s="212"/>
      <c r="G762" s="1"/>
      <c r="H762" s="221"/>
      <c r="I762" s="221"/>
      <c r="J762" s="221"/>
      <c r="K762" s="22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4.25" customHeight="1">
      <c r="A763" s="1"/>
      <c r="B763" s="218"/>
      <c r="C763" s="212"/>
      <c r="D763" s="212"/>
      <c r="E763" s="212"/>
      <c r="F763" s="212"/>
      <c r="G763" s="1"/>
      <c r="H763" s="221"/>
      <c r="I763" s="221"/>
      <c r="J763" s="221"/>
      <c r="K763" s="22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4.25" customHeight="1">
      <c r="A764" s="1"/>
      <c r="B764" s="218"/>
      <c r="C764" s="212"/>
      <c r="D764" s="212"/>
      <c r="E764" s="212"/>
      <c r="F764" s="212"/>
      <c r="G764" s="1"/>
      <c r="H764" s="221"/>
      <c r="I764" s="221"/>
      <c r="J764" s="221"/>
      <c r="K764" s="22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4.25" customHeight="1">
      <c r="A765" s="1"/>
      <c r="B765" s="218"/>
      <c r="C765" s="212"/>
      <c r="D765" s="212"/>
      <c r="E765" s="212"/>
      <c r="F765" s="212"/>
      <c r="G765" s="1"/>
      <c r="H765" s="221"/>
      <c r="I765" s="221"/>
      <c r="J765" s="221"/>
      <c r="K765" s="22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4.25" customHeight="1">
      <c r="A766" s="1"/>
      <c r="B766" s="218"/>
      <c r="C766" s="212"/>
      <c r="D766" s="212"/>
      <c r="E766" s="212"/>
      <c r="F766" s="212"/>
      <c r="G766" s="1"/>
      <c r="H766" s="221"/>
      <c r="I766" s="221"/>
      <c r="J766" s="221"/>
      <c r="K766" s="22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4.25" customHeight="1">
      <c r="A767" s="1"/>
      <c r="B767" s="218"/>
      <c r="C767" s="212"/>
      <c r="D767" s="212"/>
      <c r="E767" s="212"/>
      <c r="F767" s="212"/>
      <c r="G767" s="1"/>
      <c r="H767" s="221"/>
      <c r="I767" s="221"/>
      <c r="J767" s="221"/>
      <c r="K767" s="22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4.25" customHeight="1">
      <c r="A768" s="1"/>
      <c r="B768" s="218"/>
      <c r="C768" s="212"/>
      <c r="D768" s="212"/>
      <c r="E768" s="212"/>
      <c r="F768" s="212"/>
      <c r="G768" s="1"/>
      <c r="H768" s="221"/>
      <c r="I768" s="221"/>
      <c r="J768" s="221"/>
      <c r="K768" s="22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4.25" customHeight="1">
      <c r="A769" s="1"/>
      <c r="B769" s="218"/>
      <c r="C769" s="212"/>
      <c r="D769" s="212"/>
      <c r="E769" s="212"/>
      <c r="F769" s="212"/>
      <c r="G769" s="1"/>
      <c r="H769" s="221"/>
      <c r="I769" s="221"/>
      <c r="J769" s="221"/>
      <c r="K769" s="22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4.25" customHeight="1">
      <c r="A770" s="1"/>
      <c r="B770" s="218"/>
      <c r="C770" s="212"/>
      <c r="D770" s="212"/>
      <c r="E770" s="212"/>
      <c r="F770" s="212"/>
      <c r="G770" s="1"/>
      <c r="H770" s="221"/>
      <c r="I770" s="221"/>
      <c r="J770" s="221"/>
      <c r="K770" s="22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4.25" customHeight="1">
      <c r="A771" s="1"/>
      <c r="B771" s="218"/>
      <c r="C771" s="212"/>
      <c r="D771" s="212"/>
      <c r="E771" s="212"/>
      <c r="F771" s="212"/>
      <c r="G771" s="1"/>
      <c r="H771" s="221"/>
      <c r="I771" s="221"/>
      <c r="J771" s="221"/>
      <c r="K771" s="22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4.25" customHeight="1">
      <c r="A772" s="1"/>
      <c r="B772" s="218"/>
      <c r="C772" s="212"/>
      <c r="D772" s="212"/>
      <c r="E772" s="212"/>
      <c r="F772" s="212"/>
      <c r="G772" s="1"/>
      <c r="H772" s="221"/>
      <c r="I772" s="221"/>
      <c r="J772" s="221"/>
      <c r="K772" s="22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4.25" customHeight="1">
      <c r="A773" s="1"/>
      <c r="B773" s="218"/>
      <c r="C773" s="212"/>
      <c r="D773" s="212"/>
      <c r="E773" s="212"/>
      <c r="F773" s="212"/>
      <c r="G773" s="1"/>
      <c r="H773" s="221"/>
      <c r="I773" s="221"/>
      <c r="J773" s="221"/>
      <c r="K773" s="22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4.25" customHeight="1">
      <c r="A774" s="1"/>
      <c r="B774" s="218"/>
      <c r="C774" s="212"/>
      <c r="D774" s="212"/>
      <c r="E774" s="212"/>
      <c r="F774" s="212"/>
      <c r="G774" s="1"/>
      <c r="H774" s="221"/>
      <c r="I774" s="221"/>
      <c r="J774" s="221"/>
      <c r="K774" s="22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4.25" customHeight="1">
      <c r="A775" s="1"/>
      <c r="B775" s="218"/>
      <c r="C775" s="212"/>
      <c r="D775" s="212"/>
      <c r="E775" s="212"/>
      <c r="F775" s="212"/>
      <c r="G775" s="1"/>
      <c r="H775" s="221"/>
      <c r="I775" s="221"/>
      <c r="J775" s="221"/>
      <c r="K775" s="22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4.25" customHeight="1">
      <c r="A776" s="1"/>
      <c r="B776" s="218"/>
      <c r="C776" s="212"/>
      <c r="D776" s="212"/>
      <c r="E776" s="212"/>
      <c r="F776" s="212"/>
      <c r="G776" s="1"/>
      <c r="H776" s="221"/>
      <c r="I776" s="221"/>
      <c r="J776" s="221"/>
      <c r="K776" s="22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4.25" customHeight="1">
      <c r="A777" s="1"/>
      <c r="B777" s="218"/>
      <c r="C777" s="212"/>
      <c r="D777" s="212"/>
      <c r="E777" s="212"/>
      <c r="F777" s="212"/>
      <c r="G777" s="1"/>
      <c r="H777" s="221"/>
      <c r="I777" s="221"/>
      <c r="J777" s="221"/>
      <c r="K777" s="22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4.25" customHeight="1">
      <c r="A778" s="1"/>
      <c r="B778" s="218"/>
      <c r="C778" s="212"/>
      <c r="D778" s="212"/>
      <c r="E778" s="212"/>
      <c r="F778" s="212"/>
      <c r="G778" s="1"/>
      <c r="H778" s="221"/>
      <c r="I778" s="221"/>
      <c r="J778" s="221"/>
      <c r="K778" s="22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4.25" customHeight="1">
      <c r="A779" s="1"/>
      <c r="B779" s="218"/>
      <c r="C779" s="212"/>
      <c r="D779" s="212"/>
      <c r="E779" s="212"/>
      <c r="F779" s="212"/>
      <c r="G779" s="1"/>
      <c r="H779" s="221"/>
      <c r="I779" s="221"/>
      <c r="J779" s="221"/>
      <c r="K779" s="22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4.25" customHeight="1">
      <c r="A780" s="1"/>
      <c r="B780" s="218"/>
      <c r="C780" s="212"/>
      <c r="D780" s="212"/>
      <c r="E780" s="212"/>
      <c r="F780" s="212"/>
      <c r="G780" s="1"/>
      <c r="H780" s="221"/>
      <c r="I780" s="221"/>
      <c r="J780" s="221"/>
      <c r="K780" s="22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4.25" customHeight="1">
      <c r="A781" s="1"/>
      <c r="B781" s="218"/>
      <c r="C781" s="212"/>
      <c r="D781" s="212"/>
      <c r="E781" s="212"/>
      <c r="F781" s="212"/>
      <c r="G781" s="1"/>
      <c r="H781" s="221"/>
      <c r="I781" s="221"/>
      <c r="J781" s="221"/>
      <c r="K781" s="22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4.25" customHeight="1">
      <c r="A782" s="1"/>
      <c r="B782" s="218"/>
      <c r="C782" s="212"/>
      <c r="D782" s="212"/>
      <c r="E782" s="212"/>
      <c r="F782" s="212"/>
      <c r="G782" s="1"/>
      <c r="H782" s="221"/>
      <c r="I782" s="221"/>
      <c r="J782" s="221"/>
      <c r="K782" s="22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4.25" customHeight="1">
      <c r="A783" s="1"/>
      <c r="B783" s="218"/>
      <c r="C783" s="212"/>
      <c r="D783" s="212"/>
      <c r="E783" s="212"/>
      <c r="F783" s="212"/>
      <c r="G783" s="1"/>
      <c r="H783" s="221"/>
      <c r="I783" s="221"/>
      <c r="J783" s="221"/>
      <c r="K783" s="22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4.25" customHeight="1">
      <c r="A784" s="1"/>
      <c r="B784" s="218"/>
      <c r="C784" s="212"/>
      <c r="D784" s="212"/>
      <c r="E784" s="212"/>
      <c r="F784" s="212"/>
      <c r="G784" s="1"/>
      <c r="H784" s="221"/>
      <c r="I784" s="221"/>
      <c r="J784" s="221"/>
      <c r="K784" s="22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4.25" customHeight="1">
      <c r="A785" s="1"/>
      <c r="B785" s="218"/>
      <c r="C785" s="212"/>
      <c r="D785" s="212"/>
      <c r="E785" s="212"/>
      <c r="F785" s="212"/>
      <c r="G785" s="1"/>
      <c r="H785" s="221"/>
      <c r="I785" s="221"/>
      <c r="J785" s="221"/>
      <c r="K785" s="22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4.25" customHeight="1">
      <c r="A786" s="1"/>
      <c r="B786" s="218"/>
      <c r="C786" s="212"/>
      <c r="D786" s="212"/>
      <c r="E786" s="212"/>
      <c r="F786" s="212"/>
      <c r="G786" s="1"/>
      <c r="H786" s="221"/>
      <c r="I786" s="221"/>
      <c r="J786" s="221"/>
      <c r="K786" s="22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4.25" customHeight="1">
      <c r="A787" s="1"/>
      <c r="B787" s="218"/>
      <c r="C787" s="212"/>
      <c r="D787" s="212"/>
      <c r="E787" s="212"/>
      <c r="F787" s="212"/>
      <c r="G787" s="1"/>
      <c r="H787" s="221"/>
      <c r="I787" s="221"/>
      <c r="J787" s="221"/>
      <c r="K787" s="22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4.25" customHeight="1">
      <c r="A788" s="1"/>
      <c r="B788" s="218"/>
      <c r="C788" s="212"/>
      <c r="D788" s="212"/>
      <c r="E788" s="212"/>
      <c r="F788" s="212"/>
      <c r="G788" s="1"/>
      <c r="H788" s="221"/>
      <c r="I788" s="221"/>
      <c r="J788" s="221"/>
      <c r="K788" s="22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4.25" customHeight="1">
      <c r="A789" s="1"/>
      <c r="B789" s="218"/>
      <c r="C789" s="212"/>
      <c r="D789" s="212"/>
      <c r="E789" s="212"/>
      <c r="F789" s="212"/>
      <c r="G789" s="1"/>
      <c r="H789" s="221"/>
      <c r="I789" s="221"/>
      <c r="J789" s="221"/>
      <c r="K789" s="22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4.25" customHeight="1">
      <c r="A790" s="1"/>
      <c r="B790" s="218"/>
      <c r="C790" s="212"/>
      <c r="D790" s="212"/>
      <c r="E790" s="212"/>
      <c r="F790" s="212"/>
      <c r="G790" s="1"/>
      <c r="H790" s="221"/>
      <c r="I790" s="221"/>
      <c r="J790" s="221"/>
      <c r="K790" s="22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4.25" customHeight="1">
      <c r="A791" s="1"/>
      <c r="B791" s="218"/>
      <c r="C791" s="212"/>
      <c r="D791" s="212"/>
      <c r="E791" s="212"/>
      <c r="F791" s="212"/>
      <c r="G791" s="1"/>
      <c r="H791" s="221"/>
      <c r="I791" s="221"/>
      <c r="J791" s="221"/>
      <c r="K791" s="22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4.25" customHeight="1">
      <c r="A792" s="1"/>
      <c r="B792" s="218"/>
      <c r="C792" s="212"/>
      <c r="D792" s="212"/>
      <c r="E792" s="212"/>
      <c r="F792" s="212"/>
      <c r="G792" s="1"/>
      <c r="H792" s="221"/>
      <c r="I792" s="221"/>
      <c r="J792" s="221"/>
      <c r="K792" s="22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4.25" customHeight="1">
      <c r="A793" s="1"/>
      <c r="B793" s="218"/>
      <c r="C793" s="212"/>
      <c r="D793" s="212"/>
      <c r="E793" s="212"/>
      <c r="F793" s="212"/>
      <c r="G793" s="1"/>
      <c r="H793" s="221"/>
      <c r="I793" s="221"/>
      <c r="J793" s="221"/>
      <c r="K793" s="22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4.25" customHeight="1">
      <c r="A794" s="1"/>
      <c r="B794" s="218"/>
      <c r="C794" s="212"/>
      <c r="D794" s="212"/>
      <c r="E794" s="212"/>
      <c r="F794" s="212"/>
      <c r="G794" s="1"/>
      <c r="H794" s="221"/>
      <c r="I794" s="221"/>
      <c r="J794" s="221"/>
      <c r="K794" s="22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4.25" customHeight="1">
      <c r="A795" s="1"/>
      <c r="B795" s="218"/>
      <c r="C795" s="212"/>
      <c r="D795" s="212"/>
      <c r="E795" s="212"/>
      <c r="F795" s="212"/>
      <c r="G795" s="1"/>
      <c r="H795" s="221"/>
      <c r="I795" s="221"/>
      <c r="J795" s="221"/>
      <c r="K795" s="22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4.25" customHeight="1">
      <c r="A796" s="1"/>
      <c r="B796" s="218"/>
      <c r="C796" s="212"/>
      <c r="D796" s="212"/>
      <c r="E796" s="212"/>
      <c r="F796" s="212"/>
      <c r="G796" s="1"/>
      <c r="H796" s="221"/>
      <c r="I796" s="221"/>
      <c r="J796" s="221"/>
      <c r="K796" s="22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4.25" customHeight="1">
      <c r="A797" s="1"/>
      <c r="B797" s="218"/>
      <c r="C797" s="212"/>
      <c r="D797" s="212"/>
      <c r="E797" s="212"/>
      <c r="F797" s="212"/>
      <c r="G797" s="1"/>
      <c r="H797" s="221"/>
      <c r="I797" s="221"/>
      <c r="J797" s="221"/>
      <c r="K797" s="22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4.25" customHeight="1">
      <c r="A798" s="1"/>
      <c r="B798" s="218"/>
      <c r="C798" s="212"/>
      <c r="D798" s="212"/>
      <c r="E798" s="212"/>
      <c r="F798" s="212"/>
      <c r="G798" s="1"/>
      <c r="H798" s="221"/>
      <c r="I798" s="221"/>
      <c r="J798" s="221"/>
      <c r="K798" s="22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4.25" customHeight="1">
      <c r="A799" s="1"/>
      <c r="B799" s="218"/>
      <c r="C799" s="212"/>
      <c r="D799" s="212"/>
      <c r="E799" s="212"/>
      <c r="F799" s="212"/>
      <c r="G799" s="1"/>
      <c r="H799" s="221"/>
      <c r="I799" s="221"/>
      <c r="J799" s="221"/>
      <c r="K799" s="22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4.25" customHeight="1">
      <c r="A800" s="1"/>
      <c r="B800" s="218"/>
      <c r="C800" s="212"/>
      <c r="D800" s="212"/>
      <c r="E800" s="212"/>
      <c r="F800" s="212"/>
      <c r="G800" s="1"/>
      <c r="H800" s="221"/>
      <c r="I800" s="221"/>
      <c r="J800" s="221"/>
      <c r="K800" s="22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4.25" customHeight="1">
      <c r="A801" s="1"/>
      <c r="B801" s="218"/>
      <c r="C801" s="212"/>
      <c r="D801" s="212"/>
      <c r="E801" s="212"/>
      <c r="F801" s="212"/>
      <c r="G801" s="1"/>
      <c r="H801" s="221"/>
      <c r="I801" s="221"/>
      <c r="J801" s="221"/>
      <c r="K801" s="22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4.25" customHeight="1">
      <c r="A802" s="1"/>
      <c r="B802" s="218"/>
      <c r="C802" s="212"/>
      <c r="D802" s="212"/>
      <c r="E802" s="212"/>
      <c r="F802" s="212"/>
      <c r="G802" s="1"/>
      <c r="H802" s="221"/>
      <c r="I802" s="221"/>
      <c r="J802" s="221"/>
      <c r="K802" s="22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4.25" customHeight="1">
      <c r="A803" s="1"/>
      <c r="B803" s="218"/>
      <c r="C803" s="212"/>
      <c r="D803" s="212"/>
      <c r="E803" s="212"/>
      <c r="F803" s="212"/>
      <c r="G803" s="1"/>
      <c r="H803" s="221"/>
      <c r="I803" s="221"/>
      <c r="J803" s="221"/>
      <c r="K803" s="22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4.25" customHeight="1">
      <c r="A804" s="1"/>
      <c r="B804" s="218"/>
      <c r="C804" s="212"/>
      <c r="D804" s="212"/>
      <c r="E804" s="212"/>
      <c r="F804" s="212"/>
      <c r="G804" s="1"/>
      <c r="H804" s="221"/>
      <c r="I804" s="221"/>
      <c r="J804" s="221"/>
      <c r="K804" s="22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4.25" customHeight="1">
      <c r="A805" s="1"/>
      <c r="B805" s="218"/>
      <c r="C805" s="212"/>
      <c r="D805" s="212"/>
      <c r="E805" s="212"/>
      <c r="F805" s="212"/>
      <c r="G805" s="1"/>
      <c r="H805" s="221"/>
      <c r="I805" s="221"/>
      <c r="J805" s="221"/>
      <c r="K805" s="22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4.25" customHeight="1">
      <c r="A806" s="1"/>
      <c r="B806" s="218"/>
      <c r="C806" s="212"/>
      <c r="D806" s="212"/>
      <c r="E806" s="212"/>
      <c r="F806" s="212"/>
      <c r="G806" s="1"/>
      <c r="H806" s="221"/>
      <c r="I806" s="221"/>
      <c r="J806" s="221"/>
      <c r="K806" s="22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4.25" customHeight="1">
      <c r="A807" s="1"/>
      <c r="B807" s="218"/>
      <c r="C807" s="212"/>
      <c r="D807" s="212"/>
      <c r="E807" s="212"/>
      <c r="F807" s="212"/>
      <c r="G807" s="1"/>
      <c r="H807" s="221"/>
      <c r="I807" s="221"/>
      <c r="J807" s="221"/>
      <c r="K807" s="22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4.25" customHeight="1">
      <c r="A808" s="1"/>
      <c r="B808" s="218"/>
      <c r="C808" s="212"/>
      <c r="D808" s="212"/>
      <c r="E808" s="212"/>
      <c r="F808" s="212"/>
      <c r="G808" s="1"/>
      <c r="H808" s="221"/>
      <c r="I808" s="221"/>
      <c r="J808" s="221"/>
      <c r="K808" s="22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4.25" customHeight="1">
      <c r="A809" s="1"/>
      <c r="B809" s="218"/>
      <c r="C809" s="212"/>
      <c r="D809" s="212"/>
      <c r="E809" s="212"/>
      <c r="F809" s="212"/>
      <c r="G809" s="1"/>
      <c r="H809" s="221"/>
      <c r="I809" s="221"/>
      <c r="J809" s="221"/>
      <c r="K809" s="22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4.25" customHeight="1">
      <c r="A810" s="1"/>
      <c r="B810" s="218"/>
      <c r="C810" s="212"/>
      <c r="D810" s="212"/>
      <c r="E810" s="212"/>
      <c r="F810" s="212"/>
      <c r="G810" s="1"/>
      <c r="H810" s="221"/>
      <c r="I810" s="221"/>
      <c r="J810" s="221"/>
      <c r="K810" s="22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4.25" customHeight="1">
      <c r="A811" s="1"/>
      <c r="B811" s="218"/>
      <c r="C811" s="212"/>
      <c r="D811" s="212"/>
      <c r="E811" s="212"/>
      <c r="F811" s="212"/>
      <c r="G811" s="1"/>
      <c r="H811" s="221"/>
      <c r="I811" s="221"/>
      <c r="J811" s="221"/>
      <c r="K811" s="22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4.25" customHeight="1">
      <c r="A812" s="1"/>
      <c r="B812" s="218"/>
      <c r="C812" s="212"/>
      <c r="D812" s="212"/>
      <c r="E812" s="212"/>
      <c r="F812" s="212"/>
      <c r="G812" s="1"/>
      <c r="H812" s="221"/>
      <c r="I812" s="221"/>
      <c r="J812" s="221"/>
      <c r="K812" s="22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4.25" customHeight="1">
      <c r="A813" s="1"/>
      <c r="B813" s="218"/>
      <c r="C813" s="212"/>
      <c r="D813" s="212"/>
      <c r="E813" s="212"/>
      <c r="F813" s="212"/>
      <c r="G813" s="1"/>
      <c r="H813" s="221"/>
      <c r="I813" s="221"/>
      <c r="J813" s="221"/>
      <c r="K813" s="22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4.25" customHeight="1">
      <c r="A814" s="1"/>
      <c r="B814" s="218"/>
      <c r="C814" s="212"/>
      <c r="D814" s="212"/>
      <c r="E814" s="212"/>
      <c r="F814" s="212"/>
      <c r="G814" s="1"/>
      <c r="H814" s="221"/>
      <c r="I814" s="221"/>
      <c r="J814" s="221"/>
      <c r="K814" s="22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4.25" customHeight="1">
      <c r="A815" s="1"/>
      <c r="B815" s="218"/>
      <c r="C815" s="212"/>
      <c r="D815" s="212"/>
      <c r="E815" s="212"/>
      <c r="F815" s="212"/>
      <c r="G815" s="1"/>
      <c r="H815" s="221"/>
      <c r="I815" s="221"/>
      <c r="J815" s="221"/>
      <c r="K815" s="22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4.25" customHeight="1">
      <c r="A816" s="1"/>
      <c r="B816" s="218"/>
      <c r="C816" s="212"/>
      <c r="D816" s="212"/>
      <c r="E816" s="212"/>
      <c r="F816" s="212"/>
      <c r="G816" s="1"/>
      <c r="H816" s="221"/>
      <c r="I816" s="221"/>
      <c r="J816" s="221"/>
      <c r="K816" s="22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4.25" customHeight="1">
      <c r="A817" s="1"/>
      <c r="B817" s="218"/>
      <c r="C817" s="212"/>
      <c r="D817" s="212"/>
      <c r="E817" s="212"/>
      <c r="F817" s="212"/>
      <c r="G817" s="1"/>
      <c r="H817" s="221"/>
      <c r="I817" s="221"/>
      <c r="J817" s="221"/>
      <c r="K817" s="22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4.25" customHeight="1">
      <c r="A818" s="1"/>
      <c r="B818" s="218"/>
      <c r="C818" s="212"/>
      <c r="D818" s="212"/>
      <c r="E818" s="212"/>
      <c r="F818" s="212"/>
      <c r="G818" s="1"/>
      <c r="H818" s="221"/>
      <c r="I818" s="221"/>
      <c r="J818" s="221"/>
      <c r="K818" s="22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4.25" customHeight="1">
      <c r="A819" s="1"/>
      <c r="B819" s="218"/>
      <c r="C819" s="212"/>
      <c r="D819" s="212"/>
      <c r="E819" s="212"/>
      <c r="F819" s="212"/>
      <c r="G819" s="1"/>
      <c r="H819" s="221"/>
      <c r="I819" s="221"/>
      <c r="J819" s="221"/>
      <c r="K819" s="22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4.25" customHeight="1">
      <c r="A820" s="1"/>
      <c r="B820" s="218"/>
      <c r="C820" s="212"/>
      <c r="D820" s="212"/>
      <c r="E820" s="212"/>
      <c r="F820" s="212"/>
      <c r="G820" s="1"/>
      <c r="H820" s="221"/>
      <c r="I820" s="221"/>
      <c r="J820" s="221"/>
      <c r="K820" s="22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4.25" customHeight="1">
      <c r="A821" s="1"/>
      <c r="B821" s="218"/>
      <c r="C821" s="212"/>
      <c r="D821" s="212"/>
      <c r="E821" s="212"/>
      <c r="F821" s="212"/>
      <c r="G821" s="1"/>
      <c r="H821" s="221"/>
      <c r="I821" s="221"/>
      <c r="J821" s="221"/>
      <c r="K821" s="22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4.25" customHeight="1">
      <c r="A822" s="1"/>
      <c r="B822" s="218"/>
      <c r="C822" s="212"/>
      <c r="D822" s="212"/>
      <c r="E822" s="212"/>
      <c r="F822" s="212"/>
      <c r="G822" s="1"/>
      <c r="H822" s="221"/>
      <c r="I822" s="221"/>
      <c r="J822" s="221"/>
      <c r="K822" s="22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4.25" customHeight="1">
      <c r="A823" s="1"/>
      <c r="B823" s="218"/>
      <c r="C823" s="212"/>
      <c r="D823" s="212"/>
      <c r="E823" s="212"/>
      <c r="F823" s="212"/>
      <c r="G823" s="1"/>
      <c r="H823" s="221"/>
      <c r="I823" s="221"/>
      <c r="J823" s="221"/>
      <c r="K823" s="22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4.25" customHeight="1">
      <c r="A824" s="1"/>
      <c r="B824" s="218"/>
      <c r="C824" s="212"/>
      <c r="D824" s="212"/>
      <c r="E824" s="212"/>
      <c r="F824" s="212"/>
      <c r="G824" s="1"/>
      <c r="H824" s="221"/>
      <c r="I824" s="221"/>
      <c r="J824" s="221"/>
      <c r="K824" s="22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4.25" customHeight="1">
      <c r="A825" s="1"/>
      <c r="B825" s="218"/>
      <c r="C825" s="212"/>
      <c r="D825" s="212"/>
      <c r="E825" s="212"/>
      <c r="F825" s="212"/>
      <c r="G825" s="1"/>
      <c r="H825" s="221"/>
      <c r="I825" s="221"/>
      <c r="J825" s="221"/>
      <c r="K825" s="22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4.25" customHeight="1">
      <c r="A826" s="1"/>
      <c r="B826" s="218"/>
      <c r="C826" s="212"/>
      <c r="D826" s="212"/>
      <c r="E826" s="212"/>
      <c r="F826" s="212"/>
      <c r="G826" s="1"/>
      <c r="H826" s="221"/>
      <c r="I826" s="221"/>
      <c r="J826" s="221"/>
      <c r="K826" s="22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4.25" customHeight="1">
      <c r="A827" s="1"/>
      <c r="B827" s="218"/>
      <c r="C827" s="212"/>
      <c r="D827" s="212"/>
      <c r="E827" s="212"/>
      <c r="F827" s="212"/>
      <c r="G827" s="1"/>
      <c r="H827" s="221"/>
      <c r="I827" s="221"/>
      <c r="J827" s="221"/>
      <c r="K827" s="22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4.25" customHeight="1">
      <c r="A828" s="1"/>
      <c r="B828" s="218"/>
      <c r="C828" s="212"/>
      <c r="D828" s="212"/>
      <c r="E828" s="212"/>
      <c r="F828" s="212"/>
      <c r="G828" s="1"/>
      <c r="H828" s="221"/>
      <c r="I828" s="221"/>
      <c r="J828" s="221"/>
      <c r="K828" s="22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4.25" customHeight="1">
      <c r="A829" s="1"/>
      <c r="B829" s="218"/>
      <c r="C829" s="212"/>
      <c r="D829" s="212"/>
      <c r="E829" s="212"/>
      <c r="F829" s="212"/>
      <c r="G829" s="1"/>
      <c r="H829" s="221"/>
      <c r="I829" s="221"/>
      <c r="J829" s="221"/>
      <c r="K829" s="22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4.25" customHeight="1">
      <c r="A830" s="1"/>
      <c r="B830" s="218"/>
      <c r="C830" s="212"/>
      <c r="D830" s="212"/>
      <c r="E830" s="212"/>
      <c r="F830" s="212"/>
      <c r="G830" s="1"/>
      <c r="H830" s="221"/>
      <c r="I830" s="221"/>
      <c r="J830" s="221"/>
      <c r="K830" s="22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4.25" customHeight="1">
      <c r="A831" s="1"/>
      <c r="B831" s="218"/>
      <c r="C831" s="212"/>
      <c r="D831" s="212"/>
      <c r="E831" s="212"/>
      <c r="F831" s="212"/>
      <c r="G831" s="1"/>
      <c r="H831" s="221"/>
      <c r="I831" s="221"/>
      <c r="J831" s="221"/>
      <c r="K831" s="22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4.25" customHeight="1">
      <c r="A832" s="1"/>
      <c r="B832" s="218"/>
      <c r="C832" s="212"/>
      <c r="D832" s="212"/>
      <c r="E832" s="212"/>
      <c r="F832" s="212"/>
      <c r="G832" s="1"/>
      <c r="H832" s="221"/>
      <c r="I832" s="221"/>
      <c r="J832" s="221"/>
      <c r="K832" s="22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4.25" customHeight="1">
      <c r="A833" s="1"/>
      <c r="B833" s="218"/>
      <c r="C833" s="212"/>
      <c r="D833" s="212"/>
      <c r="E833" s="212"/>
      <c r="F833" s="212"/>
      <c r="G833" s="1"/>
      <c r="H833" s="221"/>
      <c r="I833" s="221"/>
      <c r="J833" s="221"/>
      <c r="K833" s="22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4.25" customHeight="1">
      <c r="A834" s="1"/>
      <c r="B834" s="218"/>
      <c r="C834" s="212"/>
      <c r="D834" s="212"/>
      <c r="E834" s="212"/>
      <c r="F834" s="212"/>
      <c r="G834" s="1"/>
      <c r="H834" s="221"/>
      <c r="I834" s="221"/>
      <c r="J834" s="221"/>
      <c r="K834" s="22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4.25" customHeight="1">
      <c r="A835" s="1"/>
      <c r="B835" s="218"/>
      <c r="C835" s="212"/>
      <c r="D835" s="212"/>
      <c r="E835" s="212"/>
      <c r="F835" s="212"/>
      <c r="G835" s="1"/>
      <c r="H835" s="221"/>
      <c r="I835" s="221"/>
      <c r="J835" s="221"/>
      <c r="K835" s="22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4.25" customHeight="1">
      <c r="A836" s="1"/>
      <c r="B836" s="218"/>
      <c r="C836" s="212"/>
      <c r="D836" s="212"/>
      <c r="E836" s="212"/>
      <c r="F836" s="212"/>
      <c r="G836" s="1"/>
      <c r="H836" s="221"/>
      <c r="I836" s="221"/>
      <c r="J836" s="221"/>
      <c r="K836" s="22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4.25" customHeight="1">
      <c r="A837" s="1"/>
      <c r="B837" s="218"/>
      <c r="C837" s="212"/>
      <c r="D837" s="212"/>
      <c r="E837" s="212"/>
      <c r="F837" s="212"/>
      <c r="G837" s="1"/>
      <c r="H837" s="221"/>
      <c r="I837" s="221"/>
      <c r="J837" s="221"/>
      <c r="K837" s="22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4.25" customHeight="1">
      <c r="A838" s="1"/>
      <c r="B838" s="218"/>
      <c r="C838" s="212"/>
      <c r="D838" s="212"/>
      <c r="E838" s="212"/>
      <c r="F838" s="212"/>
      <c r="G838" s="1"/>
      <c r="H838" s="221"/>
      <c r="I838" s="221"/>
      <c r="J838" s="221"/>
      <c r="K838" s="22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4.25" customHeight="1">
      <c r="A839" s="1"/>
      <c r="B839" s="218"/>
      <c r="C839" s="212"/>
      <c r="D839" s="212"/>
      <c r="E839" s="212"/>
      <c r="F839" s="212"/>
      <c r="G839" s="1"/>
      <c r="H839" s="221"/>
      <c r="I839" s="221"/>
      <c r="J839" s="221"/>
      <c r="K839" s="22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4.25" customHeight="1">
      <c r="A840" s="1"/>
      <c r="B840" s="218"/>
      <c r="C840" s="212"/>
      <c r="D840" s="212"/>
      <c r="E840" s="212"/>
      <c r="F840" s="212"/>
      <c r="G840" s="1"/>
      <c r="H840" s="221"/>
      <c r="I840" s="221"/>
      <c r="J840" s="221"/>
      <c r="K840" s="22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4.25" customHeight="1">
      <c r="A841" s="1"/>
      <c r="B841" s="218"/>
      <c r="C841" s="212"/>
      <c r="D841" s="212"/>
      <c r="E841" s="212"/>
      <c r="F841" s="212"/>
      <c r="G841" s="1"/>
      <c r="H841" s="221"/>
      <c r="I841" s="221"/>
      <c r="J841" s="221"/>
      <c r="K841" s="22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4.25" customHeight="1">
      <c r="A842" s="1"/>
      <c r="B842" s="218"/>
      <c r="C842" s="212"/>
      <c r="D842" s="212"/>
      <c r="E842" s="212"/>
      <c r="F842" s="212"/>
      <c r="G842" s="1"/>
      <c r="H842" s="221"/>
      <c r="I842" s="221"/>
      <c r="J842" s="221"/>
      <c r="K842" s="22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4.25" customHeight="1">
      <c r="A843" s="1"/>
      <c r="B843" s="218"/>
      <c r="C843" s="212"/>
      <c r="D843" s="212"/>
      <c r="E843" s="212"/>
      <c r="F843" s="212"/>
      <c r="G843" s="1"/>
      <c r="H843" s="221"/>
      <c r="I843" s="221"/>
      <c r="J843" s="221"/>
      <c r="K843" s="22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4.25" customHeight="1">
      <c r="A844" s="1"/>
      <c r="B844" s="218"/>
      <c r="C844" s="212"/>
      <c r="D844" s="212"/>
      <c r="E844" s="212"/>
      <c r="F844" s="212"/>
      <c r="G844" s="1"/>
      <c r="H844" s="221"/>
      <c r="I844" s="221"/>
      <c r="J844" s="221"/>
      <c r="K844" s="22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4.25" customHeight="1">
      <c r="A845" s="1"/>
      <c r="B845" s="218"/>
      <c r="C845" s="212"/>
      <c r="D845" s="212"/>
      <c r="E845" s="212"/>
      <c r="F845" s="212"/>
      <c r="G845" s="1"/>
      <c r="H845" s="221"/>
      <c r="I845" s="221"/>
      <c r="J845" s="221"/>
      <c r="K845" s="22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4.25" customHeight="1">
      <c r="A846" s="1"/>
      <c r="B846" s="218"/>
      <c r="C846" s="212"/>
      <c r="D846" s="212"/>
      <c r="E846" s="212"/>
      <c r="F846" s="212"/>
      <c r="G846" s="1"/>
      <c r="H846" s="221"/>
      <c r="I846" s="221"/>
      <c r="J846" s="221"/>
      <c r="K846" s="22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4.25" customHeight="1">
      <c r="A847" s="1"/>
      <c r="B847" s="218"/>
      <c r="C847" s="212"/>
      <c r="D847" s="212"/>
      <c r="E847" s="212"/>
      <c r="F847" s="212"/>
      <c r="G847" s="1"/>
      <c r="H847" s="221"/>
      <c r="I847" s="221"/>
      <c r="J847" s="221"/>
      <c r="K847" s="22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4.25" customHeight="1">
      <c r="A848" s="1"/>
      <c r="B848" s="218"/>
      <c r="C848" s="212"/>
      <c r="D848" s="212"/>
      <c r="E848" s="212"/>
      <c r="F848" s="212"/>
      <c r="G848" s="1"/>
      <c r="H848" s="221"/>
      <c r="I848" s="221"/>
      <c r="J848" s="221"/>
      <c r="K848" s="22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4.25" customHeight="1">
      <c r="A849" s="1"/>
      <c r="B849" s="218"/>
      <c r="C849" s="212"/>
      <c r="D849" s="212"/>
      <c r="E849" s="212"/>
      <c r="F849" s="212"/>
      <c r="G849" s="1"/>
      <c r="H849" s="221"/>
      <c r="I849" s="221"/>
      <c r="J849" s="221"/>
      <c r="K849" s="22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4.25" customHeight="1">
      <c r="A850" s="1"/>
      <c r="B850" s="218"/>
      <c r="C850" s="212"/>
      <c r="D850" s="212"/>
      <c r="E850" s="212"/>
      <c r="F850" s="212"/>
      <c r="G850" s="1"/>
      <c r="H850" s="221"/>
      <c r="I850" s="221"/>
      <c r="J850" s="221"/>
      <c r="K850" s="22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4.25" customHeight="1">
      <c r="A851" s="1"/>
      <c r="B851" s="218"/>
      <c r="C851" s="212"/>
      <c r="D851" s="212"/>
      <c r="E851" s="212"/>
      <c r="F851" s="212"/>
      <c r="G851" s="1"/>
      <c r="H851" s="221"/>
      <c r="I851" s="221"/>
      <c r="J851" s="221"/>
      <c r="K851" s="22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4.25" customHeight="1">
      <c r="A852" s="1"/>
      <c r="B852" s="218"/>
      <c r="C852" s="212"/>
      <c r="D852" s="212"/>
      <c r="E852" s="212"/>
      <c r="F852" s="212"/>
      <c r="G852" s="1"/>
      <c r="H852" s="221"/>
      <c r="I852" s="221"/>
      <c r="J852" s="221"/>
      <c r="K852" s="22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4.25" customHeight="1">
      <c r="A853" s="1"/>
      <c r="B853" s="218"/>
      <c r="C853" s="212"/>
      <c r="D853" s="212"/>
      <c r="E853" s="212"/>
      <c r="F853" s="212"/>
      <c r="G853" s="1"/>
      <c r="H853" s="221"/>
      <c r="I853" s="221"/>
      <c r="J853" s="221"/>
      <c r="K853" s="22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4.25" customHeight="1">
      <c r="A854" s="1"/>
      <c r="B854" s="218"/>
      <c r="C854" s="212"/>
      <c r="D854" s="212"/>
      <c r="E854" s="212"/>
      <c r="F854" s="212"/>
      <c r="G854" s="1"/>
      <c r="H854" s="221"/>
      <c r="I854" s="221"/>
      <c r="J854" s="221"/>
      <c r="K854" s="22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4.25" customHeight="1">
      <c r="A855" s="1"/>
      <c r="B855" s="218"/>
      <c r="C855" s="212"/>
      <c r="D855" s="212"/>
      <c r="E855" s="212"/>
      <c r="F855" s="212"/>
      <c r="G855" s="1"/>
      <c r="H855" s="221"/>
      <c r="I855" s="221"/>
      <c r="J855" s="221"/>
      <c r="K855" s="22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4.25" customHeight="1">
      <c r="A856" s="1"/>
      <c r="B856" s="218"/>
      <c r="C856" s="212"/>
      <c r="D856" s="212"/>
      <c r="E856" s="212"/>
      <c r="F856" s="212"/>
      <c r="G856" s="1"/>
      <c r="H856" s="221"/>
      <c r="I856" s="221"/>
      <c r="J856" s="221"/>
      <c r="K856" s="22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4.25" customHeight="1">
      <c r="A857" s="1"/>
      <c r="B857" s="218"/>
      <c r="C857" s="212"/>
      <c r="D857" s="212"/>
      <c r="E857" s="212"/>
      <c r="F857" s="212"/>
      <c r="G857" s="1"/>
      <c r="H857" s="221"/>
      <c r="I857" s="221"/>
      <c r="J857" s="221"/>
      <c r="K857" s="22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4.25" customHeight="1">
      <c r="A858" s="1"/>
      <c r="B858" s="218"/>
      <c r="C858" s="212"/>
      <c r="D858" s="212"/>
      <c r="E858" s="212"/>
      <c r="F858" s="212"/>
      <c r="G858" s="1"/>
      <c r="H858" s="221"/>
      <c r="I858" s="221"/>
      <c r="J858" s="221"/>
      <c r="K858" s="22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4.25" customHeight="1">
      <c r="A859" s="1"/>
      <c r="B859" s="218"/>
      <c r="C859" s="212"/>
      <c r="D859" s="212"/>
      <c r="E859" s="212"/>
      <c r="F859" s="212"/>
      <c r="G859" s="1"/>
      <c r="H859" s="221"/>
      <c r="I859" s="221"/>
      <c r="J859" s="221"/>
      <c r="K859" s="22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4.25" customHeight="1">
      <c r="A860" s="1"/>
      <c r="B860" s="218"/>
      <c r="C860" s="212"/>
      <c r="D860" s="212"/>
      <c r="E860" s="212"/>
      <c r="F860" s="212"/>
      <c r="G860" s="1"/>
      <c r="H860" s="221"/>
      <c r="I860" s="221"/>
      <c r="J860" s="221"/>
      <c r="K860" s="22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4.25" customHeight="1">
      <c r="A861" s="1"/>
      <c r="B861" s="218"/>
      <c r="C861" s="212"/>
      <c r="D861" s="212"/>
      <c r="E861" s="212"/>
      <c r="F861" s="212"/>
      <c r="G861" s="1"/>
      <c r="H861" s="221"/>
      <c r="I861" s="221"/>
      <c r="J861" s="221"/>
      <c r="K861" s="22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4.25" customHeight="1">
      <c r="A862" s="1"/>
      <c r="B862" s="218"/>
      <c r="C862" s="212"/>
      <c r="D862" s="212"/>
      <c r="E862" s="212"/>
      <c r="F862" s="212"/>
      <c r="G862" s="1"/>
      <c r="H862" s="221"/>
      <c r="I862" s="221"/>
      <c r="J862" s="221"/>
      <c r="K862" s="22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4.25" customHeight="1">
      <c r="A863" s="1"/>
      <c r="B863" s="218"/>
      <c r="C863" s="212"/>
      <c r="D863" s="212"/>
      <c r="E863" s="212"/>
      <c r="F863" s="212"/>
      <c r="G863" s="1"/>
      <c r="H863" s="221"/>
      <c r="I863" s="221"/>
      <c r="J863" s="221"/>
      <c r="K863" s="22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4.25" customHeight="1">
      <c r="A864" s="1"/>
      <c r="B864" s="218"/>
      <c r="C864" s="212"/>
      <c r="D864" s="212"/>
      <c r="E864" s="212"/>
      <c r="F864" s="212"/>
      <c r="G864" s="1"/>
      <c r="H864" s="221"/>
      <c r="I864" s="221"/>
      <c r="J864" s="221"/>
      <c r="K864" s="22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4.25" customHeight="1">
      <c r="A865" s="1"/>
      <c r="B865" s="218"/>
      <c r="C865" s="212"/>
      <c r="D865" s="212"/>
      <c r="E865" s="212"/>
      <c r="F865" s="212"/>
      <c r="G865" s="1"/>
      <c r="H865" s="221"/>
      <c r="I865" s="221"/>
      <c r="J865" s="221"/>
      <c r="K865" s="22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4.25" customHeight="1">
      <c r="A866" s="1"/>
      <c r="B866" s="218"/>
      <c r="C866" s="212"/>
      <c r="D866" s="212"/>
      <c r="E866" s="212"/>
      <c r="F866" s="212"/>
      <c r="G866" s="1"/>
      <c r="H866" s="221"/>
      <c r="I866" s="221"/>
      <c r="J866" s="221"/>
      <c r="K866" s="22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4.25" customHeight="1">
      <c r="A867" s="1"/>
      <c r="B867" s="218"/>
      <c r="C867" s="212"/>
      <c r="D867" s="212"/>
      <c r="E867" s="212"/>
      <c r="F867" s="212"/>
      <c r="G867" s="1"/>
      <c r="H867" s="221"/>
      <c r="I867" s="221"/>
      <c r="J867" s="221"/>
      <c r="K867" s="22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4.25" customHeight="1">
      <c r="A868" s="1"/>
      <c r="B868" s="218"/>
      <c r="C868" s="212"/>
      <c r="D868" s="212"/>
      <c r="E868" s="212"/>
      <c r="F868" s="212"/>
      <c r="G868" s="1"/>
      <c r="H868" s="221"/>
      <c r="I868" s="221"/>
      <c r="J868" s="221"/>
      <c r="K868" s="22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4.25" customHeight="1">
      <c r="A869" s="1"/>
      <c r="B869" s="218"/>
      <c r="C869" s="212"/>
      <c r="D869" s="212"/>
      <c r="E869" s="212"/>
      <c r="F869" s="212"/>
      <c r="G869" s="1"/>
      <c r="H869" s="221"/>
      <c r="I869" s="221"/>
      <c r="J869" s="221"/>
      <c r="K869" s="22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4.25" customHeight="1">
      <c r="A870" s="1"/>
      <c r="B870" s="218"/>
      <c r="C870" s="212"/>
      <c r="D870" s="212"/>
      <c r="E870" s="212"/>
      <c r="F870" s="212"/>
      <c r="G870" s="1"/>
      <c r="H870" s="221"/>
      <c r="I870" s="221"/>
      <c r="J870" s="221"/>
      <c r="K870" s="22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4.25" customHeight="1">
      <c r="A871" s="1"/>
      <c r="B871" s="218"/>
      <c r="C871" s="212"/>
      <c r="D871" s="212"/>
      <c r="E871" s="212"/>
      <c r="F871" s="212"/>
      <c r="G871" s="1"/>
      <c r="H871" s="221"/>
      <c r="I871" s="221"/>
      <c r="J871" s="221"/>
      <c r="K871" s="22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4.25" customHeight="1">
      <c r="A872" s="1"/>
      <c r="B872" s="218"/>
      <c r="C872" s="212"/>
      <c r="D872" s="212"/>
      <c r="E872" s="212"/>
      <c r="F872" s="212"/>
      <c r="G872" s="1"/>
      <c r="H872" s="221"/>
      <c r="I872" s="221"/>
      <c r="J872" s="221"/>
      <c r="K872" s="22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4.25" customHeight="1">
      <c r="A873" s="1"/>
      <c r="B873" s="218"/>
      <c r="C873" s="212"/>
      <c r="D873" s="212"/>
      <c r="E873" s="212"/>
      <c r="F873" s="212"/>
      <c r="G873" s="1"/>
      <c r="H873" s="221"/>
      <c r="I873" s="221"/>
      <c r="J873" s="221"/>
      <c r="K873" s="22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4.25" customHeight="1">
      <c r="A874" s="1"/>
      <c r="B874" s="218"/>
      <c r="C874" s="212"/>
      <c r="D874" s="212"/>
      <c r="E874" s="212"/>
      <c r="F874" s="212"/>
      <c r="G874" s="1"/>
      <c r="H874" s="221"/>
      <c r="I874" s="221"/>
      <c r="J874" s="221"/>
      <c r="K874" s="22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4.25" customHeight="1">
      <c r="A875" s="1"/>
      <c r="B875" s="218"/>
      <c r="C875" s="212"/>
      <c r="D875" s="212"/>
      <c r="E875" s="212"/>
      <c r="F875" s="212"/>
      <c r="G875" s="1"/>
      <c r="H875" s="221"/>
      <c r="I875" s="221"/>
      <c r="J875" s="221"/>
      <c r="K875" s="22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4.25" customHeight="1">
      <c r="A876" s="1"/>
      <c r="B876" s="218"/>
      <c r="C876" s="212"/>
      <c r="D876" s="212"/>
      <c r="E876" s="212"/>
      <c r="F876" s="212"/>
      <c r="G876" s="1"/>
      <c r="H876" s="221"/>
      <c r="I876" s="221"/>
      <c r="J876" s="221"/>
      <c r="K876" s="22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4.25" customHeight="1">
      <c r="A877" s="1"/>
      <c r="B877" s="218"/>
      <c r="C877" s="212"/>
      <c r="D877" s="212"/>
      <c r="E877" s="212"/>
      <c r="F877" s="212"/>
      <c r="G877" s="1"/>
      <c r="H877" s="221"/>
      <c r="I877" s="221"/>
      <c r="J877" s="221"/>
      <c r="K877" s="22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4.25" customHeight="1">
      <c r="A878" s="1"/>
      <c r="B878" s="218"/>
      <c r="C878" s="212"/>
      <c r="D878" s="212"/>
      <c r="E878" s="212"/>
      <c r="F878" s="212"/>
      <c r="G878" s="1"/>
      <c r="H878" s="221"/>
      <c r="I878" s="221"/>
      <c r="J878" s="221"/>
      <c r="K878" s="22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4.25" customHeight="1">
      <c r="A879" s="1"/>
      <c r="B879" s="218"/>
      <c r="C879" s="212"/>
      <c r="D879" s="212"/>
      <c r="E879" s="212"/>
      <c r="F879" s="212"/>
      <c r="G879" s="1"/>
      <c r="H879" s="221"/>
      <c r="I879" s="221"/>
      <c r="J879" s="221"/>
      <c r="K879" s="22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4.25" customHeight="1">
      <c r="A880" s="1"/>
      <c r="B880" s="218"/>
      <c r="C880" s="212"/>
      <c r="D880" s="212"/>
      <c r="E880" s="212"/>
      <c r="F880" s="212"/>
      <c r="G880" s="1"/>
      <c r="H880" s="221"/>
      <c r="I880" s="221"/>
      <c r="J880" s="221"/>
      <c r="K880" s="22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4.25" customHeight="1">
      <c r="A881" s="1"/>
      <c r="B881" s="218"/>
      <c r="C881" s="212"/>
      <c r="D881" s="212"/>
      <c r="E881" s="212"/>
      <c r="F881" s="212"/>
      <c r="G881" s="1"/>
      <c r="H881" s="221"/>
      <c r="I881" s="221"/>
      <c r="J881" s="221"/>
      <c r="K881" s="22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4.25" customHeight="1">
      <c r="A882" s="1"/>
      <c r="B882" s="218"/>
      <c r="C882" s="212"/>
      <c r="D882" s="212"/>
      <c r="E882" s="212"/>
      <c r="F882" s="212"/>
      <c r="G882" s="1"/>
      <c r="H882" s="221"/>
      <c r="I882" s="221"/>
      <c r="J882" s="221"/>
      <c r="K882" s="22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4.25" customHeight="1">
      <c r="A883" s="1"/>
      <c r="B883" s="218"/>
      <c r="C883" s="212"/>
      <c r="D883" s="212"/>
      <c r="E883" s="212"/>
      <c r="F883" s="212"/>
      <c r="G883" s="1"/>
      <c r="H883" s="221"/>
      <c r="I883" s="221"/>
      <c r="J883" s="221"/>
      <c r="K883" s="22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4.25" customHeight="1">
      <c r="A884" s="1"/>
      <c r="B884" s="218"/>
      <c r="C884" s="212"/>
      <c r="D884" s="212"/>
      <c r="E884" s="212"/>
      <c r="F884" s="212"/>
      <c r="G884" s="1"/>
      <c r="H884" s="221"/>
      <c r="I884" s="221"/>
      <c r="J884" s="221"/>
      <c r="K884" s="22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4.25" customHeight="1">
      <c r="A885" s="1"/>
      <c r="B885" s="218"/>
      <c r="C885" s="212"/>
      <c r="D885" s="212"/>
      <c r="E885" s="212"/>
      <c r="F885" s="212"/>
      <c r="G885" s="1"/>
      <c r="H885" s="221"/>
      <c r="I885" s="221"/>
      <c r="J885" s="221"/>
      <c r="K885" s="22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4.25" customHeight="1">
      <c r="A886" s="1"/>
      <c r="B886" s="218"/>
      <c r="C886" s="212"/>
      <c r="D886" s="212"/>
      <c r="E886" s="212"/>
      <c r="F886" s="212"/>
      <c r="G886" s="1"/>
      <c r="H886" s="221"/>
      <c r="I886" s="221"/>
      <c r="J886" s="221"/>
      <c r="K886" s="22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4.25" customHeight="1">
      <c r="A887" s="1"/>
      <c r="B887" s="218"/>
      <c r="C887" s="212"/>
      <c r="D887" s="212"/>
      <c r="E887" s="212"/>
      <c r="F887" s="212"/>
      <c r="G887" s="1"/>
      <c r="H887" s="221"/>
      <c r="I887" s="221"/>
      <c r="J887" s="221"/>
      <c r="K887" s="22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4.25" customHeight="1">
      <c r="A888" s="1"/>
      <c r="B888" s="218"/>
      <c r="C888" s="212"/>
      <c r="D888" s="212"/>
      <c r="E888" s="212"/>
      <c r="F888" s="212"/>
      <c r="G888" s="1"/>
      <c r="H888" s="221"/>
      <c r="I888" s="221"/>
      <c r="J888" s="221"/>
      <c r="K888" s="22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4.25" customHeight="1">
      <c r="A889" s="1"/>
      <c r="B889" s="218"/>
      <c r="C889" s="212"/>
      <c r="D889" s="212"/>
      <c r="E889" s="212"/>
      <c r="F889" s="212"/>
      <c r="G889" s="1"/>
      <c r="H889" s="221"/>
      <c r="I889" s="221"/>
      <c r="J889" s="221"/>
      <c r="K889" s="22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4.25" customHeight="1">
      <c r="A890" s="1"/>
      <c r="B890" s="218"/>
      <c r="C890" s="212"/>
      <c r="D890" s="212"/>
      <c r="E890" s="212"/>
      <c r="F890" s="212"/>
      <c r="G890" s="1"/>
      <c r="H890" s="221"/>
      <c r="I890" s="221"/>
      <c r="J890" s="221"/>
      <c r="K890" s="22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4.25" customHeight="1">
      <c r="A891" s="1"/>
      <c r="B891" s="218"/>
      <c r="C891" s="212"/>
      <c r="D891" s="212"/>
      <c r="E891" s="212"/>
      <c r="F891" s="212"/>
      <c r="G891" s="1"/>
      <c r="H891" s="221"/>
      <c r="I891" s="221"/>
      <c r="J891" s="221"/>
      <c r="K891" s="22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4.25" customHeight="1">
      <c r="A892" s="1"/>
      <c r="B892" s="218"/>
      <c r="C892" s="212"/>
      <c r="D892" s="212"/>
      <c r="E892" s="212"/>
      <c r="F892" s="212"/>
      <c r="G892" s="1"/>
      <c r="H892" s="221"/>
      <c r="I892" s="221"/>
      <c r="J892" s="221"/>
      <c r="K892" s="22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4.25" customHeight="1">
      <c r="A893" s="1"/>
      <c r="B893" s="218"/>
      <c r="C893" s="212"/>
      <c r="D893" s="212"/>
      <c r="E893" s="212"/>
      <c r="F893" s="212"/>
      <c r="G893" s="1"/>
      <c r="H893" s="221"/>
      <c r="I893" s="221"/>
      <c r="J893" s="221"/>
      <c r="K893" s="22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4.25" customHeight="1">
      <c r="A894" s="1"/>
      <c r="B894" s="218"/>
      <c r="C894" s="212"/>
      <c r="D894" s="212"/>
      <c r="E894" s="212"/>
      <c r="F894" s="212"/>
      <c r="G894" s="1"/>
      <c r="H894" s="221"/>
      <c r="I894" s="221"/>
      <c r="J894" s="221"/>
      <c r="K894" s="22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4.25" customHeight="1">
      <c r="A895" s="1"/>
      <c r="B895" s="218"/>
      <c r="C895" s="212"/>
      <c r="D895" s="212"/>
      <c r="E895" s="212"/>
      <c r="F895" s="212"/>
      <c r="G895" s="1"/>
      <c r="H895" s="221"/>
      <c r="I895" s="221"/>
      <c r="J895" s="221"/>
      <c r="K895" s="22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4.25" customHeight="1">
      <c r="A896" s="1"/>
      <c r="B896" s="218"/>
      <c r="C896" s="212"/>
      <c r="D896" s="212"/>
      <c r="E896" s="212"/>
      <c r="F896" s="212"/>
      <c r="G896" s="1"/>
      <c r="H896" s="221"/>
      <c r="I896" s="221"/>
      <c r="J896" s="221"/>
      <c r="K896" s="22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4.25" customHeight="1">
      <c r="A897" s="1"/>
      <c r="B897" s="218"/>
      <c r="C897" s="212"/>
      <c r="D897" s="212"/>
      <c r="E897" s="212"/>
      <c r="F897" s="212"/>
      <c r="G897" s="1"/>
      <c r="H897" s="221"/>
      <c r="I897" s="221"/>
      <c r="J897" s="221"/>
      <c r="K897" s="22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4.25" customHeight="1">
      <c r="A898" s="1"/>
      <c r="B898" s="218"/>
      <c r="C898" s="212"/>
      <c r="D898" s="212"/>
      <c r="E898" s="212"/>
      <c r="F898" s="212"/>
      <c r="G898" s="1"/>
      <c r="H898" s="221"/>
      <c r="I898" s="221"/>
      <c r="J898" s="221"/>
      <c r="K898" s="22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4.25" customHeight="1">
      <c r="A899" s="1"/>
      <c r="B899" s="218"/>
      <c r="C899" s="212"/>
      <c r="D899" s="212"/>
      <c r="E899" s="212"/>
      <c r="F899" s="212"/>
      <c r="G899" s="1"/>
      <c r="H899" s="221"/>
      <c r="I899" s="221"/>
      <c r="J899" s="221"/>
      <c r="K899" s="22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4.25" customHeight="1">
      <c r="A900" s="1"/>
      <c r="B900" s="218"/>
      <c r="C900" s="212"/>
      <c r="D900" s="212"/>
      <c r="E900" s="212"/>
      <c r="F900" s="212"/>
      <c r="G900" s="1"/>
      <c r="H900" s="221"/>
      <c r="I900" s="221"/>
      <c r="J900" s="221"/>
      <c r="K900" s="22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4.25" customHeight="1">
      <c r="A901" s="1"/>
      <c r="B901" s="218"/>
      <c r="C901" s="212"/>
      <c r="D901" s="212"/>
      <c r="E901" s="212"/>
      <c r="F901" s="212"/>
      <c r="G901" s="1"/>
      <c r="H901" s="221"/>
      <c r="I901" s="221"/>
      <c r="J901" s="221"/>
      <c r="K901" s="22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4.25" customHeight="1">
      <c r="A902" s="1"/>
      <c r="B902" s="218"/>
      <c r="C902" s="212"/>
      <c r="D902" s="212"/>
      <c r="E902" s="212"/>
      <c r="F902" s="212"/>
      <c r="G902" s="1"/>
      <c r="H902" s="221"/>
      <c r="I902" s="221"/>
      <c r="J902" s="221"/>
      <c r="K902" s="22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4.25" customHeight="1">
      <c r="A903" s="1"/>
      <c r="B903" s="218"/>
      <c r="C903" s="212"/>
      <c r="D903" s="212"/>
      <c r="E903" s="212"/>
      <c r="F903" s="212"/>
      <c r="G903" s="1"/>
      <c r="H903" s="221"/>
      <c r="I903" s="221"/>
      <c r="J903" s="221"/>
      <c r="K903" s="22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4.25" customHeight="1">
      <c r="A904" s="1"/>
      <c r="B904" s="218"/>
      <c r="C904" s="212"/>
      <c r="D904" s="212"/>
      <c r="E904" s="212"/>
      <c r="F904" s="212"/>
      <c r="G904" s="1"/>
      <c r="H904" s="221"/>
      <c r="I904" s="221"/>
      <c r="J904" s="221"/>
      <c r="K904" s="22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4.25" customHeight="1">
      <c r="A905" s="1"/>
      <c r="B905" s="218"/>
      <c r="C905" s="212"/>
      <c r="D905" s="212"/>
      <c r="E905" s="212"/>
      <c r="F905" s="212"/>
      <c r="G905" s="1"/>
      <c r="H905" s="221"/>
      <c r="I905" s="221"/>
      <c r="J905" s="221"/>
      <c r="K905" s="22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4.25" customHeight="1">
      <c r="A906" s="1"/>
      <c r="B906" s="218"/>
      <c r="C906" s="212"/>
      <c r="D906" s="212"/>
      <c r="E906" s="212"/>
      <c r="F906" s="212"/>
      <c r="G906" s="1"/>
      <c r="H906" s="221"/>
      <c r="I906" s="221"/>
      <c r="J906" s="221"/>
      <c r="K906" s="22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4.25" customHeight="1">
      <c r="A907" s="1"/>
      <c r="B907" s="218"/>
      <c r="C907" s="212"/>
      <c r="D907" s="212"/>
      <c r="E907" s="212"/>
      <c r="F907" s="212"/>
      <c r="G907" s="1"/>
      <c r="H907" s="221"/>
      <c r="I907" s="221"/>
      <c r="J907" s="221"/>
      <c r="K907" s="22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4.25" customHeight="1">
      <c r="A908" s="1"/>
      <c r="B908" s="218"/>
      <c r="C908" s="212"/>
      <c r="D908" s="212"/>
      <c r="E908" s="212"/>
      <c r="F908" s="212"/>
      <c r="G908" s="1"/>
      <c r="H908" s="221"/>
      <c r="I908" s="221"/>
      <c r="J908" s="221"/>
      <c r="K908" s="22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4.25" customHeight="1">
      <c r="A909" s="1"/>
      <c r="B909" s="218"/>
      <c r="C909" s="212"/>
      <c r="D909" s="212"/>
      <c r="E909" s="212"/>
      <c r="F909" s="212"/>
      <c r="G909" s="1"/>
      <c r="H909" s="221"/>
      <c r="I909" s="221"/>
      <c r="J909" s="221"/>
      <c r="K909" s="22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4.25" customHeight="1">
      <c r="A910" s="1"/>
      <c r="B910" s="218"/>
      <c r="C910" s="212"/>
      <c r="D910" s="212"/>
      <c r="E910" s="212"/>
      <c r="F910" s="212"/>
      <c r="G910" s="1"/>
      <c r="H910" s="221"/>
      <c r="I910" s="221"/>
      <c r="J910" s="221"/>
      <c r="K910" s="22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4.25" customHeight="1">
      <c r="A911" s="1"/>
      <c r="B911" s="218"/>
      <c r="C911" s="212"/>
      <c r="D911" s="212"/>
      <c r="E911" s="212"/>
      <c r="F911" s="212"/>
      <c r="G911" s="1"/>
      <c r="H911" s="221"/>
      <c r="I911" s="221"/>
      <c r="J911" s="221"/>
      <c r="K911" s="22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4.25" customHeight="1">
      <c r="A912" s="1"/>
      <c r="B912" s="218"/>
      <c r="C912" s="212"/>
      <c r="D912" s="212"/>
      <c r="E912" s="212"/>
      <c r="F912" s="212"/>
      <c r="G912" s="1"/>
      <c r="H912" s="221"/>
      <c r="I912" s="221"/>
      <c r="J912" s="221"/>
      <c r="K912" s="22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4.25" customHeight="1">
      <c r="A913" s="1"/>
      <c r="B913" s="218"/>
      <c r="C913" s="212"/>
      <c r="D913" s="212"/>
      <c r="E913" s="212"/>
      <c r="F913" s="212"/>
      <c r="G913" s="1"/>
      <c r="H913" s="221"/>
      <c r="I913" s="221"/>
      <c r="J913" s="221"/>
      <c r="K913" s="22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4.25" customHeight="1">
      <c r="A914" s="1"/>
      <c r="B914" s="218"/>
      <c r="C914" s="212"/>
      <c r="D914" s="212"/>
      <c r="E914" s="212"/>
      <c r="F914" s="212"/>
      <c r="G914" s="1"/>
      <c r="H914" s="221"/>
      <c r="I914" s="221"/>
      <c r="J914" s="221"/>
      <c r="K914" s="22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4.25" customHeight="1">
      <c r="A915" s="1"/>
      <c r="B915" s="218"/>
      <c r="C915" s="212"/>
      <c r="D915" s="212"/>
      <c r="E915" s="212"/>
      <c r="F915" s="212"/>
      <c r="G915" s="1"/>
      <c r="H915" s="221"/>
      <c r="I915" s="221"/>
      <c r="J915" s="221"/>
      <c r="K915" s="22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4.25" customHeight="1">
      <c r="A916" s="1"/>
      <c r="B916" s="218"/>
      <c r="C916" s="212"/>
      <c r="D916" s="212"/>
      <c r="E916" s="212"/>
      <c r="F916" s="212"/>
      <c r="G916" s="1"/>
      <c r="H916" s="221"/>
      <c r="I916" s="221"/>
      <c r="J916" s="221"/>
      <c r="K916" s="22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4.25" customHeight="1">
      <c r="A917" s="1"/>
      <c r="B917" s="218"/>
      <c r="C917" s="212"/>
      <c r="D917" s="212"/>
      <c r="E917" s="212"/>
      <c r="F917" s="212"/>
      <c r="G917" s="1"/>
      <c r="H917" s="221"/>
      <c r="I917" s="221"/>
      <c r="J917" s="221"/>
      <c r="K917" s="22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4.25" customHeight="1">
      <c r="A918" s="1"/>
      <c r="B918" s="218"/>
      <c r="C918" s="212"/>
      <c r="D918" s="212"/>
      <c r="E918" s="212"/>
      <c r="F918" s="212"/>
      <c r="G918" s="1"/>
      <c r="H918" s="221"/>
      <c r="I918" s="221"/>
      <c r="J918" s="221"/>
      <c r="K918" s="22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4.25" customHeight="1">
      <c r="A919" s="1"/>
      <c r="B919" s="218"/>
      <c r="C919" s="212"/>
      <c r="D919" s="212"/>
      <c r="E919" s="212"/>
      <c r="F919" s="212"/>
      <c r="G919" s="1"/>
      <c r="H919" s="221"/>
      <c r="I919" s="221"/>
      <c r="J919" s="221"/>
      <c r="K919" s="22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4.25" customHeight="1">
      <c r="A920" s="1"/>
      <c r="B920" s="218"/>
      <c r="C920" s="212"/>
      <c r="D920" s="212"/>
      <c r="E920" s="212"/>
      <c r="F920" s="212"/>
      <c r="G920" s="1"/>
      <c r="H920" s="221"/>
      <c r="I920" s="221"/>
      <c r="J920" s="221"/>
      <c r="K920" s="22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4.25" customHeight="1">
      <c r="A921" s="1"/>
      <c r="B921" s="218"/>
      <c r="C921" s="212"/>
      <c r="D921" s="212"/>
      <c r="E921" s="212"/>
      <c r="F921" s="212"/>
      <c r="G921" s="1"/>
      <c r="H921" s="221"/>
      <c r="I921" s="221"/>
      <c r="J921" s="221"/>
      <c r="K921" s="22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4.25" customHeight="1">
      <c r="A922" s="1"/>
      <c r="B922" s="218"/>
      <c r="C922" s="212"/>
      <c r="D922" s="212"/>
      <c r="E922" s="212"/>
      <c r="F922" s="212"/>
      <c r="G922" s="1"/>
      <c r="H922" s="221"/>
      <c r="I922" s="221"/>
      <c r="J922" s="221"/>
      <c r="K922" s="22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4.25" customHeight="1">
      <c r="A923" s="1"/>
      <c r="B923" s="218"/>
      <c r="C923" s="212"/>
      <c r="D923" s="212"/>
      <c r="E923" s="212"/>
      <c r="F923" s="212"/>
      <c r="G923" s="1"/>
      <c r="H923" s="221"/>
      <c r="I923" s="221"/>
      <c r="J923" s="221"/>
      <c r="K923" s="22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4.25" customHeight="1">
      <c r="A924" s="1"/>
      <c r="B924" s="218"/>
      <c r="C924" s="212"/>
      <c r="D924" s="212"/>
      <c r="E924" s="212"/>
      <c r="F924" s="212"/>
      <c r="G924" s="1"/>
      <c r="H924" s="221"/>
      <c r="I924" s="221"/>
      <c r="J924" s="221"/>
      <c r="K924" s="22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4.25" customHeight="1">
      <c r="A925" s="1"/>
      <c r="B925" s="218"/>
      <c r="C925" s="212"/>
      <c r="D925" s="212"/>
      <c r="E925" s="212"/>
      <c r="F925" s="212"/>
      <c r="G925" s="1"/>
      <c r="H925" s="221"/>
      <c r="I925" s="221"/>
      <c r="J925" s="221"/>
      <c r="K925" s="22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4.25" customHeight="1">
      <c r="A926" s="1"/>
      <c r="B926" s="218"/>
      <c r="C926" s="212"/>
      <c r="D926" s="212"/>
      <c r="E926" s="212"/>
      <c r="F926" s="212"/>
      <c r="G926" s="1"/>
      <c r="H926" s="221"/>
      <c r="I926" s="221"/>
      <c r="J926" s="221"/>
      <c r="K926" s="22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4.25" customHeight="1">
      <c r="A927" s="1"/>
      <c r="B927" s="218"/>
      <c r="C927" s="212"/>
      <c r="D927" s="212"/>
      <c r="E927" s="212"/>
      <c r="F927" s="212"/>
      <c r="G927" s="1"/>
      <c r="H927" s="221"/>
      <c r="I927" s="221"/>
      <c r="J927" s="221"/>
      <c r="K927" s="22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4.25" customHeight="1">
      <c r="A928" s="1"/>
      <c r="B928" s="218"/>
      <c r="C928" s="212"/>
      <c r="D928" s="212"/>
      <c r="E928" s="212"/>
      <c r="F928" s="212"/>
      <c r="G928" s="1"/>
      <c r="H928" s="221"/>
      <c r="I928" s="221"/>
      <c r="J928" s="221"/>
      <c r="K928" s="22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4.25" customHeight="1">
      <c r="A929" s="1"/>
      <c r="B929" s="218"/>
      <c r="C929" s="212"/>
      <c r="D929" s="212"/>
      <c r="E929" s="212"/>
      <c r="F929" s="212"/>
      <c r="G929" s="1"/>
      <c r="H929" s="221"/>
      <c r="I929" s="221"/>
      <c r="J929" s="221"/>
      <c r="K929" s="22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4.25" customHeight="1">
      <c r="A930" s="1"/>
      <c r="B930" s="218"/>
      <c r="C930" s="212"/>
      <c r="D930" s="212"/>
      <c r="E930" s="212"/>
      <c r="F930" s="212"/>
      <c r="G930" s="1"/>
      <c r="H930" s="221"/>
      <c r="I930" s="221"/>
      <c r="J930" s="221"/>
      <c r="K930" s="22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4.25" customHeight="1">
      <c r="A931" s="1"/>
      <c r="B931" s="218"/>
      <c r="C931" s="212"/>
      <c r="D931" s="212"/>
      <c r="E931" s="212"/>
      <c r="F931" s="212"/>
      <c r="G931" s="1"/>
      <c r="H931" s="221"/>
      <c r="I931" s="221"/>
      <c r="J931" s="221"/>
      <c r="K931" s="22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4.25" customHeight="1">
      <c r="A932" s="1"/>
      <c r="B932" s="218"/>
      <c r="C932" s="212"/>
      <c r="D932" s="212"/>
      <c r="E932" s="212"/>
      <c r="F932" s="212"/>
      <c r="G932" s="1"/>
      <c r="H932" s="221"/>
      <c r="I932" s="221"/>
      <c r="J932" s="221"/>
      <c r="K932" s="22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4.25" customHeight="1">
      <c r="A933" s="1"/>
      <c r="B933" s="218"/>
      <c r="C933" s="212"/>
      <c r="D933" s="212"/>
      <c r="E933" s="212"/>
      <c r="F933" s="212"/>
      <c r="G933" s="1"/>
      <c r="H933" s="221"/>
      <c r="I933" s="221"/>
      <c r="J933" s="221"/>
      <c r="K933" s="22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4.25" customHeight="1">
      <c r="A934" s="1"/>
      <c r="B934" s="218"/>
      <c r="C934" s="212"/>
      <c r="D934" s="212"/>
      <c r="E934" s="212"/>
      <c r="F934" s="212"/>
      <c r="G934" s="1"/>
      <c r="H934" s="221"/>
      <c r="I934" s="221"/>
      <c r="J934" s="221"/>
      <c r="K934" s="22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4.25" customHeight="1">
      <c r="A935" s="1"/>
      <c r="B935" s="218"/>
      <c r="C935" s="212"/>
      <c r="D935" s="212"/>
      <c r="E935" s="212"/>
      <c r="F935" s="212"/>
      <c r="G935" s="1"/>
      <c r="H935" s="221"/>
      <c r="I935" s="221"/>
      <c r="J935" s="221"/>
      <c r="K935" s="22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4.25" customHeight="1">
      <c r="A936" s="1"/>
      <c r="B936" s="218"/>
      <c r="C936" s="212"/>
      <c r="D936" s="212"/>
      <c r="E936" s="212"/>
      <c r="F936" s="212"/>
      <c r="G936" s="1"/>
      <c r="H936" s="221"/>
      <c r="I936" s="221"/>
      <c r="J936" s="221"/>
      <c r="K936" s="22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4.25" customHeight="1">
      <c r="A937" s="1"/>
      <c r="B937" s="218"/>
      <c r="C937" s="212"/>
      <c r="D937" s="212"/>
      <c r="E937" s="212"/>
      <c r="F937" s="212"/>
      <c r="G937" s="1"/>
      <c r="H937" s="221"/>
      <c r="I937" s="221"/>
      <c r="J937" s="221"/>
      <c r="K937" s="22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4.25" customHeight="1">
      <c r="A938" s="1"/>
      <c r="B938" s="218"/>
      <c r="C938" s="212"/>
      <c r="D938" s="212"/>
      <c r="E938" s="212"/>
      <c r="F938" s="212"/>
      <c r="G938" s="1"/>
      <c r="H938" s="221"/>
      <c r="I938" s="221"/>
      <c r="J938" s="221"/>
      <c r="K938" s="22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4.25" customHeight="1">
      <c r="A939" s="1"/>
      <c r="B939" s="218"/>
      <c r="C939" s="212"/>
      <c r="D939" s="212"/>
      <c r="E939" s="212"/>
      <c r="F939" s="212"/>
      <c r="G939" s="1"/>
      <c r="H939" s="221"/>
      <c r="I939" s="221"/>
      <c r="J939" s="221"/>
      <c r="K939" s="22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4.25" customHeight="1">
      <c r="A940" s="1"/>
      <c r="B940" s="218"/>
      <c r="C940" s="212"/>
      <c r="D940" s="212"/>
      <c r="E940" s="212"/>
      <c r="F940" s="212"/>
      <c r="G940" s="1"/>
      <c r="H940" s="221"/>
      <c r="I940" s="221"/>
      <c r="J940" s="221"/>
      <c r="K940" s="22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4.25" customHeight="1">
      <c r="A941" s="1"/>
      <c r="B941" s="218"/>
      <c r="C941" s="212"/>
      <c r="D941" s="212"/>
      <c r="E941" s="212"/>
      <c r="F941" s="212"/>
      <c r="G941" s="1"/>
      <c r="H941" s="221"/>
      <c r="I941" s="221"/>
      <c r="J941" s="221"/>
      <c r="K941" s="22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4.25" customHeight="1">
      <c r="A942" s="1"/>
      <c r="B942" s="218"/>
      <c r="C942" s="212"/>
      <c r="D942" s="212"/>
      <c r="E942" s="212"/>
      <c r="F942" s="212"/>
      <c r="G942" s="1"/>
      <c r="H942" s="221"/>
      <c r="I942" s="221"/>
      <c r="J942" s="221"/>
      <c r="K942" s="22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4.25" customHeight="1">
      <c r="A943" s="1"/>
      <c r="B943" s="218"/>
      <c r="C943" s="212"/>
      <c r="D943" s="212"/>
      <c r="E943" s="212"/>
      <c r="F943" s="212"/>
      <c r="G943" s="1"/>
      <c r="H943" s="221"/>
      <c r="I943" s="221"/>
      <c r="J943" s="221"/>
      <c r="K943" s="22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4.25" customHeight="1">
      <c r="A944" s="1"/>
      <c r="B944" s="218"/>
      <c r="C944" s="212"/>
      <c r="D944" s="212"/>
      <c r="E944" s="212"/>
      <c r="F944" s="212"/>
      <c r="G944" s="1"/>
      <c r="H944" s="221"/>
      <c r="I944" s="221"/>
      <c r="J944" s="221"/>
      <c r="K944" s="22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4.25" customHeight="1">
      <c r="A945" s="1"/>
      <c r="B945" s="218"/>
      <c r="C945" s="212"/>
      <c r="D945" s="212"/>
      <c r="E945" s="212"/>
      <c r="F945" s="212"/>
      <c r="G945" s="1"/>
      <c r="H945" s="221"/>
      <c r="I945" s="221"/>
      <c r="J945" s="221"/>
      <c r="K945" s="22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4.25" customHeight="1">
      <c r="A946" s="1"/>
      <c r="B946" s="218"/>
      <c r="C946" s="212"/>
      <c r="D946" s="212"/>
      <c r="E946" s="212"/>
      <c r="F946" s="212"/>
      <c r="G946" s="1"/>
      <c r="H946" s="221"/>
      <c r="I946" s="221"/>
      <c r="J946" s="221"/>
      <c r="K946" s="22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4.25" customHeight="1">
      <c r="A947" s="1"/>
      <c r="B947" s="218"/>
      <c r="C947" s="212"/>
      <c r="D947" s="212"/>
      <c r="E947" s="212"/>
      <c r="F947" s="212"/>
      <c r="G947" s="1"/>
      <c r="H947" s="221"/>
      <c r="I947" s="221"/>
      <c r="J947" s="221"/>
      <c r="K947" s="22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4.25" customHeight="1">
      <c r="A948" s="1"/>
      <c r="B948" s="218"/>
      <c r="C948" s="212"/>
      <c r="D948" s="212"/>
      <c r="E948" s="212"/>
      <c r="F948" s="212"/>
      <c r="G948" s="1"/>
      <c r="H948" s="221"/>
      <c r="I948" s="221"/>
      <c r="J948" s="221"/>
      <c r="K948" s="22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4.25" customHeight="1">
      <c r="A949" s="1"/>
      <c r="B949" s="218"/>
      <c r="C949" s="212"/>
      <c r="D949" s="212"/>
      <c r="E949" s="212"/>
      <c r="F949" s="212"/>
      <c r="G949" s="1"/>
      <c r="H949" s="221"/>
      <c r="I949" s="221"/>
      <c r="J949" s="221"/>
      <c r="K949" s="22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4.25" customHeight="1">
      <c r="A950" s="1"/>
      <c r="B950" s="218"/>
      <c r="C950" s="212"/>
      <c r="D950" s="212"/>
      <c r="E950" s="212"/>
      <c r="F950" s="212"/>
      <c r="G950" s="1"/>
      <c r="H950" s="221"/>
      <c r="I950" s="221"/>
      <c r="J950" s="221"/>
      <c r="K950" s="22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4.25" customHeight="1">
      <c r="A951" s="1"/>
      <c r="B951" s="218"/>
      <c r="C951" s="212"/>
      <c r="D951" s="212"/>
      <c r="E951" s="212"/>
      <c r="F951" s="212"/>
      <c r="G951" s="1"/>
      <c r="H951" s="221"/>
      <c r="I951" s="221"/>
      <c r="J951" s="221"/>
      <c r="K951" s="22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4.25" customHeight="1">
      <c r="A952" s="1"/>
      <c r="B952" s="218"/>
      <c r="C952" s="212"/>
      <c r="D952" s="212"/>
      <c r="E952" s="212"/>
      <c r="F952" s="212"/>
      <c r="G952" s="1"/>
      <c r="H952" s="221"/>
      <c r="I952" s="221"/>
      <c r="J952" s="221"/>
      <c r="K952" s="22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4.25" customHeight="1">
      <c r="A953" s="1"/>
      <c r="B953" s="218"/>
      <c r="C953" s="212"/>
      <c r="D953" s="212"/>
      <c r="E953" s="212"/>
      <c r="F953" s="212"/>
      <c r="G953" s="1"/>
      <c r="H953" s="221"/>
      <c r="I953" s="221"/>
      <c r="J953" s="221"/>
      <c r="K953" s="22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4.25" customHeight="1">
      <c r="A954" s="1"/>
      <c r="B954" s="218"/>
      <c r="C954" s="212"/>
      <c r="D954" s="212"/>
      <c r="E954" s="212"/>
      <c r="F954" s="212"/>
      <c r="G954" s="1"/>
      <c r="H954" s="221"/>
      <c r="I954" s="221"/>
      <c r="J954" s="221"/>
      <c r="K954" s="22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4.25" customHeight="1">
      <c r="A955" s="1"/>
      <c r="B955" s="218"/>
      <c r="C955" s="212"/>
      <c r="D955" s="212"/>
      <c r="E955" s="212"/>
      <c r="F955" s="212"/>
      <c r="G955" s="1"/>
      <c r="H955" s="221"/>
      <c r="I955" s="221"/>
      <c r="J955" s="221"/>
      <c r="K955" s="22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4.25" customHeight="1">
      <c r="A956" s="1"/>
      <c r="B956" s="218"/>
      <c r="C956" s="212"/>
      <c r="D956" s="212"/>
      <c r="E956" s="212"/>
      <c r="F956" s="212"/>
      <c r="G956" s="1"/>
      <c r="H956" s="221"/>
      <c r="I956" s="221"/>
      <c r="J956" s="221"/>
      <c r="K956" s="22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4.25" customHeight="1">
      <c r="A957" s="1"/>
      <c r="B957" s="218"/>
      <c r="C957" s="212"/>
      <c r="D957" s="212"/>
      <c r="E957" s="212"/>
      <c r="F957" s="212"/>
      <c r="G957" s="1"/>
      <c r="H957" s="221"/>
      <c r="I957" s="221"/>
      <c r="J957" s="221"/>
      <c r="K957" s="22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4.25" customHeight="1">
      <c r="A958" s="1"/>
      <c r="B958" s="218"/>
      <c r="C958" s="212"/>
      <c r="D958" s="212"/>
      <c r="E958" s="212"/>
      <c r="F958" s="212"/>
      <c r="G958" s="1"/>
      <c r="H958" s="221"/>
      <c r="I958" s="221"/>
      <c r="J958" s="221"/>
      <c r="K958" s="22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4.25" customHeight="1">
      <c r="A959" s="1"/>
      <c r="B959" s="218"/>
      <c r="C959" s="212"/>
      <c r="D959" s="212"/>
      <c r="E959" s="212"/>
      <c r="F959" s="212"/>
      <c r="G959" s="1"/>
      <c r="H959" s="221"/>
      <c r="I959" s="221"/>
      <c r="J959" s="221"/>
      <c r="K959" s="22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4.25" customHeight="1">
      <c r="A960" s="1"/>
      <c r="B960" s="218"/>
      <c r="C960" s="212"/>
      <c r="D960" s="212"/>
      <c r="E960" s="212"/>
      <c r="F960" s="212"/>
      <c r="G960" s="1"/>
      <c r="H960" s="221"/>
      <c r="I960" s="221"/>
      <c r="J960" s="221"/>
      <c r="K960" s="22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4.25" customHeight="1">
      <c r="A961" s="1"/>
      <c r="B961" s="218"/>
      <c r="C961" s="212"/>
      <c r="D961" s="212"/>
      <c r="E961" s="212"/>
      <c r="F961" s="212"/>
      <c r="G961" s="1"/>
      <c r="H961" s="221"/>
      <c r="I961" s="221"/>
      <c r="J961" s="221"/>
      <c r="K961" s="22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4.25" customHeight="1">
      <c r="A962" s="1"/>
      <c r="B962" s="218"/>
      <c r="C962" s="212"/>
      <c r="D962" s="212"/>
      <c r="E962" s="212"/>
      <c r="F962" s="212"/>
      <c r="G962" s="1"/>
      <c r="H962" s="221"/>
      <c r="I962" s="221"/>
      <c r="J962" s="221"/>
      <c r="K962" s="22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4.25" customHeight="1">
      <c r="A963" s="1"/>
      <c r="B963" s="218"/>
      <c r="C963" s="212"/>
      <c r="D963" s="212"/>
      <c r="E963" s="212"/>
      <c r="F963" s="212"/>
      <c r="G963" s="1"/>
      <c r="H963" s="221"/>
      <c r="I963" s="221"/>
      <c r="J963" s="221"/>
      <c r="K963" s="22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4.25" customHeight="1">
      <c r="A964" s="1"/>
      <c r="B964" s="218"/>
      <c r="C964" s="212"/>
      <c r="D964" s="212"/>
      <c r="E964" s="212"/>
      <c r="F964" s="212"/>
      <c r="G964" s="1"/>
      <c r="H964" s="221"/>
      <c r="I964" s="221"/>
      <c r="J964" s="221"/>
      <c r="K964" s="22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4.25" customHeight="1">
      <c r="A965" s="1"/>
      <c r="B965" s="218"/>
      <c r="C965" s="212"/>
      <c r="D965" s="212"/>
      <c r="E965" s="212"/>
      <c r="F965" s="212"/>
      <c r="G965" s="1"/>
      <c r="H965" s="221"/>
      <c r="I965" s="221"/>
      <c r="J965" s="221"/>
      <c r="K965" s="22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4.25" customHeight="1">
      <c r="A966" s="1"/>
      <c r="B966" s="218"/>
      <c r="C966" s="212"/>
      <c r="D966" s="212"/>
      <c r="E966" s="212"/>
      <c r="F966" s="212"/>
      <c r="G966" s="1"/>
      <c r="H966" s="221"/>
      <c r="I966" s="221"/>
      <c r="J966" s="221"/>
      <c r="K966" s="22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4.25" customHeight="1">
      <c r="A967" s="1"/>
      <c r="B967" s="218"/>
      <c r="C967" s="212"/>
      <c r="D967" s="212"/>
      <c r="E967" s="212"/>
      <c r="F967" s="212"/>
      <c r="G967" s="1"/>
      <c r="H967" s="221"/>
      <c r="I967" s="221"/>
      <c r="J967" s="221"/>
      <c r="K967" s="22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4.25" customHeight="1">
      <c r="A968" s="1"/>
      <c r="B968" s="218"/>
      <c r="C968" s="212"/>
      <c r="D968" s="212"/>
      <c r="E968" s="212"/>
      <c r="F968" s="212"/>
      <c r="G968" s="1"/>
      <c r="H968" s="221"/>
      <c r="I968" s="221"/>
      <c r="J968" s="221"/>
      <c r="K968" s="22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4.25" customHeight="1">
      <c r="A969" s="1"/>
      <c r="B969" s="218"/>
      <c r="C969" s="212"/>
      <c r="D969" s="212"/>
      <c r="E969" s="212"/>
      <c r="F969" s="212"/>
      <c r="G969" s="1"/>
      <c r="H969" s="221"/>
      <c r="I969" s="221"/>
      <c r="J969" s="221"/>
      <c r="K969" s="22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4.25" customHeight="1">
      <c r="A970" s="1"/>
      <c r="B970" s="218"/>
      <c r="C970" s="212"/>
      <c r="D970" s="212"/>
      <c r="E970" s="212"/>
      <c r="F970" s="212"/>
      <c r="G970" s="1"/>
      <c r="H970" s="221"/>
      <c r="I970" s="221"/>
      <c r="J970" s="221"/>
      <c r="K970" s="22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4.25" customHeight="1">
      <c r="A971" s="1"/>
      <c r="B971" s="218"/>
      <c r="C971" s="212"/>
      <c r="D971" s="212"/>
      <c r="E971" s="212"/>
      <c r="F971" s="212"/>
      <c r="G971" s="1"/>
      <c r="H971" s="221"/>
      <c r="I971" s="221"/>
      <c r="J971" s="221"/>
      <c r="K971" s="22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4.25" customHeight="1">
      <c r="A972" s="1"/>
      <c r="B972" s="218"/>
      <c r="C972" s="212"/>
      <c r="D972" s="212"/>
      <c r="E972" s="212"/>
      <c r="F972" s="212"/>
      <c r="G972" s="1"/>
      <c r="H972" s="221"/>
      <c r="I972" s="221"/>
      <c r="J972" s="221"/>
      <c r="K972" s="22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4.25" customHeight="1">
      <c r="A973" s="1"/>
      <c r="B973" s="218"/>
      <c r="C973" s="212"/>
      <c r="D973" s="212"/>
      <c r="E973" s="212"/>
      <c r="F973" s="212"/>
      <c r="G973" s="1"/>
      <c r="H973" s="221"/>
      <c r="I973" s="221"/>
      <c r="J973" s="221"/>
      <c r="K973" s="22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4.25" customHeight="1">
      <c r="A974" s="1"/>
      <c r="B974" s="218"/>
      <c r="C974" s="212"/>
      <c r="D974" s="212"/>
      <c r="E974" s="212"/>
      <c r="F974" s="212"/>
      <c r="G974" s="1"/>
      <c r="H974" s="221"/>
      <c r="I974" s="221"/>
      <c r="J974" s="221"/>
      <c r="K974" s="22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4.25" customHeight="1">
      <c r="A975" s="1"/>
      <c r="B975" s="218"/>
      <c r="C975" s="212"/>
      <c r="D975" s="212"/>
      <c r="E975" s="212"/>
      <c r="F975" s="212"/>
      <c r="G975" s="1"/>
      <c r="H975" s="221"/>
      <c r="I975" s="221"/>
      <c r="J975" s="221"/>
      <c r="K975" s="22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ht="14.25" customHeight="1">
      <c r="A976" s="1"/>
      <c r="B976" s="218"/>
      <c r="C976" s="212"/>
      <c r="D976" s="212"/>
      <c r="E976" s="212"/>
      <c r="F976" s="212"/>
      <c r="G976" s="1"/>
      <c r="H976" s="221"/>
      <c r="I976" s="221"/>
      <c r="J976" s="221"/>
      <c r="K976" s="22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ht="14.25" customHeight="1">
      <c r="A977" s="1"/>
      <c r="B977" s="218"/>
      <c r="C977" s="212"/>
      <c r="D977" s="212"/>
      <c r="E977" s="212"/>
      <c r="F977" s="212"/>
      <c r="G977" s="1"/>
      <c r="H977" s="221"/>
      <c r="I977" s="221"/>
      <c r="J977" s="221"/>
      <c r="K977" s="22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ht="14.25" customHeight="1">
      <c r="A978" s="1"/>
      <c r="B978" s="218"/>
      <c r="C978" s="212"/>
      <c r="D978" s="212"/>
      <c r="E978" s="212"/>
      <c r="F978" s="212"/>
      <c r="G978" s="1"/>
      <c r="H978" s="221"/>
      <c r="I978" s="221"/>
      <c r="J978" s="221"/>
      <c r="K978" s="22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ht="14.25" customHeight="1">
      <c r="A979" s="1"/>
      <c r="B979" s="218"/>
      <c r="C979" s="212"/>
      <c r="D979" s="212"/>
      <c r="E979" s="212"/>
      <c r="F979" s="212"/>
      <c r="G979" s="1"/>
      <c r="H979" s="221"/>
      <c r="I979" s="221"/>
      <c r="J979" s="221"/>
      <c r="K979" s="22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ht="14.25" customHeight="1">
      <c r="A980" s="1"/>
      <c r="B980" s="218"/>
      <c r="C980" s="212"/>
      <c r="D980" s="212"/>
      <c r="E980" s="212"/>
      <c r="F980" s="212"/>
      <c r="G980" s="1"/>
      <c r="H980" s="221"/>
      <c r="I980" s="221"/>
      <c r="J980" s="221"/>
      <c r="K980" s="22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ht="14.25" customHeight="1">
      <c r="A981" s="1"/>
      <c r="B981" s="218"/>
      <c r="C981" s="212"/>
      <c r="D981" s="212"/>
      <c r="E981" s="212"/>
      <c r="F981" s="212"/>
      <c r="G981" s="1"/>
      <c r="H981" s="221"/>
      <c r="I981" s="221"/>
      <c r="J981" s="221"/>
      <c r="K981" s="22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ht="14.25" customHeight="1">
      <c r="A982" s="1"/>
      <c r="B982" s="218"/>
      <c r="C982" s="212"/>
      <c r="D982" s="212"/>
      <c r="E982" s="212"/>
      <c r="F982" s="212"/>
      <c r="G982" s="1"/>
      <c r="H982" s="221"/>
      <c r="I982" s="221"/>
      <c r="J982" s="221"/>
      <c r="K982" s="22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ht="14.25" customHeight="1">
      <c r="A983" s="1"/>
      <c r="B983" s="218"/>
      <c r="C983" s="212"/>
      <c r="D983" s="212"/>
      <c r="E983" s="212"/>
      <c r="F983" s="212"/>
      <c r="G983" s="1"/>
      <c r="H983" s="221"/>
      <c r="I983" s="221"/>
      <c r="J983" s="221"/>
      <c r="K983" s="22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ht="14.25" customHeight="1">
      <c r="A984" s="1"/>
      <c r="B984" s="218"/>
      <c r="C984" s="212"/>
      <c r="D984" s="212"/>
      <c r="E984" s="212"/>
      <c r="F984" s="212"/>
      <c r="G984" s="1"/>
      <c r="H984" s="221"/>
      <c r="I984" s="221"/>
      <c r="J984" s="221"/>
      <c r="K984" s="22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ht="14.25" customHeight="1">
      <c r="A985" s="1"/>
      <c r="B985" s="218"/>
      <c r="C985" s="212"/>
      <c r="D985" s="212"/>
      <c r="E985" s="212"/>
      <c r="F985" s="212"/>
      <c r="G985" s="1"/>
      <c r="H985" s="221"/>
      <c r="I985" s="221"/>
      <c r="J985" s="221"/>
      <c r="K985" s="22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ht="14.25" customHeight="1">
      <c r="A986" s="1"/>
      <c r="B986" s="218"/>
      <c r="C986" s="212"/>
      <c r="D986" s="212"/>
      <c r="E986" s="212"/>
      <c r="F986" s="212"/>
      <c r="G986" s="1"/>
      <c r="H986" s="221"/>
      <c r="I986" s="221"/>
      <c r="J986" s="221"/>
      <c r="K986" s="22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ht="14.25" customHeight="1">
      <c r="A987" s="1"/>
      <c r="B987" s="218"/>
      <c r="C987" s="212"/>
      <c r="D987" s="212"/>
      <c r="E987" s="212"/>
      <c r="F987" s="212"/>
      <c r="G987" s="1"/>
      <c r="H987" s="221"/>
      <c r="I987" s="221"/>
      <c r="J987" s="221"/>
      <c r="K987" s="22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ht="14.25" customHeight="1">
      <c r="A988" s="1"/>
      <c r="B988" s="218"/>
      <c r="C988" s="212"/>
      <c r="D988" s="212"/>
      <c r="E988" s="212"/>
      <c r="F988" s="212"/>
      <c r="G988" s="1"/>
      <c r="H988" s="221"/>
      <c r="I988" s="221"/>
      <c r="J988" s="221"/>
      <c r="K988" s="22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ht="14.25" customHeight="1">
      <c r="A989" s="1"/>
      <c r="B989" s="218"/>
      <c r="C989" s="212"/>
      <c r="D989" s="212"/>
      <c r="E989" s="212"/>
      <c r="F989" s="212"/>
      <c r="G989" s="1"/>
      <c r="H989" s="221"/>
      <c r="I989" s="221"/>
      <c r="J989" s="221"/>
      <c r="K989" s="22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ht="14.25" customHeight="1">
      <c r="A990" s="1"/>
      <c r="B990" s="218"/>
      <c r="C990" s="212"/>
      <c r="D990" s="212"/>
      <c r="E990" s="212"/>
      <c r="F990" s="212"/>
      <c r="G990" s="1"/>
      <c r="H990" s="221"/>
      <c r="I990" s="221"/>
      <c r="J990" s="221"/>
      <c r="K990" s="22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ht="14.25" customHeight="1">
      <c r="A991" s="1"/>
      <c r="B991" s="218"/>
      <c r="C991" s="212"/>
      <c r="D991" s="212"/>
      <c r="E991" s="212"/>
      <c r="F991" s="212"/>
      <c r="G991" s="1"/>
      <c r="H991" s="221"/>
      <c r="I991" s="221"/>
      <c r="J991" s="221"/>
      <c r="K991" s="22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ht="14.25" customHeight="1">
      <c r="A992" s="1"/>
      <c r="B992" s="218"/>
      <c r="C992" s="212"/>
      <c r="D992" s="212"/>
      <c r="E992" s="212"/>
      <c r="F992" s="212"/>
      <c r="G992" s="1"/>
      <c r="H992" s="221"/>
      <c r="I992" s="221"/>
      <c r="J992" s="221"/>
      <c r="K992" s="22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ht="14.25" customHeight="1">
      <c r="A993" s="1"/>
      <c r="B993" s="218"/>
      <c r="C993" s="212"/>
      <c r="D993" s="212"/>
      <c r="E993" s="212"/>
      <c r="F993" s="212"/>
      <c r="G993" s="1"/>
      <c r="H993" s="221"/>
      <c r="I993" s="221"/>
      <c r="J993" s="221"/>
      <c r="K993" s="22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ht="14.25" customHeight="1">
      <c r="A994" s="1"/>
      <c r="B994" s="218"/>
      <c r="C994" s="212"/>
      <c r="D994" s="212"/>
      <c r="E994" s="212"/>
      <c r="F994" s="212"/>
      <c r="G994" s="1"/>
      <c r="H994" s="221"/>
      <c r="I994" s="221"/>
      <c r="J994" s="221"/>
      <c r="K994" s="22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ht="14.25" customHeight="1">
      <c r="A995" s="1"/>
      <c r="B995" s="218"/>
      <c r="C995" s="212"/>
      <c r="D995" s="212"/>
      <c r="E995" s="212"/>
      <c r="F995" s="212"/>
      <c r="G995" s="1"/>
      <c r="H995" s="221"/>
      <c r="I995" s="221"/>
      <c r="J995" s="221"/>
      <c r="K995" s="22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ht="14.25" customHeight="1">
      <c r="A996" s="1"/>
      <c r="B996" s="218"/>
      <c r="C996" s="212"/>
      <c r="D996" s="212"/>
      <c r="E996" s="212"/>
      <c r="F996" s="212"/>
      <c r="G996" s="1"/>
      <c r="H996" s="221"/>
      <c r="I996" s="221"/>
      <c r="J996" s="221"/>
      <c r="K996" s="22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ht="14.25" customHeight="1">
      <c r="A997" s="1"/>
      <c r="B997" s="218"/>
      <c r="C997" s="212"/>
      <c r="D997" s="212"/>
      <c r="E997" s="212"/>
      <c r="F997" s="212"/>
      <c r="G997" s="1"/>
      <c r="H997" s="221"/>
      <c r="I997" s="221"/>
      <c r="J997" s="221"/>
      <c r="K997" s="22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ht="14.25" customHeight="1">
      <c r="A998" s="1"/>
      <c r="B998" s="218"/>
      <c r="C998" s="212"/>
      <c r="D998" s="212"/>
      <c r="E998" s="212"/>
      <c r="F998" s="212"/>
      <c r="G998" s="1"/>
      <c r="H998" s="221"/>
      <c r="I998" s="221"/>
      <c r="J998" s="221"/>
      <c r="K998" s="22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ht="14.25" customHeight="1">
      <c r="A999" s="1"/>
      <c r="B999" s="218"/>
      <c r="C999" s="212"/>
      <c r="D999" s="212"/>
      <c r="E999" s="212"/>
      <c r="F999" s="212"/>
      <c r="G999" s="1"/>
      <c r="H999" s="221"/>
      <c r="I999" s="221"/>
      <c r="J999" s="221"/>
      <c r="K999" s="22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ht="14.25" customHeight="1">
      <c r="A1000" s="1"/>
      <c r="B1000" s="218"/>
      <c r="C1000" s="212"/>
      <c r="D1000" s="212"/>
      <c r="E1000" s="212"/>
      <c r="F1000" s="212"/>
      <c r="G1000" s="1"/>
      <c r="H1000" s="221"/>
      <c r="I1000" s="221"/>
      <c r="J1000" s="221"/>
      <c r="K1000" s="22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ht="14.25" customHeight="1">
      <c r="A1001" s="1"/>
      <c r="B1001" s="218"/>
      <c r="C1001" s="212"/>
      <c r="D1001" s="212"/>
      <c r="E1001" s="212"/>
      <c r="F1001" s="212"/>
      <c r="G1001" s="1"/>
      <c r="H1001" s="221"/>
      <c r="I1001" s="221"/>
      <c r="J1001" s="221"/>
      <c r="K1001" s="22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</sheetData>
  <dataValidations>
    <dataValidation type="custom" allowBlank="1" showDropDown="1" sqref="B2:B32">
      <formula1>OR(NOT(ISERROR(DATEVALUE(B2))), AND(ISNUMBER(B2), LEFT(CELL("format", B2))="D"))</formula1>
    </dataValidation>
    <dataValidation type="custom" allowBlank="1" showDropDown="1" sqref="D2:F32 H2:K33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20.5"/>
    <col customWidth="1" min="3" max="3" width="21.88"/>
    <col customWidth="1" min="4" max="4" width="20.75"/>
    <col customWidth="1" min="5" max="5" width="22.25"/>
    <col customWidth="1" min="6" max="6" width="20.5"/>
    <col customWidth="1" min="7" max="7" width="18.38"/>
    <col customWidth="1" min="8" max="8" width="26.13"/>
    <col customWidth="1" min="9" max="26" width="7.63"/>
  </cols>
  <sheetData>
    <row r="1" ht="14.25" customHeight="1">
      <c r="A1" s="203"/>
      <c r="B1" s="224" t="s">
        <v>9</v>
      </c>
      <c r="C1" s="205" t="s">
        <v>2649</v>
      </c>
      <c r="D1" s="206" t="s">
        <v>1172</v>
      </c>
      <c r="E1" s="206" t="s">
        <v>2802</v>
      </c>
      <c r="F1" s="206" t="s">
        <v>1323</v>
      </c>
      <c r="G1" s="206" t="s">
        <v>2803</v>
      </c>
      <c r="H1" s="206" t="s">
        <v>2804</v>
      </c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4.25" customHeight="1">
      <c r="A2" s="1"/>
      <c r="B2" s="209">
        <v>46174.0</v>
      </c>
      <c r="C2" s="225">
        <f>COUNTIFS('Transaksi Harian'!$A:$A, "&gt;="&amp;$B2, 'Transaksi Harian'!$A:$A, "&lt;"&amp;($B2+1))</f>
        <v>0</v>
      </c>
      <c r="D2" s="226">
        <f>SUMIFS('Transaksi Harian'!$J:$J, 'Transaksi Harian'!$A:$A, "&gt;="&amp;$B2, 'Transaksi Harian'!$A:$A, "&lt;"&amp;($B2+1), 'Transaksi Harian'!$D:$D, TRIM(D$1))</f>
        <v>0</v>
      </c>
      <c r="E2" s="226">
        <f>SUMIFS('Transaksi Harian'!$J:$J, 'Transaksi Harian'!$A:$A, "&gt;="&amp;$B2, 'Transaksi Harian'!$A:$A, "&lt;"&amp;($B2+1), 'Transaksi Harian'!$D:$D, TRIM(E$1))</f>
        <v>0</v>
      </c>
      <c r="F2" s="226">
        <f>SUMIFS('Transaksi Harian'!$J:$J, 'Transaksi Harian'!$A:$A, "&gt;="&amp;$B2, 'Transaksi Harian'!$A:$A, "&lt;"&amp;($B2+1), 'Transaksi Harian'!$D:$D, TRIM(F$1))</f>
        <v>0</v>
      </c>
      <c r="G2" s="226">
        <f>SUMIFS('Transaksi Harian'!$J:$J, 'Transaksi Harian'!$A:$A, "&gt;="&amp;$B2, 'Transaksi Harian'!$A:$A, "&lt;"&amp;($B2+1), 'Transaksi Harian'!$D:$D, TRIM(G$1))</f>
        <v>0</v>
      </c>
      <c r="H2" s="226">
        <f>SUMIFS('Transaksi Harian'!$J:$J, 'Transaksi Harian'!$A:$A, "&gt;="&amp;$B2, 'Transaksi Harian'!$A:$A, "&lt;"&amp;($B2+1)) - SUMIFS('Transaksi Harian'!$H:$H, 'Transaksi Harian'!$A:$A, "&gt;="&amp;$B2, 'Transaksi Harian'!$A:$A, "&lt;"&amp;($B2+1))</f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13">
        <v>46175.0</v>
      </c>
      <c r="C3" s="225">
        <f>COUNTIFS('Transaksi Harian'!$A:$A, "&gt;="&amp;$B3, 'Transaksi Harian'!$A:$A, "&lt;"&amp;($B3+1))</f>
        <v>0</v>
      </c>
      <c r="D3" s="226">
        <f>SUMIFS('Transaksi Harian'!$J:$J, 'Transaksi Harian'!$A:$A, "&gt;="&amp;$B3, 'Transaksi Harian'!$A:$A, "&lt;"&amp;($B3+1), 'Transaksi Harian'!$D:$D, TRIM(D$1))</f>
        <v>0</v>
      </c>
      <c r="E3" s="226">
        <f>SUMIFS('Transaksi Harian'!$J:$J, 'Transaksi Harian'!$A:$A, "&gt;="&amp;$B3, 'Transaksi Harian'!$A:$A, "&lt;"&amp;($B3+1), 'Transaksi Harian'!$D:$D, TRIM(E$1))</f>
        <v>0</v>
      </c>
      <c r="F3" s="226">
        <f>SUMIFS('Transaksi Harian'!$J:$J, 'Transaksi Harian'!$A:$A, "&gt;="&amp;$B3, 'Transaksi Harian'!$A:$A, "&lt;"&amp;($B3+1), 'Transaksi Harian'!$D:$D, TRIM(F$1))</f>
        <v>0</v>
      </c>
      <c r="G3" s="226">
        <f>SUMIFS('Transaksi Harian'!$J:$J, 'Transaksi Harian'!$A:$A, "&gt;="&amp;$B3, 'Transaksi Harian'!$A:$A, "&lt;"&amp;($B3+1), 'Transaksi Harian'!$D:$D, TRIM(G$1))</f>
        <v>0</v>
      </c>
      <c r="H3" s="226">
        <f>SUMIFS('Transaksi Harian'!$J:$J, 'Transaksi Harian'!$A:$A, "&gt;="&amp;$B3, 'Transaksi Harian'!$A:$A, "&lt;"&amp;($B3+1)) - SUMIFS('Transaksi Harian'!$H:$H, 'Transaksi Harian'!$A:$A, "&gt;="&amp;$B3, 'Transaksi Harian'!$A:$A, "&lt;"&amp;($B3+1))</f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13">
        <v>46176.0</v>
      </c>
      <c r="C4" s="225">
        <f>COUNTIFS('Transaksi Harian'!$A:$A, "&gt;="&amp;$B4, 'Transaksi Harian'!$A:$A, "&lt;"&amp;($B4+1))</f>
        <v>0</v>
      </c>
      <c r="D4" s="226">
        <f>SUMIFS('Transaksi Harian'!$J:$J, 'Transaksi Harian'!$A:$A, "&gt;="&amp;$B4, 'Transaksi Harian'!$A:$A, "&lt;"&amp;($B4+1), 'Transaksi Harian'!$D:$D, TRIM(D$1))</f>
        <v>0</v>
      </c>
      <c r="E4" s="226">
        <f>SUMIFS('Transaksi Harian'!$J:$J, 'Transaksi Harian'!$A:$A, "&gt;="&amp;$B4, 'Transaksi Harian'!$A:$A, "&lt;"&amp;($B4+1), 'Transaksi Harian'!$D:$D, TRIM(E$1))</f>
        <v>0</v>
      </c>
      <c r="F4" s="226">
        <f>SUMIFS('Transaksi Harian'!$J:$J, 'Transaksi Harian'!$A:$A, "&gt;="&amp;$B4, 'Transaksi Harian'!$A:$A, "&lt;"&amp;($B4+1), 'Transaksi Harian'!$D:$D, TRIM(F$1))</f>
        <v>0</v>
      </c>
      <c r="G4" s="226">
        <f>SUMIFS('Transaksi Harian'!$J:$J, 'Transaksi Harian'!$A:$A, "&gt;="&amp;$B4, 'Transaksi Harian'!$A:$A, "&lt;"&amp;($B4+1), 'Transaksi Harian'!$D:$D, TRIM(G$1))</f>
        <v>0</v>
      </c>
      <c r="H4" s="226">
        <f>SUMIFS('Transaksi Harian'!$J:$J, 'Transaksi Harian'!$A:$A, "&gt;="&amp;$B4, 'Transaksi Harian'!$A:$A, "&lt;"&amp;($B4+1)) - SUMIFS('Transaksi Harian'!$H:$H, 'Transaksi Harian'!$A:$A, "&gt;="&amp;$B4, 'Transaksi Harian'!$A:$A, "&lt;"&amp;($B4+1))</f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13">
        <v>46177.0</v>
      </c>
      <c r="C5" s="225">
        <f>COUNTIFS('Transaksi Harian'!$A:$A, "&gt;="&amp;$B5, 'Transaksi Harian'!$A:$A, "&lt;"&amp;($B5+1))</f>
        <v>0</v>
      </c>
      <c r="D5" s="226">
        <f>SUMIFS('Transaksi Harian'!$J:$J, 'Transaksi Harian'!$A:$A, "&gt;="&amp;$B5, 'Transaksi Harian'!$A:$A, "&lt;"&amp;($B5+1), 'Transaksi Harian'!$D:$D, TRIM(D$1))</f>
        <v>0</v>
      </c>
      <c r="E5" s="226">
        <f>SUMIFS('Transaksi Harian'!$J:$J, 'Transaksi Harian'!$A:$A, "&gt;="&amp;$B5, 'Transaksi Harian'!$A:$A, "&lt;"&amp;($B5+1), 'Transaksi Harian'!$D:$D, TRIM(E$1))</f>
        <v>0</v>
      </c>
      <c r="F5" s="226">
        <f>SUMIFS('Transaksi Harian'!$J:$J, 'Transaksi Harian'!$A:$A, "&gt;="&amp;$B5, 'Transaksi Harian'!$A:$A, "&lt;"&amp;($B5+1), 'Transaksi Harian'!$D:$D, TRIM(F$1))</f>
        <v>0</v>
      </c>
      <c r="G5" s="226">
        <f>SUMIFS('Transaksi Harian'!$J:$J, 'Transaksi Harian'!$A:$A, "&gt;="&amp;$B5, 'Transaksi Harian'!$A:$A, "&lt;"&amp;($B5+1), 'Transaksi Harian'!$D:$D, TRIM(G$1))</f>
        <v>0</v>
      </c>
      <c r="H5" s="226">
        <f>SUMIFS('Transaksi Harian'!$J:$J, 'Transaksi Harian'!$A:$A, "&gt;="&amp;$B5, 'Transaksi Harian'!$A:$A, "&lt;"&amp;($B5+1)) - SUMIFS('Transaksi Harian'!$H:$H, 'Transaksi Harian'!$A:$A, "&gt;="&amp;$B5, 'Transaksi Harian'!$A:$A, "&lt;"&amp;($B5+1))</f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13">
        <v>46178.0</v>
      </c>
      <c r="C6" s="225">
        <f>COUNTIFS('Transaksi Harian'!$A:$A, "&gt;="&amp;$B6, 'Transaksi Harian'!$A:$A, "&lt;"&amp;($B6+1))</f>
        <v>0</v>
      </c>
      <c r="D6" s="226">
        <f>SUMIFS('Transaksi Harian'!$J:$J, 'Transaksi Harian'!$A:$A, "&gt;="&amp;$B6, 'Transaksi Harian'!$A:$A, "&lt;"&amp;($B6+1), 'Transaksi Harian'!$D:$D, TRIM(D$1))</f>
        <v>0</v>
      </c>
      <c r="E6" s="226">
        <f>SUMIFS('Transaksi Harian'!$J:$J, 'Transaksi Harian'!$A:$A, "&gt;="&amp;$B6, 'Transaksi Harian'!$A:$A, "&lt;"&amp;($B6+1), 'Transaksi Harian'!$D:$D, TRIM(E$1))</f>
        <v>0</v>
      </c>
      <c r="F6" s="226">
        <f>SUMIFS('Transaksi Harian'!$J:$J, 'Transaksi Harian'!$A:$A, "&gt;="&amp;$B6, 'Transaksi Harian'!$A:$A, "&lt;"&amp;($B6+1), 'Transaksi Harian'!$D:$D, TRIM(F$1))</f>
        <v>0</v>
      </c>
      <c r="G6" s="226">
        <f>SUMIFS('Transaksi Harian'!$J:$J, 'Transaksi Harian'!$A:$A, "&gt;="&amp;$B6, 'Transaksi Harian'!$A:$A, "&lt;"&amp;($B6+1), 'Transaksi Harian'!$D:$D, TRIM(G$1))</f>
        <v>0</v>
      </c>
      <c r="H6" s="226">
        <f>SUMIFS('Transaksi Harian'!$J:$J, 'Transaksi Harian'!$A:$A, "&gt;="&amp;$B6, 'Transaksi Harian'!$A:$A, "&lt;"&amp;($B6+1)) - SUMIFS('Transaksi Harian'!$H:$H, 'Transaksi Harian'!$A:$A, "&gt;="&amp;$B6, 'Transaksi Harian'!$A:$A, "&lt;"&amp;($B6+1))</f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13">
        <v>46179.0</v>
      </c>
      <c r="C7" s="225">
        <f>COUNTIFS('Transaksi Harian'!$A:$A, "&gt;="&amp;$B7, 'Transaksi Harian'!$A:$A, "&lt;"&amp;($B7+1))</f>
        <v>0</v>
      </c>
      <c r="D7" s="226">
        <f>SUMIFS('Transaksi Harian'!$J:$J, 'Transaksi Harian'!$A:$A, "&gt;="&amp;$B7, 'Transaksi Harian'!$A:$A, "&lt;"&amp;($B7+1), 'Transaksi Harian'!$D:$D, TRIM(D$1))</f>
        <v>0</v>
      </c>
      <c r="E7" s="226">
        <f>SUMIFS('Transaksi Harian'!$J:$J, 'Transaksi Harian'!$A:$A, "&gt;="&amp;$B7, 'Transaksi Harian'!$A:$A, "&lt;"&amp;($B7+1), 'Transaksi Harian'!$D:$D, TRIM(E$1))</f>
        <v>0</v>
      </c>
      <c r="F7" s="226">
        <f>SUMIFS('Transaksi Harian'!$J:$J, 'Transaksi Harian'!$A:$A, "&gt;="&amp;$B7, 'Transaksi Harian'!$A:$A, "&lt;"&amp;($B7+1), 'Transaksi Harian'!$D:$D, TRIM(F$1))</f>
        <v>0</v>
      </c>
      <c r="G7" s="226">
        <f>SUMIFS('Transaksi Harian'!$J:$J, 'Transaksi Harian'!$A:$A, "&gt;="&amp;$B7, 'Transaksi Harian'!$A:$A, "&lt;"&amp;($B7+1), 'Transaksi Harian'!$D:$D, TRIM(G$1))</f>
        <v>0</v>
      </c>
      <c r="H7" s="226">
        <f>SUMIFS('Transaksi Harian'!$J:$J, 'Transaksi Harian'!$A:$A, "&gt;="&amp;$B7, 'Transaksi Harian'!$A:$A, "&lt;"&amp;($B7+1)) - SUMIFS('Transaksi Harian'!$H:$H, 'Transaksi Harian'!$A:$A, "&gt;="&amp;$B7, 'Transaksi Harian'!$A:$A, "&lt;"&amp;($B7+1))</f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13">
        <v>46180.0</v>
      </c>
      <c r="C8" s="225">
        <f>COUNTIFS('Transaksi Harian'!$A:$A, "&gt;="&amp;$B8, 'Transaksi Harian'!$A:$A, "&lt;"&amp;($B8+1))</f>
        <v>0</v>
      </c>
      <c r="D8" s="226">
        <f>SUMIFS('Transaksi Harian'!$J:$J, 'Transaksi Harian'!$A:$A, "&gt;="&amp;$B8, 'Transaksi Harian'!$A:$A, "&lt;"&amp;($B8+1), 'Transaksi Harian'!$D:$D, TRIM(D$1))</f>
        <v>0</v>
      </c>
      <c r="E8" s="226">
        <f>SUMIFS('Transaksi Harian'!$J:$J, 'Transaksi Harian'!$A:$A, "&gt;="&amp;$B8, 'Transaksi Harian'!$A:$A, "&lt;"&amp;($B8+1), 'Transaksi Harian'!$D:$D, TRIM(E$1))</f>
        <v>0</v>
      </c>
      <c r="F8" s="226">
        <f>SUMIFS('Transaksi Harian'!$J:$J, 'Transaksi Harian'!$A:$A, "&gt;="&amp;$B8, 'Transaksi Harian'!$A:$A, "&lt;"&amp;($B8+1), 'Transaksi Harian'!$D:$D, TRIM(F$1))</f>
        <v>0</v>
      </c>
      <c r="G8" s="226">
        <f>SUMIFS('Transaksi Harian'!$J:$J, 'Transaksi Harian'!$A:$A, "&gt;="&amp;$B8, 'Transaksi Harian'!$A:$A, "&lt;"&amp;($B8+1), 'Transaksi Harian'!$D:$D, TRIM(G$1))</f>
        <v>0</v>
      </c>
      <c r="H8" s="226">
        <f>SUMIFS('Transaksi Harian'!$J:$J, 'Transaksi Harian'!$A:$A, "&gt;="&amp;$B8, 'Transaksi Harian'!$A:$A, "&lt;"&amp;($B8+1)) - SUMIFS('Transaksi Harian'!$H:$H, 'Transaksi Harian'!$A:$A, "&gt;="&amp;$B8, 'Transaksi Harian'!$A:$A, "&lt;"&amp;($B8+1))</f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13">
        <v>46181.0</v>
      </c>
      <c r="C9" s="225">
        <f>COUNTIFS('Transaksi Harian'!$A:$A, "&gt;="&amp;$B9, 'Transaksi Harian'!$A:$A, "&lt;"&amp;($B9+1))</f>
        <v>0</v>
      </c>
      <c r="D9" s="226">
        <f>SUMIFS('Transaksi Harian'!$J:$J, 'Transaksi Harian'!$A:$A, "&gt;="&amp;$B9, 'Transaksi Harian'!$A:$A, "&lt;"&amp;($B9+1), 'Transaksi Harian'!$D:$D, TRIM(D$1))</f>
        <v>0</v>
      </c>
      <c r="E9" s="226">
        <f>SUMIFS('Transaksi Harian'!$J:$J, 'Transaksi Harian'!$A:$A, "&gt;="&amp;$B9, 'Transaksi Harian'!$A:$A, "&lt;"&amp;($B9+1), 'Transaksi Harian'!$D:$D, TRIM(E$1))</f>
        <v>0</v>
      </c>
      <c r="F9" s="226">
        <f>SUMIFS('Transaksi Harian'!$J:$J, 'Transaksi Harian'!$A:$A, "&gt;="&amp;$B9, 'Transaksi Harian'!$A:$A, "&lt;"&amp;($B9+1), 'Transaksi Harian'!$D:$D, TRIM(F$1))</f>
        <v>0</v>
      </c>
      <c r="G9" s="226">
        <f>SUMIFS('Transaksi Harian'!$J:$J, 'Transaksi Harian'!$A:$A, "&gt;="&amp;$B9, 'Transaksi Harian'!$A:$A, "&lt;"&amp;($B9+1), 'Transaksi Harian'!$D:$D, TRIM(G$1))</f>
        <v>0</v>
      </c>
      <c r="H9" s="226">
        <f>SUMIFS('Transaksi Harian'!$J:$J, 'Transaksi Harian'!$A:$A, "&gt;="&amp;$B9, 'Transaksi Harian'!$A:$A, "&lt;"&amp;($B9+1)) - SUMIFS('Transaksi Harian'!$H:$H, 'Transaksi Harian'!$A:$A, "&gt;="&amp;$B9, 'Transaksi Harian'!$A:$A, "&lt;"&amp;($B9+1))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13">
        <v>46182.0</v>
      </c>
      <c r="C10" s="225">
        <f>COUNTIFS('Transaksi Harian'!$A:$A, "&gt;="&amp;$B10, 'Transaksi Harian'!$A:$A, "&lt;"&amp;($B10+1))</f>
        <v>0</v>
      </c>
      <c r="D10" s="226">
        <f>SUMIFS('Transaksi Harian'!$J:$J, 'Transaksi Harian'!$A:$A, "&gt;="&amp;$B10, 'Transaksi Harian'!$A:$A, "&lt;"&amp;($B10+1), 'Transaksi Harian'!$D:$D, TRIM(D$1))</f>
        <v>0</v>
      </c>
      <c r="E10" s="226">
        <f>SUMIFS('Transaksi Harian'!$J:$J, 'Transaksi Harian'!$A:$A, "&gt;="&amp;$B10, 'Transaksi Harian'!$A:$A, "&lt;"&amp;($B10+1), 'Transaksi Harian'!$D:$D, TRIM(E$1))</f>
        <v>0</v>
      </c>
      <c r="F10" s="226">
        <f>SUMIFS('Transaksi Harian'!$J:$J, 'Transaksi Harian'!$A:$A, "&gt;="&amp;$B10, 'Transaksi Harian'!$A:$A, "&lt;"&amp;($B10+1), 'Transaksi Harian'!$D:$D, TRIM(F$1))</f>
        <v>0</v>
      </c>
      <c r="G10" s="226">
        <f>SUMIFS('Transaksi Harian'!$J:$J, 'Transaksi Harian'!$A:$A, "&gt;="&amp;$B10, 'Transaksi Harian'!$A:$A, "&lt;"&amp;($B10+1), 'Transaksi Harian'!$D:$D, TRIM(G$1))</f>
        <v>0</v>
      </c>
      <c r="H10" s="226">
        <f>SUMIFS('Transaksi Harian'!$J:$J, 'Transaksi Harian'!$A:$A, "&gt;="&amp;$B10, 'Transaksi Harian'!$A:$A, "&lt;"&amp;($B10+1)) - SUMIFS('Transaksi Harian'!$H:$H, 'Transaksi Harian'!$A:$A, "&gt;="&amp;$B10, 'Transaksi Harian'!$A:$A, "&lt;"&amp;($B10+1))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13">
        <v>46183.0</v>
      </c>
      <c r="C11" s="225">
        <f>COUNTIFS('Transaksi Harian'!$A:$A, "&gt;="&amp;$B11, 'Transaksi Harian'!$A:$A, "&lt;"&amp;($B11+1))</f>
        <v>0</v>
      </c>
      <c r="D11" s="226">
        <f>SUMIFS('Transaksi Harian'!$J:$J, 'Transaksi Harian'!$A:$A, "&gt;="&amp;$B11, 'Transaksi Harian'!$A:$A, "&lt;"&amp;($B11+1), 'Transaksi Harian'!$D:$D, TRIM(D$1))</f>
        <v>0</v>
      </c>
      <c r="E11" s="226">
        <f>SUMIFS('Transaksi Harian'!$J:$J, 'Transaksi Harian'!$A:$A, "&gt;="&amp;$B11, 'Transaksi Harian'!$A:$A, "&lt;"&amp;($B11+1), 'Transaksi Harian'!$D:$D, TRIM(E$1))</f>
        <v>0</v>
      </c>
      <c r="F11" s="226">
        <f>SUMIFS('Transaksi Harian'!$J:$J, 'Transaksi Harian'!$A:$A, "&gt;="&amp;$B11, 'Transaksi Harian'!$A:$A, "&lt;"&amp;($B11+1), 'Transaksi Harian'!$D:$D, TRIM(F$1))</f>
        <v>0</v>
      </c>
      <c r="G11" s="226">
        <f>SUMIFS('Transaksi Harian'!$J:$J, 'Transaksi Harian'!$A:$A, "&gt;="&amp;$B11, 'Transaksi Harian'!$A:$A, "&lt;"&amp;($B11+1), 'Transaksi Harian'!$D:$D, TRIM(G$1))</f>
        <v>0</v>
      </c>
      <c r="H11" s="226">
        <f>SUMIFS('Transaksi Harian'!$J:$J, 'Transaksi Harian'!$A:$A, "&gt;="&amp;$B11, 'Transaksi Harian'!$A:$A, "&lt;"&amp;($B11+1)) - SUMIFS('Transaksi Harian'!$H:$H, 'Transaksi Harian'!$A:$A, "&gt;="&amp;$B11, 'Transaksi Harian'!$A:$A, "&lt;"&amp;($B11+1))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13">
        <v>46184.0</v>
      </c>
      <c r="C12" s="225">
        <f>COUNTIFS('Transaksi Harian'!$A:$A, "&gt;="&amp;$B12, 'Transaksi Harian'!$A:$A, "&lt;"&amp;($B12+1))</f>
        <v>0</v>
      </c>
      <c r="D12" s="226">
        <f>SUMIFS('Transaksi Harian'!$J:$J, 'Transaksi Harian'!$A:$A, "&gt;="&amp;$B12, 'Transaksi Harian'!$A:$A, "&lt;"&amp;($B12+1), 'Transaksi Harian'!$D:$D, TRIM(D$1))</f>
        <v>0</v>
      </c>
      <c r="E12" s="226">
        <f>SUMIFS('Transaksi Harian'!$J:$J, 'Transaksi Harian'!$A:$A, "&gt;="&amp;$B12, 'Transaksi Harian'!$A:$A, "&lt;"&amp;($B12+1), 'Transaksi Harian'!$D:$D, TRIM(E$1))</f>
        <v>0</v>
      </c>
      <c r="F12" s="226">
        <f>SUMIFS('Transaksi Harian'!$J:$J, 'Transaksi Harian'!$A:$A, "&gt;="&amp;$B12, 'Transaksi Harian'!$A:$A, "&lt;"&amp;($B12+1), 'Transaksi Harian'!$D:$D, TRIM(F$1))</f>
        <v>0</v>
      </c>
      <c r="G12" s="226">
        <f>SUMIFS('Transaksi Harian'!$J:$J, 'Transaksi Harian'!$A:$A, "&gt;="&amp;$B12, 'Transaksi Harian'!$A:$A, "&lt;"&amp;($B12+1), 'Transaksi Harian'!$D:$D, TRIM(G$1))</f>
        <v>0</v>
      </c>
      <c r="H12" s="226">
        <f>SUMIFS('Transaksi Harian'!$J:$J, 'Transaksi Harian'!$A:$A, "&gt;="&amp;$B12, 'Transaksi Harian'!$A:$A, "&lt;"&amp;($B12+1)) - SUMIFS('Transaksi Harian'!$H:$H, 'Transaksi Harian'!$A:$A, "&gt;="&amp;$B12, 'Transaksi Harian'!$A:$A, "&lt;"&amp;($B12+1))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13">
        <v>46185.0</v>
      </c>
      <c r="C13" s="225">
        <f>COUNTIFS('Transaksi Harian'!$A:$A, "&gt;="&amp;$B13, 'Transaksi Harian'!$A:$A, "&lt;"&amp;($B13+1))</f>
        <v>0</v>
      </c>
      <c r="D13" s="226">
        <f>SUMIFS('Transaksi Harian'!$J:$J, 'Transaksi Harian'!$A:$A, "&gt;="&amp;$B13, 'Transaksi Harian'!$A:$A, "&lt;"&amp;($B13+1), 'Transaksi Harian'!$D:$D, TRIM(D$1))</f>
        <v>0</v>
      </c>
      <c r="E13" s="226">
        <f>SUMIFS('Transaksi Harian'!$J:$J, 'Transaksi Harian'!$A:$A, "&gt;="&amp;$B13, 'Transaksi Harian'!$A:$A, "&lt;"&amp;($B13+1), 'Transaksi Harian'!$D:$D, TRIM(E$1))</f>
        <v>0</v>
      </c>
      <c r="F13" s="226">
        <f>SUMIFS('Transaksi Harian'!$J:$J, 'Transaksi Harian'!$A:$A, "&gt;="&amp;$B13, 'Transaksi Harian'!$A:$A, "&lt;"&amp;($B13+1), 'Transaksi Harian'!$D:$D, TRIM(F$1))</f>
        <v>0</v>
      </c>
      <c r="G13" s="226">
        <f>SUMIFS('Transaksi Harian'!$J:$J, 'Transaksi Harian'!$A:$A, "&gt;="&amp;$B13, 'Transaksi Harian'!$A:$A, "&lt;"&amp;($B13+1), 'Transaksi Harian'!$D:$D, TRIM(G$1))</f>
        <v>0</v>
      </c>
      <c r="H13" s="226">
        <f>SUMIFS('Transaksi Harian'!$J:$J, 'Transaksi Harian'!$A:$A, "&gt;="&amp;$B13, 'Transaksi Harian'!$A:$A, "&lt;"&amp;($B13+1)) - SUMIFS('Transaksi Harian'!$H:$H, 'Transaksi Harian'!$A:$A, "&gt;="&amp;$B13, 'Transaksi Harian'!$A:$A, "&lt;"&amp;($B13+1))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13">
        <v>46186.0</v>
      </c>
      <c r="C14" s="225">
        <f>COUNTIFS('Transaksi Harian'!$A:$A, "&gt;="&amp;$B14, 'Transaksi Harian'!$A:$A, "&lt;"&amp;($B14+1))</f>
        <v>0</v>
      </c>
      <c r="D14" s="226">
        <f>SUMIFS('Transaksi Harian'!$J:$J, 'Transaksi Harian'!$A:$A, "&gt;="&amp;$B14, 'Transaksi Harian'!$A:$A, "&lt;"&amp;($B14+1), 'Transaksi Harian'!$D:$D, TRIM(D$1))</f>
        <v>0</v>
      </c>
      <c r="E14" s="226">
        <f>SUMIFS('Transaksi Harian'!$J:$J, 'Transaksi Harian'!$A:$A, "&gt;="&amp;$B14, 'Transaksi Harian'!$A:$A, "&lt;"&amp;($B14+1), 'Transaksi Harian'!$D:$D, TRIM(E$1))</f>
        <v>0</v>
      </c>
      <c r="F14" s="226">
        <f>SUMIFS('Transaksi Harian'!$J:$J, 'Transaksi Harian'!$A:$A, "&gt;="&amp;$B14, 'Transaksi Harian'!$A:$A, "&lt;"&amp;($B14+1), 'Transaksi Harian'!$D:$D, TRIM(F$1))</f>
        <v>0</v>
      </c>
      <c r="G14" s="226">
        <f>SUMIFS('Transaksi Harian'!$J:$J, 'Transaksi Harian'!$A:$A, "&gt;="&amp;$B14, 'Transaksi Harian'!$A:$A, "&lt;"&amp;($B14+1), 'Transaksi Harian'!$D:$D, TRIM(G$1))</f>
        <v>0</v>
      </c>
      <c r="H14" s="226">
        <f>SUMIFS('Transaksi Harian'!$J:$J, 'Transaksi Harian'!$A:$A, "&gt;="&amp;$B14, 'Transaksi Harian'!$A:$A, "&lt;"&amp;($B14+1)) - SUMIFS('Transaksi Harian'!$H:$H, 'Transaksi Harian'!$A:$A, "&gt;="&amp;$B14, 'Transaksi Harian'!$A:$A, "&lt;"&amp;($B14+1))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13">
        <v>46187.0</v>
      </c>
      <c r="C15" s="225">
        <f>COUNTIFS('Transaksi Harian'!$A:$A, "&gt;="&amp;$B15, 'Transaksi Harian'!$A:$A, "&lt;"&amp;($B15+1))</f>
        <v>0</v>
      </c>
      <c r="D15" s="226">
        <f>SUMIFS('Transaksi Harian'!$J:$J, 'Transaksi Harian'!$A:$A, "&gt;="&amp;$B15, 'Transaksi Harian'!$A:$A, "&lt;"&amp;($B15+1), 'Transaksi Harian'!$D:$D, TRIM(D$1))</f>
        <v>0</v>
      </c>
      <c r="E15" s="226">
        <f>SUMIFS('Transaksi Harian'!$J:$J, 'Transaksi Harian'!$A:$A, "&gt;="&amp;$B15, 'Transaksi Harian'!$A:$A, "&lt;"&amp;($B15+1), 'Transaksi Harian'!$D:$D, TRIM(E$1))</f>
        <v>0</v>
      </c>
      <c r="F15" s="226">
        <f>SUMIFS('Transaksi Harian'!$J:$J, 'Transaksi Harian'!$A:$A, "&gt;="&amp;$B15, 'Transaksi Harian'!$A:$A, "&lt;"&amp;($B15+1), 'Transaksi Harian'!$D:$D, TRIM(F$1))</f>
        <v>0</v>
      </c>
      <c r="G15" s="226">
        <f>SUMIFS('Transaksi Harian'!$J:$J, 'Transaksi Harian'!$A:$A, "&gt;="&amp;$B15, 'Transaksi Harian'!$A:$A, "&lt;"&amp;($B15+1), 'Transaksi Harian'!$D:$D, TRIM(G$1))</f>
        <v>0</v>
      </c>
      <c r="H15" s="226">
        <f>SUMIFS('Transaksi Harian'!$J:$J, 'Transaksi Harian'!$A:$A, "&gt;="&amp;$B15, 'Transaksi Harian'!$A:$A, "&lt;"&amp;($B15+1)) - SUMIFS('Transaksi Harian'!$H:$H, 'Transaksi Harian'!$A:$A, "&gt;="&amp;$B15, 'Transaksi Harian'!$A:$A, "&lt;"&amp;($B15+1))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13">
        <v>46188.0</v>
      </c>
      <c r="C16" s="225">
        <f>COUNTIFS('Transaksi Harian'!$A:$A, "&gt;="&amp;$B16, 'Transaksi Harian'!$A:$A, "&lt;"&amp;($B16+1))</f>
        <v>0</v>
      </c>
      <c r="D16" s="226">
        <f>SUMIFS('Transaksi Harian'!$J:$J, 'Transaksi Harian'!$A:$A, "&gt;="&amp;$B16, 'Transaksi Harian'!$A:$A, "&lt;"&amp;($B16+1), 'Transaksi Harian'!$D:$D, TRIM(D$1))</f>
        <v>0</v>
      </c>
      <c r="E16" s="226">
        <f>SUMIFS('Transaksi Harian'!$J:$J, 'Transaksi Harian'!$A:$A, "&gt;="&amp;$B16, 'Transaksi Harian'!$A:$A, "&lt;"&amp;($B16+1), 'Transaksi Harian'!$D:$D, TRIM(E$1))</f>
        <v>0</v>
      </c>
      <c r="F16" s="226">
        <f>SUMIFS('Transaksi Harian'!$J:$J, 'Transaksi Harian'!$A:$A, "&gt;="&amp;$B16, 'Transaksi Harian'!$A:$A, "&lt;"&amp;($B16+1), 'Transaksi Harian'!$D:$D, TRIM(F$1))</f>
        <v>0</v>
      </c>
      <c r="G16" s="226">
        <f>SUMIFS('Transaksi Harian'!$J:$J, 'Transaksi Harian'!$A:$A, "&gt;="&amp;$B16, 'Transaksi Harian'!$A:$A, "&lt;"&amp;($B16+1), 'Transaksi Harian'!$D:$D, TRIM(G$1))</f>
        <v>0</v>
      </c>
      <c r="H16" s="226">
        <f>SUMIFS('Transaksi Harian'!$J:$J, 'Transaksi Harian'!$A:$A, "&gt;="&amp;$B16, 'Transaksi Harian'!$A:$A, "&lt;"&amp;($B16+1)) - SUMIFS('Transaksi Harian'!$H:$H, 'Transaksi Harian'!$A:$A, "&gt;="&amp;$B16, 'Transaksi Harian'!$A:$A, "&lt;"&amp;($B16+1))</f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13">
        <v>46189.0</v>
      </c>
      <c r="C17" s="225">
        <f>COUNTIFS('Transaksi Harian'!$A:$A, "&gt;="&amp;$B17, 'Transaksi Harian'!$A:$A, "&lt;"&amp;($B17+1))</f>
        <v>0</v>
      </c>
      <c r="D17" s="226">
        <f>SUMIFS('Transaksi Harian'!$J:$J, 'Transaksi Harian'!$A:$A, "&gt;="&amp;$B17, 'Transaksi Harian'!$A:$A, "&lt;"&amp;($B17+1), 'Transaksi Harian'!$D:$D, TRIM(D$1))</f>
        <v>0</v>
      </c>
      <c r="E17" s="226">
        <f>SUMIFS('Transaksi Harian'!$J:$J, 'Transaksi Harian'!$A:$A, "&gt;="&amp;$B17, 'Transaksi Harian'!$A:$A, "&lt;"&amp;($B17+1), 'Transaksi Harian'!$D:$D, TRIM(E$1))</f>
        <v>0</v>
      </c>
      <c r="F17" s="226">
        <f>SUMIFS('Transaksi Harian'!$J:$J, 'Transaksi Harian'!$A:$A, "&gt;="&amp;$B17, 'Transaksi Harian'!$A:$A, "&lt;"&amp;($B17+1), 'Transaksi Harian'!$D:$D, TRIM(F$1))</f>
        <v>0</v>
      </c>
      <c r="G17" s="226">
        <f>SUMIFS('Transaksi Harian'!$J:$J, 'Transaksi Harian'!$A:$A, "&gt;="&amp;$B17, 'Transaksi Harian'!$A:$A, "&lt;"&amp;($B17+1), 'Transaksi Harian'!$D:$D, TRIM(G$1))</f>
        <v>0</v>
      </c>
      <c r="H17" s="226">
        <f>SUMIFS('Transaksi Harian'!$J:$J, 'Transaksi Harian'!$A:$A, "&gt;="&amp;$B17, 'Transaksi Harian'!$A:$A, "&lt;"&amp;($B17+1)) - SUMIFS('Transaksi Harian'!$H:$H, 'Transaksi Harian'!$A:$A, "&gt;="&amp;$B17, 'Transaksi Harian'!$A:$A, "&lt;"&amp;($B17+1))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13">
        <v>46190.0</v>
      </c>
      <c r="C18" s="225">
        <f>COUNTIFS('Transaksi Harian'!$A:$A, "&gt;="&amp;$B18, 'Transaksi Harian'!$A:$A, "&lt;"&amp;($B18+1))</f>
        <v>0</v>
      </c>
      <c r="D18" s="226">
        <f>SUMIFS('Transaksi Harian'!$J:$J, 'Transaksi Harian'!$A:$A, "&gt;="&amp;$B18, 'Transaksi Harian'!$A:$A, "&lt;"&amp;($B18+1), 'Transaksi Harian'!$D:$D, TRIM(D$1))</f>
        <v>0</v>
      </c>
      <c r="E18" s="226">
        <f>SUMIFS('Transaksi Harian'!$J:$J, 'Transaksi Harian'!$A:$A, "&gt;="&amp;$B18, 'Transaksi Harian'!$A:$A, "&lt;"&amp;($B18+1), 'Transaksi Harian'!$D:$D, TRIM(E$1))</f>
        <v>0</v>
      </c>
      <c r="F18" s="226">
        <f>SUMIFS('Transaksi Harian'!$J:$J, 'Transaksi Harian'!$A:$A, "&gt;="&amp;$B18, 'Transaksi Harian'!$A:$A, "&lt;"&amp;($B18+1), 'Transaksi Harian'!$D:$D, TRIM(F$1))</f>
        <v>0</v>
      </c>
      <c r="G18" s="226">
        <f>SUMIFS('Transaksi Harian'!$J:$J, 'Transaksi Harian'!$A:$A, "&gt;="&amp;$B18, 'Transaksi Harian'!$A:$A, "&lt;"&amp;($B18+1), 'Transaksi Harian'!$D:$D, TRIM(G$1))</f>
        <v>0</v>
      </c>
      <c r="H18" s="226">
        <f>SUMIFS('Transaksi Harian'!$J:$J, 'Transaksi Harian'!$A:$A, "&gt;="&amp;$B18, 'Transaksi Harian'!$A:$A, "&lt;"&amp;($B18+1)) - SUMIFS('Transaksi Harian'!$H:$H, 'Transaksi Harian'!$A:$A, "&gt;="&amp;$B18, 'Transaksi Harian'!$A:$A, "&lt;"&amp;($B18+1))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13">
        <v>46191.0</v>
      </c>
      <c r="C19" s="225">
        <f>COUNTIFS('Transaksi Harian'!$A:$A, "&gt;="&amp;$B19, 'Transaksi Harian'!$A:$A, "&lt;"&amp;($B19+1))</f>
        <v>0</v>
      </c>
      <c r="D19" s="226">
        <f>SUMIFS('Transaksi Harian'!$J:$J, 'Transaksi Harian'!$A:$A, "&gt;="&amp;$B19, 'Transaksi Harian'!$A:$A, "&lt;"&amp;($B19+1), 'Transaksi Harian'!$D:$D, TRIM(D$1))</f>
        <v>0</v>
      </c>
      <c r="E19" s="226">
        <f>SUMIFS('Transaksi Harian'!$J:$J, 'Transaksi Harian'!$A:$A, "&gt;="&amp;$B19, 'Transaksi Harian'!$A:$A, "&lt;"&amp;($B19+1), 'Transaksi Harian'!$D:$D, TRIM(E$1))</f>
        <v>0</v>
      </c>
      <c r="F19" s="226">
        <f>SUMIFS('Transaksi Harian'!$J:$J, 'Transaksi Harian'!$A:$A, "&gt;="&amp;$B19, 'Transaksi Harian'!$A:$A, "&lt;"&amp;($B19+1), 'Transaksi Harian'!$D:$D, TRIM(F$1))</f>
        <v>0</v>
      </c>
      <c r="G19" s="226">
        <f>SUMIFS('Transaksi Harian'!$J:$J, 'Transaksi Harian'!$A:$A, "&gt;="&amp;$B19, 'Transaksi Harian'!$A:$A, "&lt;"&amp;($B19+1), 'Transaksi Harian'!$D:$D, TRIM(G$1))</f>
        <v>0</v>
      </c>
      <c r="H19" s="226">
        <f>SUMIFS('Transaksi Harian'!$J:$J, 'Transaksi Harian'!$A:$A, "&gt;="&amp;$B19, 'Transaksi Harian'!$A:$A, "&lt;"&amp;($B19+1)) - SUMIFS('Transaksi Harian'!$H:$H, 'Transaksi Harian'!$A:$A, "&gt;="&amp;$B19, 'Transaksi Harian'!$A:$A, "&lt;"&amp;($B19+1))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13">
        <v>46192.0</v>
      </c>
      <c r="C20" s="225">
        <f>COUNTIFS('Transaksi Harian'!$A:$A, "&gt;="&amp;$B20, 'Transaksi Harian'!$A:$A, "&lt;"&amp;($B20+1))</f>
        <v>0</v>
      </c>
      <c r="D20" s="226">
        <f>SUMIFS('Transaksi Harian'!$J:$J, 'Transaksi Harian'!$A:$A, "&gt;="&amp;$B20, 'Transaksi Harian'!$A:$A, "&lt;"&amp;($B20+1), 'Transaksi Harian'!$D:$D, TRIM(D$1))</f>
        <v>0</v>
      </c>
      <c r="E20" s="226">
        <f>SUMIFS('Transaksi Harian'!$J:$J, 'Transaksi Harian'!$A:$A, "&gt;="&amp;$B20, 'Transaksi Harian'!$A:$A, "&lt;"&amp;($B20+1), 'Transaksi Harian'!$D:$D, TRIM(E$1))</f>
        <v>0</v>
      </c>
      <c r="F20" s="226">
        <f>SUMIFS('Transaksi Harian'!$J:$J, 'Transaksi Harian'!$A:$A, "&gt;="&amp;$B20, 'Transaksi Harian'!$A:$A, "&lt;"&amp;($B20+1), 'Transaksi Harian'!$D:$D, TRIM(F$1))</f>
        <v>0</v>
      </c>
      <c r="G20" s="226">
        <f>SUMIFS('Transaksi Harian'!$J:$J, 'Transaksi Harian'!$A:$A, "&gt;="&amp;$B20, 'Transaksi Harian'!$A:$A, "&lt;"&amp;($B20+1), 'Transaksi Harian'!$D:$D, TRIM(G$1))</f>
        <v>0</v>
      </c>
      <c r="H20" s="226">
        <f>SUMIFS('Transaksi Harian'!$J:$J, 'Transaksi Harian'!$A:$A, "&gt;="&amp;$B20, 'Transaksi Harian'!$A:$A, "&lt;"&amp;($B20+1)) - SUMIFS('Transaksi Harian'!$H:$H, 'Transaksi Harian'!$A:$A, "&gt;="&amp;$B20, 'Transaksi Harian'!$A:$A, "&lt;"&amp;($B20+1))</f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13">
        <v>46193.0</v>
      </c>
      <c r="C21" s="225">
        <f>COUNTIFS('Transaksi Harian'!$A:$A, "&gt;="&amp;$B21, 'Transaksi Harian'!$A:$A, "&lt;"&amp;($B21+1))</f>
        <v>0</v>
      </c>
      <c r="D21" s="226">
        <f>SUMIFS('Transaksi Harian'!$J:$J, 'Transaksi Harian'!$A:$A, "&gt;="&amp;$B21, 'Transaksi Harian'!$A:$A, "&lt;"&amp;($B21+1), 'Transaksi Harian'!$D:$D, TRIM(D$1))</f>
        <v>0</v>
      </c>
      <c r="E21" s="226">
        <f>SUMIFS('Transaksi Harian'!$J:$J, 'Transaksi Harian'!$A:$A, "&gt;="&amp;$B21, 'Transaksi Harian'!$A:$A, "&lt;"&amp;($B21+1), 'Transaksi Harian'!$D:$D, TRIM(E$1))</f>
        <v>0</v>
      </c>
      <c r="F21" s="226">
        <f>SUMIFS('Transaksi Harian'!$J:$J, 'Transaksi Harian'!$A:$A, "&gt;="&amp;$B21, 'Transaksi Harian'!$A:$A, "&lt;"&amp;($B21+1), 'Transaksi Harian'!$D:$D, TRIM(F$1))</f>
        <v>0</v>
      </c>
      <c r="G21" s="226">
        <f>SUMIFS('Transaksi Harian'!$J:$J, 'Transaksi Harian'!$A:$A, "&gt;="&amp;$B21, 'Transaksi Harian'!$A:$A, "&lt;"&amp;($B21+1), 'Transaksi Harian'!$D:$D, TRIM(G$1))</f>
        <v>0</v>
      </c>
      <c r="H21" s="226">
        <f>SUMIFS('Transaksi Harian'!$J:$J, 'Transaksi Harian'!$A:$A, "&gt;="&amp;$B21, 'Transaksi Harian'!$A:$A, "&lt;"&amp;($B21+1)) - SUMIFS('Transaksi Harian'!$H:$H, 'Transaksi Harian'!$A:$A, "&gt;="&amp;$B21, 'Transaksi Harian'!$A:$A, "&lt;"&amp;($B21+1))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13">
        <v>46194.0</v>
      </c>
      <c r="C22" s="225">
        <f>COUNTIFS('Transaksi Harian'!$A:$A, "&gt;="&amp;$B22, 'Transaksi Harian'!$A:$A, "&lt;"&amp;($B22+1))</f>
        <v>0</v>
      </c>
      <c r="D22" s="226">
        <f>SUMIFS('Transaksi Harian'!$J:$J, 'Transaksi Harian'!$A:$A, "&gt;="&amp;$B22, 'Transaksi Harian'!$A:$A, "&lt;"&amp;($B22+1), 'Transaksi Harian'!$D:$D, TRIM(D$1))</f>
        <v>0</v>
      </c>
      <c r="E22" s="226">
        <f>SUMIFS('Transaksi Harian'!$J:$J, 'Transaksi Harian'!$A:$A, "&gt;="&amp;$B22, 'Transaksi Harian'!$A:$A, "&lt;"&amp;($B22+1), 'Transaksi Harian'!$D:$D, TRIM(E$1))</f>
        <v>0</v>
      </c>
      <c r="F22" s="226">
        <f>SUMIFS('Transaksi Harian'!$J:$J, 'Transaksi Harian'!$A:$A, "&gt;="&amp;$B22, 'Transaksi Harian'!$A:$A, "&lt;"&amp;($B22+1), 'Transaksi Harian'!$D:$D, TRIM(F$1))</f>
        <v>0</v>
      </c>
      <c r="G22" s="226">
        <f>SUMIFS('Transaksi Harian'!$J:$J, 'Transaksi Harian'!$A:$A, "&gt;="&amp;$B22, 'Transaksi Harian'!$A:$A, "&lt;"&amp;($B22+1), 'Transaksi Harian'!$D:$D, TRIM(G$1))</f>
        <v>0</v>
      </c>
      <c r="H22" s="226">
        <f>SUMIFS('Transaksi Harian'!$J:$J, 'Transaksi Harian'!$A:$A, "&gt;="&amp;$B22, 'Transaksi Harian'!$A:$A, "&lt;"&amp;($B22+1)) - SUMIFS('Transaksi Harian'!$H:$H, 'Transaksi Harian'!$A:$A, "&gt;="&amp;$B22, 'Transaksi Harian'!$A:$A, "&lt;"&amp;($B22+1))</f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13">
        <v>46195.0</v>
      </c>
      <c r="C23" s="225">
        <f>COUNTIFS('Transaksi Harian'!$A:$A, "&gt;="&amp;$B23, 'Transaksi Harian'!$A:$A, "&lt;"&amp;($B23+1))</f>
        <v>0</v>
      </c>
      <c r="D23" s="226">
        <f>SUMIFS('Transaksi Harian'!$J:$J, 'Transaksi Harian'!$A:$A, "&gt;="&amp;$B23, 'Transaksi Harian'!$A:$A, "&lt;"&amp;($B23+1), 'Transaksi Harian'!$D:$D, TRIM(D$1))</f>
        <v>0</v>
      </c>
      <c r="E23" s="226">
        <f>SUMIFS('Transaksi Harian'!$J:$J, 'Transaksi Harian'!$A:$A, "&gt;="&amp;$B23, 'Transaksi Harian'!$A:$A, "&lt;"&amp;($B23+1), 'Transaksi Harian'!$D:$D, TRIM(E$1))</f>
        <v>0</v>
      </c>
      <c r="F23" s="226">
        <f>SUMIFS('Transaksi Harian'!$J:$J, 'Transaksi Harian'!$A:$A, "&gt;="&amp;$B23, 'Transaksi Harian'!$A:$A, "&lt;"&amp;($B23+1), 'Transaksi Harian'!$D:$D, TRIM(F$1))</f>
        <v>0</v>
      </c>
      <c r="G23" s="226">
        <f>SUMIFS('Transaksi Harian'!$J:$J, 'Transaksi Harian'!$A:$A, "&gt;="&amp;$B23, 'Transaksi Harian'!$A:$A, "&lt;"&amp;($B23+1), 'Transaksi Harian'!$D:$D, TRIM(G$1))</f>
        <v>0</v>
      </c>
      <c r="H23" s="226">
        <f>SUMIFS('Transaksi Harian'!$J:$J, 'Transaksi Harian'!$A:$A, "&gt;="&amp;$B23, 'Transaksi Harian'!$A:$A, "&lt;"&amp;($B23+1)) - SUMIFS('Transaksi Harian'!$H:$H, 'Transaksi Harian'!$A:$A, "&gt;="&amp;$B23, 'Transaksi Harian'!$A:$A, "&lt;"&amp;($B23+1))</f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13">
        <v>46196.0</v>
      </c>
      <c r="C24" s="225">
        <f>COUNTIFS('Transaksi Harian'!$A:$A, "&gt;="&amp;$B24, 'Transaksi Harian'!$A:$A, "&lt;"&amp;($B24+1))</f>
        <v>0</v>
      </c>
      <c r="D24" s="226">
        <f>SUMIFS('Transaksi Harian'!$J:$J, 'Transaksi Harian'!$A:$A, "&gt;="&amp;$B24, 'Transaksi Harian'!$A:$A, "&lt;"&amp;($B24+1), 'Transaksi Harian'!$D:$D, TRIM(D$1))</f>
        <v>0</v>
      </c>
      <c r="E24" s="226">
        <f>SUMIFS('Transaksi Harian'!$J:$J, 'Transaksi Harian'!$A:$A, "&gt;="&amp;$B24, 'Transaksi Harian'!$A:$A, "&lt;"&amp;($B24+1), 'Transaksi Harian'!$D:$D, TRIM(E$1))</f>
        <v>0</v>
      </c>
      <c r="F24" s="226">
        <f>SUMIFS('Transaksi Harian'!$J:$J, 'Transaksi Harian'!$A:$A, "&gt;="&amp;$B24, 'Transaksi Harian'!$A:$A, "&lt;"&amp;($B24+1), 'Transaksi Harian'!$D:$D, TRIM(F$1))</f>
        <v>0</v>
      </c>
      <c r="G24" s="226">
        <f>SUMIFS('Transaksi Harian'!$J:$J, 'Transaksi Harian'!$A:$A, "&gt;="&amp;$B24, 'Transaksi Harian'!$A:$A, "&lt;"&amp;($B24+1), 'Transaksi Harian'!$D:$D, TRIM(G$1))</f>
        <v>0</v>
      </c>
      <c r="H24" s="226">
        <f>SUMIFS('Transaksi Harian'!$J:$J, 'Transaksi Harian'!$A:$A, "&gt;="&amp;$B24, 'Transaksi Harian'!$A:$A, "&lt;"&amp;($B24+1)) - SUMIFS('Transaksi Harian'!$H:$H, 'Transaksi Harian'!$A:$A, "&gt;="&amp;$B24, 'Transaksi Harian'!$A:$A, "&lt;"&amp;($B24+1))</f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13">
        <v>46197.0</v>
      </c>
      <c r="C25" s="225">
        <f>COUNTIFS('Transaksi Harian'!$A:$A, "&gt;="&amp;$B25, 'Transaksi Harian'!$A:$A, "&lt;"&amp;($B25+1))</f>
        <v>0</v>
      </c>
      <c r="D25" s="226">
        <f>SUMIFS('Transaksi Harian'!$J:$J, 'Transaksi Harian'!$A:$A, "&gt;="&amp;$B25, 'Transaksi Harian'!$A:$A, "&lt;"&amp;($B25+1), 'Transaksi Harian'!$D:$D, TRIM(D$1))</f>
        <v>0</v>
      </c>
      <c r="E25" s="226">
        <f>SUMIFS('Transaksi Harian'!$J:$J, 'Transaksi Harian'!$A:$A, "&gt;="&amp;$B25, 'Transaksi Harian'!$A:$A, "&lt;"&amp;($B25+1), 'Transaksi Harian'!$D:$D, TRIM(E$1))</f>
        <v>0</v>
      </c>
      <c r="F25" s="226">
        <f>SUMIFS('Transaksi Harian'!$J:$J, 'Transaksi Harian'!$A:$A, "&gt;="&amp;$B25, 'Transaksi Harian'!$A:$A, "&lt;"&amp;($B25+1), 'Transaksi Harian'!$D:$D, TRIM(F$1))</f>
        <v>0</v>
      </c>
      <c r="G25" s="226">
        <f>SUMIFS('Transaksi Harian'!$J:$J, 'Transaksi Harian'!$A:$A, "&gt;="&amp;$B25, 'Transaksi Harian'!$A:$A, "&lt;"&amp;($B25+1), 'Transaksi Harian'!$D:$D, TRIM(G$1))</f>
        <v>0</v>
      </c>
      <c r="H25" s="226">
        <f>SUMIFS('Transaksi Harian'!$J:$J, 'Transaksi Harian'!$A:$A, "&gt;="&amp;$B25, 'Transaksi Harian'!$A:$A, "&lt;"&amp;($B25+1)) - SUMIFS('Transaksi Harian'!$H:$H, 'Transaksi Harian'!$A:$A, "&gt;="&amp;$B25, 'Transaksi Harian'!$A:$A, "&lt;"&amp;($B25+1))</f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13">
        <v>46198.0</v>
      </c>
      <c r="C26" s="225">
        <f>COUNTIFS('Transaksi Harian'!$A:$A, "&gt;="&amp;$B26, 'Transaksi Harian'!$A:$A, "&lt;"&amp;($B26+1))</f>
        <v>0</v>
      </c>
      <c r="D26" s="226">
        <f>SUMIFS('Transaksi Harian'!$J:$J, 'Transaksi Harian'!$A:$A, "&gt;="&amp;$B26, 'Transaksi Harian'!$A:$A, "&lt;"&amp;($B26+1), 'Transaksi Harian'!$D:$D, TRIM(D$1))</f>
        <v>0</v>
      </c>
      <c r="E26" s="226">
        <f>SUMIFS('Transaksi Harian'!$J:$J, 'Transaksi Harian'!$A:$A, "&gt;="&amp;$B26, 'Transaksi Harian'!$A:$A, "&lt;"&amp;($B26+1), 'Transaksi Harian'!$D:$D, TRIM(E$1))</f>
        <v>0</v>
      </c>
      <c r="F26" s="226">
        <f>SUMIFS('Transaksi Harian'!$J:$J, 'Transaksi Harian'!$A:$A, "&gt;="&amp;$B26, 'Transaksi Harian'!$A:$A, "&lt;"&amp;($B26+1), 'Transaksi Harian'!$D:$D, TRIM(F$1))</f>
        <v>0</v>
      </c>
      <c r="G26" s="226">
        <f>SUMIFS('Transaksi Harian'!$J:$J, 'Transaksi Harian'!$A:$A, "&gt;="&amp;$B26, 'Transaksi Harian'!$A:$A, "&lt;"&amp;($B26+1), 'Transaksi Harian'!$D:$D, TRIM(G$1))</f>
        <v>0</v>
      </c>
      <c r="H26" s="226">
        <f>SUMIFS('Transaksi Harian'!$J:$J, 'Transaksi Harian'!$A:$A, "&gt;="&amp;$B26, 'Transaksi Harian'!$A:$A, "&lt;"&amp;($B26+1)) - SUMIFS('Transaksi Harian'!$H:$H, 'Transaksi Harian'!$A:$A, "&gt;="&amp;$B26, 'Transaksi Harian'!$A:$A, "&lt;"&amp;($B26+1))</f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13">
        <v>46199.0</v>
      </c>
      <c r="C27" s="225">
        <f>COUNTIFS('Transaksi Harian'!$A:$A, "&gt;="&amp;$B27, 'Transaksi Harian'!$A:$A, "&lt;"&amp;($B27+1))</f>
        <v>0</v>
      </c>
      <c r="D27" s="226">
        <f>SUMIFS('Transaksi Harian'!$J:$J, 'Transaksi Harian'!$A:$A, "&gt;="&amp;$B27, 'Transaksi Harian'!$A:$A, "&lt;"&amp;($B27+1), 'Transaksi Harian'!$D:$D, TRIM(D$1))</f>
        <v>0</v>
      </c>
      <c r="E27" s="226">
        <f>SUMIFS('Transaksi Harian'!$J:$J, 'Transaksi Harian'!$A:$A, "&gt;="&amp;$B27, 'Transaksi Harian'!$A:$A, "&lt;"&amp;($B27+1), 'Transaksi Harian'!$D:$D, TRIM(E$1))</f>
        <v>0</v>
      </c>
      <c r="F27" s="226">
        <f>SUMIFS('Transaksi Harian'!$J:$J, 'Transaksi Harian'!$A:$A, "&gt;="&amp;$B27, 'Transaksi Harian'!$A:$A, "&lt;"&amp;($B27+1), 'Transaksi Harian'!$D:$D, TRIM(F$1))</f>
        <v>0</v>
      </c>
      <c r="G27" s="226">
        <f>SUMIFS('Transaksi Harian'!$J:$J, 'Transaksi Harian'!$A:$A, "&gt;="&amp;$B27, 'Transaksi Harian'!$A:$A, "&lt;"&amp;($B27+1), 'Transaksi Harian'!$D:$D, TRIM(G$1))</f>
        <v>0</v>
      </c>
      <c r="H27" s="226">
        <f>SUMIFS('Transaksi Harian'!$J:$J, 'Transaksi Harian'!$A:$A, "&gt;="&amp;$B27, 'Transaksi Harian'!$A:$A, "&lt;"&amp;($B27+1)) - SUMIFS('Transaksi Harian'!$H:$H, 'Transaksi Harian'!$A:$A, "&gt;="&amp;$B27, 'Transaksi Harian'!$A:$A, "&lt;"&amp;($B27+1))</f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13">
        <v>46200.0</v>
      </c>
      <c r="C28" s="225">
        <f>COUNTIFS('Transaksi Harian'!$A:$A, "&gt;="&amp;$B28, 'Transaksi Harian'!$A:$A, "&lt;"&amp;($B28+1))</f>
        <v>0</v>
      </c>
      <c r="D28" s="226">
        <f>SUMIFS('Transaksi Harian'!$J:$J, 'Transaksi Harian'!$A:$A, "&gt;="&amp;$B28, 'Transaksi Harian'!$A:$A, "&lt;"&amp;($B28+1), 'Transaksi Harian'!$D:$D, TRIM(D$1))</f>
        <v>0</v>
      </c>
      <c r="E28" s="226">
        <f>SUMIFS('Transaksi Harian'!$J:$J, 'Transaksi Harian'!$A:$A, "&gt;="&amp;$B28, 'Transaksi Harian'!$A:$A, "&lt;"&amp;($B28+1), 'Transaksi Harian'!$D:$D, TRIM(E$1))</f>
        <v>0</v>
      </c>
      <c r="F28" s="226">
        <f>SUMIFS('Transaksi Harian'!$J:$J, 'Transaksi Harian'!$A:$A, "&gt;="&amp;$B28, 'Transaksi Harian'!$A:$A, "&lt;"&amp;($B28+1), 'Transaksi Harian'!$D:$D, TRIM(F$1))</f>
        <v>0</v>
      </c>
      <c r="G28" s="226">
        <f>SUMIFS('Transaksi Harian'!$J:$J, 'Transaksi Harian'!$A:$A, "&gt;="&amp;$B28, 'Transaksi Harian'!$A:$A, "&lt;"&amp;($B28+1), 'Transaksi Harian'!$D:$D, TRIM(G$1))</f>
        <v>0</v>
      </c>
      <c r="H28" s="226">
        <f>SUMIFS('Transaksi Harian'!$J:$J, 'Transaksi Harian'!$A:$A, "&gt;="&amp;$B28, 'Transaksi Harian'!$A:$A, "&lt;"&amp;($B28+1)) - SUMIFS('Transaksi Harian'!$H:$H, 'Transaksi Harian'!$A:$A, "&gt;="&amp;$B28, 'Transaksi Harian'!$A:$A, "&lt;"&amp;($B28+1))</f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13">
        <v>46201.0</v>
      </c>
      <c r="C29" s="225">
        <f>COUNTIFS('Transaksi Harian'!$A:$A, "&gt;="&amp;$B29, 'Transaksi Harian'!$A:$A, "&lt;"&amp;($B29+1))</f>
        <v>0</v>
      </c>
      <c r="D29" s="226">
        <f>SUMIFS('Transaksi Harian'!$J:$J, 'Transaksi Harian'!$A:$A, "&gt;="&amp;$B29, 'Transaksi Harian'!$A:$A, "&lt;"&amp;($B29+1), 'Transaksi Harian'!$D:$D, TRIM(D$1))</f>
        <v>0</v>
      </c>
      <c r="E29" s="226">
        <f>SUMIFS('Transaksi Harian'!$J:$J, 'Transaksi Harian'!$A:$A, "&gt;="&amp;$B29, 'Transaksi Harian'!$A:$A, "&lt;"&amp;($B29+1), 'Transaksi Harian'!$D:$D, TRIM(E$1))</f>
        <v>0</v>
      </c>
      <c r="F29" s="226">
        <f>SUMIFS('Transaksi Harian'!$J:$J, 'Transaksi Harian'!$A:$A, "&gt;="&amp;$B29, 'Transaksi Harian'!$A:$A, "&lt;"&amp;($B29+1), 'Transaksi Harian'!$D:$D, TRIM(F$1))</f>
        <v>0</v>
      </c>
      <c r="G29" s="226">
        <f>SUMIFS('Transaksi Harian'!$J:$J, 'Transaksi Harian'!$A:$A, "&gt;="&amp;$B29, 'Transaksi Harian'!$A:$A, "&lt;"&amp;($B29+1), 'Transaksi Harian'!$D:$D, TRIM(G$1))</f>
        <v>0</v>
      </c>
      <c r="H29" s="226">
        <f>SUMIFS('Transaksi Harian'!$J:$J, 'Transaksi Harian'!$A:$A, "&gt;="&amp;$B29, 'Transaksi Harian'!$A:$A, "&lt;"&amp;($B29+1)) - SUMIFS('Transaksi Harian'!$H:$H, 'Transaksi Harian'!$A:$A, "&gt;="&amp;$B29, 'Transaksi Harian'!$A:$A, "&lt;"&amp;($B29+1))</f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13">
        <v>46202.0</v>
      </c>
      <c r="C30" s="225">
        <f>COUNTIFS('Transaksi Harian'!$A:$A, "&gt;="&amp;$B30, 'Transaksi Harian'!$A:$A, "&lt;"&amp;($B30+1))</f>
        <v>0</v>
      </c>
      <c r="D30" s="226">
        <f>SUMIFS('Transaksi Harian'!$J:$J, 'Transaksi Harian'!$A:$A, "&gt;="&amp;$B30, 'Transaksi Harian'!$A:$A, "&lt;"&amp;($B30+1), 'Transaksi Harian'!$D:$D, TRIM(D$1))</f>
        <v>0</v>
      </c>
      <c r="E30" s="226">
        <f>SUMIFS('Transaksi Harian'!$J:$J, 'Transaksi Harian'!$A:$A, "&gt;="&amp;$B30, 'Transaksi Harian'!$A:$A, "&lt;"&amp;($B30+1), 'Transaksi Harian'!$D:$D, TRIM(E$1))</f>
        <v>0</v>
      </c>
      <c r="F30" s="226">
        <f>SUMIFS('Transaksi Harian'!$J:$J, 'Transaksi Harian'!$A:$A, "&gt;="&amp;$B30, 'Transaksi Harian'!$A:$A, "&lt;"&amp;($B30+1), 'Transaksi Harian'!$D:$D, TRIM(F$1))</f>
        <v>0</v>
      </c>
      <c r="G30" s="226">
        <f>SUMIFS('Transaksi Harian'!$J:$J, 'Transaksi Harian'!$A:$A, "&gt;="&amp;$B30, 'Transaksi Harian'!$A:$A, "&lt;"&amp;($B30+1), 'Transaksi Harian'!$D:$D, TRIM(G$1))</f>
        <v>0</v>
      </c>
      <c r="H30" s="226">
        <f>SUMIFS('Transaksi Harian'!$J:$J, 'Transaksi Harian'!$A:$A, "&gt;="&amp;$B30, 'Transaksi Harian'!$A:$A, "&lt;"&amp;($B30+1)) - SUMIFS('Transaksi Harian'!$H:$H, 'Transaksi Harian'!$A:$A, "&gt;="&amp;$B30, 'Transaksi Harian'!$A:$A, "&lt;"&amp;($B30+1))</f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13">
        <v>46203.0</v>
      </c>
      <c r="C31" s="225">
        <f>COUNTIFS('Transaksi Harian'!$A:$A, "&gt;="&amp;$B31, 'Transaksi Harian'!$A:$A, "&lt;"&amp;($B31+1))</f>
        <v>0</v>
      </c>
      <c r="D31" s="226">
        <f>SUMIFS('Transaksi Harian'!$J:$J, 'Transaksi Harian'!$A:$A, "&gt;="&amp;$B31, 'Transaksi Harian'!$A:$A, "&lt;"&amp;($B31+1), 'Transaksi Harian'!$D:$D, TRIM(D$1))</f>
        <v>0</v>
      </c>
      <c r="E31" s="226">
        <f>SUMIFS('Transaksi Harian'!$J:$J, 'Transaksi Harian'!$A:$A, "&gt;="&amp;$B31, 'Transaksi Harian'!$A:$A, "&lt;"&amp;($B31+1), 'Transaksi Harian'!$D:$D, TRIM(E$1))</f>
        <v>0</v>
      </c>
      <c r="F31" s="226">
        <f>SUMIFS('Transaksi Harian'!$J:$J, 'Transaksi Harian'!$A:$A, "&gt;="&amp;$B31, 'Transaksi Harian'!$A:$A, "&lt;"&amp;($B31+1), 'Transaksi Harian'!$D:$D, TRIM(F$1))</f>
        <v>0</v>
      </c>
      <c r="G31" s="226">
        <f>SUMIFS('Transaksi Harian'!$J:$J, 'Transaksi Harian'!$A:$A, "&gt;="&amp;$B31, 'Transaksi Harian'!$A:$A, "&lt;"&amp;($B31+1), 'Transaksi Harian'!$D:$D, TRIM(G$1))</f>
        <v>0</v>
      </c>
      <c r="H31" s="226">
        <f>SUMIFS('Transaksi Harian'!$J:$J, 'Transaksi Harian'!$A:$A, "&gt;="&amp;$B31, 'Transaksi Harian'!$A:$A, "&lt;"&amp;($B31+1)) - SUMIFS('Transaksi Harian'!$H:$H, 'Transaksi Harian'!$A:$A, "&gt;="&amp;$B31, 'Transaksi Harian'!$A:$A, "&lt;"&amp;($B31+1))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13"/>
      <c r="C32" s="225">
        <f>COUNTIFS('Transaksi Harian'!$A:$A, "&gt;="&amp;$B32, 'Transaksi Harian'!$A:$A, "&lt;"&amp;($B32+1))</f>
        <v>0</v>
      </c>
      <c r="D32" s="226">
        <f>SUMIFS('Transaksi Harian'!$J:$J, 'Transaksi Harian'!$A:$A, "&gt;="&amp;$B32, 'Transaksi Harian'!$A:$A, "&lt;"&amp;($B32+1), 'Transaksi Harian'!$D:$D, TRIM(D$1))</f>
        <v>0</v>
      </c>
      <c r="E32" s="226">
        <f>SUMIFS('Transaksi Harian'!$J:$J, 'Transaksi Harian'!$A:$A, "&gt;="&amp;$B32, 'Transaksi Harian'!$A:$A, "&lt;"&amp;($B32+1), 'Transaksi Harian'!$D:$D, TRIM(E$1))</f>
        <v>0</v>
      </c>
      <c r="F32" s="226">
        <f>SUMIFS('Transaksi Harian'!$J:$J, 'Transaksi Harian'!$A:$A, "&gt;="&amp;$B32, 'Transaksi Harian'!$A:$A, "&lt;"&amp;($B32+1), 'Transaksi Harian'!$D:$D, TRIM(F$1))</f>
        <v>0</v>
      </c>
      <c r="G32" s="226">
        <f>SUMIFS('Transaksi Harian'!$J:$J, 'Transaksi Harian'!$A:$A, "&gt;="&amp;$B32, 'Transaksi Harian'!$A:$A, "&lt;"&amp;($B32+1), 'Transaksi Harian'!$D:$D, TRIM(G$1))</f>
        <v>0</v>
      </c>
      <c r="H32" s="226">
        <f>SUMIFS('Transaksi Harian'!$J:$J, 'Transaksi Harian'!$A:$A, "&gt;="&amp;$B32, 'Transaksi Harian'!$A:$A, "&lt;"&amp;($B32+1)) - SUMIFS('Transaksi Harian'!$H:$H, 'Transaksi Harian'!$A:$A, "&gt;="&amp;$B32, 'Transaksi Harian'!$A:$A, "&lt;"&amp;($B32+1))</f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8.75" customHeight="1">
      <c r="A33" s="203"/>
      <c r="B33" s="239" t="s">
        <v>2885</v>
      </c>
      <c r="C33" s="240"/>
      <c r="D33" s="240"/>
      <c r="E33" s="240"/>
      <c r="F33" s="240"/>
      <c r="G33" s="241"/>
      <c r="H33" s="240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4.25" customHeight="1">
      <c r="A34" s="1"/>
      <c r="B34" s="21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1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1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1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1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1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1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1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1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1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1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1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1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1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1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1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1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1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1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1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1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1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1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1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1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1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1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1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1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1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1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1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1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1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1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1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1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1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1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1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1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1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1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1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1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1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1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1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1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21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1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1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1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1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1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1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1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1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1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1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1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1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1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1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1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1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1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1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1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1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1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1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1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1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1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1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1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1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1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1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1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1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1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1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1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1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1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1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1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1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1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1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1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1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1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1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1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1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1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1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1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1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1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1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1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1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1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1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1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1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1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1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1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1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1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1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1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1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1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1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1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1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1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1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1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1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1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1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1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1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1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1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1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1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1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1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1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1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1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1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1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1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1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1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1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1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1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1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1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1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1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1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1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1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1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1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1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1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1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1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1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1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1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1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1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1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1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1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1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1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1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1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1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1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1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1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1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1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1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1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1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1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1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1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1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1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1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1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1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1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1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1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1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1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1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1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1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1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1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1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1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1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1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1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1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1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1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1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1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1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1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1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1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1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1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1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1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1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1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1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1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1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1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1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1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1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1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1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1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1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1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1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1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1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1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1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1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1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1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1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1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1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1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1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1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1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1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1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1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1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1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1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1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1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1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1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1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1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1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1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1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1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1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1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1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1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1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1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1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1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1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1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1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1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1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1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1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1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1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1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1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1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1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1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1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1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1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1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1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1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1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1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1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1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1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1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1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1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1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1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1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1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1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1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1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1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1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1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1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1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1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1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1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1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1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1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1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1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1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1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1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1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1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1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1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1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1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1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1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1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1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1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1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1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1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1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1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1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1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1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1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1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1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1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1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1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1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1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1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1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1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1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1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1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1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1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1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1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1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1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1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1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1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1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1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1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1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1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1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1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1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1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1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1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1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1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1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1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1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1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1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1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1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1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1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1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1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1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1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1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1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1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1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1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1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1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1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1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1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1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1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1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1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1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1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1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1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1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1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1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1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1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1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1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1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1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1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1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1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1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1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1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1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1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1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1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1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1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1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1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1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1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1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1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1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1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1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1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1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1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1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1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1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1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1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1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1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1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1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1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1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1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1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1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1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1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1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1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1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1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1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1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1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1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1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1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1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1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1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1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1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1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1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1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1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1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1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1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1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1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1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1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1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1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1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1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1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1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1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1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1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1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1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1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1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1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1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1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1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1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1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1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1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1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1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1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1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1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1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1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1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1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1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1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1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1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1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1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1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1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1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1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1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1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1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1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1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1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1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1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1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1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1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1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1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1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1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1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1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1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1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1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1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1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1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1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1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1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1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1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1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1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1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1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1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1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1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1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1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1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1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1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1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1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1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1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1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1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1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1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1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1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1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1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1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1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1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1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1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1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1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1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1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1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1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1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1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1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1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1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1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1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1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1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1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1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1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1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1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1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1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1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1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1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1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1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1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1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1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1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1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1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1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1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1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1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1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1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1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1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1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1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1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1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1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1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1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1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1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1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1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1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1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1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1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1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1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1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1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1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1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1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1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1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1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1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1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1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1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1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1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1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1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1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1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1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1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1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1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1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1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1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1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1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1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1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1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1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1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1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1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1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1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1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1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1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1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1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1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1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1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1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1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1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1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1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1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1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1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1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1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1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1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1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1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1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1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1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1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1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1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1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1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1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1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1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1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1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1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1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1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1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1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1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1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1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1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1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1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1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1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1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1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1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1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1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1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1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1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1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1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1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1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1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1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1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1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1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1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1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1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1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1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1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1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1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1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1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1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1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1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1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1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1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1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1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1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1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1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1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1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1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1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1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1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1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1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1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1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1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1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1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1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1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1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1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1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1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1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1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1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1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1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1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1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1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1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1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1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1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1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1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1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1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1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1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1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1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1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1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1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1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1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1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1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1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1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1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1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1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1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1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1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1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1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1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1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1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1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1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1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1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1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1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1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1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1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1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1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1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1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1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1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1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1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1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1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1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1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1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1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1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1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1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1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1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1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1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1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1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1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1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1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1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1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1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1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1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1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1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1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1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1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1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1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1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1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1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1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1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1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1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1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1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1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1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1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21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21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21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21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21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21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21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21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21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1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21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21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21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21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21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21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21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21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21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21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21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21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21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21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1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21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21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21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21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21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21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21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21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21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21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1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1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1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1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1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1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1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1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1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21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1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1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1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1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1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1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1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21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1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1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1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1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1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1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1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1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1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1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1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1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1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1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1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21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1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1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1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1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18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18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218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18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18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18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18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18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1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218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18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18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18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dataValidations>
    <dataValidation type="custom" allowBlank="1" showDropDown="1" sqref="B2:B32">
      <formula1>OR(NOT(ISERROR(DATEVALUE(B2))), AND(ISNUMBER(B2), LEFT(CELL("format", B2))="D"))</formula1>
    </dataValidation>
    <dataValidation type="custom" allowBlank="1" showDropDown="1" sqref="C2:H32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88"/>
  </cols>
  <sheetData>
    <row r="1" ht="22.5" customHeight="1">
      <c r="A1" s="227" t="s">
        <v>2822</v>
      </c>
      <c r="B1" s="228" t="s">
        <v>2823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9" t="s">
        <v>2824</v>
      </c>
      <c r="C1" s="230" t="s">
        <v>2825</v>
      </c>
      <c r="D1" s="230" t="s">
        <v>2826</v>
      </c>
      <c r="F1" s="231" t="s">
        <v>2827</v>
      </c>
      <c r="H1" s="232" t="s">
        <v>2828</v>
      </c>
    </row>
    <row r="2">
      <c r="A2" s="233" t="str">
        <f>IFERROR(__xludf.DUMMYFUNCTION("SORT(UNIQUE(FILTER(VSTACK('Stok Digital'!C2:C2451, 'Stok Fisik'!C2:C2451), VSTACK('Stok Digital'!C2:C2451, 'Stok Fisik'!C2:C2451)&lt;&gt;"""")))"),"ACOME ACC Mini Fan AF002 Dark Blue")</f>
        <v>ACOME ACC Mini Fan AF002 Dark Blue</v>
      </c>
      <c r="C2" s="233" t="str">
        <f>IFERROR(__xludf.DUMMYFUNCTION("IF('Input Produk Baru'!E3=""Fisik"", SORT(UNIQUE(FILTER('Stok Fisik'!B2:B2451, 'Stok Fisik'!B2:B2451&lt;&gt;""""))), IF('Input Produk Baru'!E3=""Digital"", SORT(UNIQUE(FILTER('Stok Digital'!B2:B2451, 'Stok Digital'!B2:B2451&lt;&gt;""""))), IFERROR(1/0)))"),"AKSESORIS")</f>
        <v>AKSESORIS</v>
      </c>
      <c r="D2" s="233" t="str">
        <f>IFERROR(__xludf.DUMMYFUNCTION("IF('Input Produk Baru'!E3=""Fisik"", SORT(UNIQUE(FILTER('Stok Fisik'!E2:E2451, 'Stok Fisik'!E2:E2451&lt;&gt;""""))), IF('Input Produk Baru'!E3=""Digital"", SORT(UNIQUE(FILTER('Stok Digital'!E2:E2451, 'Stok Digital'!E2:E2451&lt;&gt;""""))), IFERROR(1/0)))"),"ADAPTER")</f>
        <v>ADAPTER</v>
      </c>
      <c r="F2" s="233" t="str">
        <f>IFERROR(__xludf.DUMMYFUNCTION("IF('Input Produk Baru'!E3=""Fisik"", IFERROR(UNIQUE(FILTER('Stok Fisik'!C2:C2451, 'Stok Fisik'!C2:C2451&lt;&gt;""""))), IF('Input Produk Baru'!E3=""Digital"", IFERROR(UNIQUE(FILTER('Stok Digital'!C2:C2451, 'Stok Digital'!C2:C2451&lt;&gt;""""))), IFERROR(UNIQUE({FILTE"&amp;"R('Stok Fisik'!C2:C2451, 'Stok Fisik'!C2:C2451&lt;&gt;""""); FILTER('Stok Digital'!C2:C2451, 'Stok Digital'!C2:C2451&lt;&gt;"""")}), """")))"),"vivan VSPT04T PRO")</f>
        <v>vivan VSPT04T PRO</v>
      </c>
      <c r="H2" s="233" t="str">
        <f t="array" ref="H2:H70">SORT(UNIQUE({TRIM('Stok Fisik'!D2:D2451); TRIM('Stok Digital'!D2:D2451)}))</f>
        <v/>
      </c>
    </row>
    <row r="3">
      <c r="A3" s="233" t="str">
        <f>IFERROR(__xludf.DUMMYFUNCTION("""COMPUTED_VALUE"""),"ACOME ACC Ows Earphone A21 Black (SKU RJA-ACOM-0927)")</f>
        <v>ACOME ACC Ows Earphone A21 Black (SKU RJA-ACOM-0927)</v>
      </c>
      <c r="C3" s="233" t="str">
        <f>IFERROR(__xludf.DUMMYFUNCTION("""COMPUTED_VALUE"""),"Aksesoris")</f>
        <v>Aksesoris</v>
      </c>
      <c r="D3" s="233" t="str">
        <f>IFERROR(__xludf.DUMMYFUNCTION("""COMPUTED_VALUE"""),"AKSESORIS LAIN")</f>
        <v>AKSESORIS LAIN</v>
      </c>
      <c r="F3" s="233" t="str">
        <f>IFERROR(__xludf.DUMMYFUNCTION("""COMPUTED_VALUE"""),"ACOME Microphone AWA-V7B Black")</f>
        <v>ACOME Microphone AWA-V7B Black</v>
      </c>
      <c r="H3" s="234" t="s">
        <v>64</v>
      </c>
    </row>
    <row r="4">
      <c r="A4" s="233" t="str">
        <f>IFERROR(__xludf.DUMMYFUNCTION("""COMPUTED_VALUE"""),"ACOME ACC Ows Earphone A21 Black (SKU RJA-ACOM-0944)")</f>
        <v>ACOME ACC Ows Earphone A21 Black (SKU RJA-ACOM-0944)</v>
      </c>
      <c r="C4" s="233" t="str">
        <f>IFERROR(__xludf.DUMMYFUNCTION("""COMPUTED_VALUE"""),"LAIN LAIN")</f>
        <v>LAIN LAIN</v>
      </c>
      <c r="D4" s="233" t="str">
        <f>IFERROR(__xludf.DUMMYFUNCTION("""COMPUTED_VALUE"""),"Aksesoris Lainnya")</f>
        <v>Aksesoris Lainnya</v>
      </c>
      <c r="F4" s="233" t="str">
        <f>IFERROR(__xludf.DUMMYFUNCTION("""COMPUTED_VALUE"""),"ACOME ACC Mini Fan AF002 Dark Blue")</f>
        <v>ACOME ACC Mini Fan AF002 Dark Blue</v>
      </c>
      <c r="H4" s="234" t="s">
        <v>2833</v>
      </c>
    </row>
    <row r="5">
      <c r="A5" s="233" t="str">
        <f>IFERROR(__xludf.DUMMYFUNCTION("""COMPUTED_VALUE"""),"ACOME Microphone AWA-V7B Black")</f>
        <v>ACOME Microphone AWA-V7B Black</v>
      </c>
      <c r="C5" s="233" t="str">
        <f>IFERROR(__xludf.DUMMYFUNCTION("""COMPUTED_VALUE"""),"PULSA")</f>
        <v>PULSA</v>
      </c>
      <c r="D5" s="233" t="str">
        <f>IFERROR(__xludf.DUMMYFUNCTION("""COMPUTED_VALUE"""),"AUX")</f>
        <v>AUX</v>
      </c>
      <c r="F5" s="233" t="str">
        <f>IFERROR(__xludf.DUMMYFUNCTION("""COMPUTED_VALUE"""),"ACOME TF CARD 32G TF WITH Package colourful")</f>
        <v>ACOME TF CARD 32G TF WITH Package colourful</v>
      </c>
      <c r="H5" s="234" t="s">
        <v>1230</v>
      </c>
    </row>
    <row r="6">
      <c r="A6" s="233" t="str">
        <f>IFERROR(__xludf.DUMMYFUNCTION("""COMPUTED_VALUE"""),"ACOME OWS bluetooth earphone OpenSoft AE02")</f>
        <v>ACOME OWS bluetooth earphone OpenSoft AE02</v>
      </c>
      <c r="D6" s="233" t="str">
        <f>IFERROR(__xludf.DUMMYFUNCTION("""COMPUTED_VALUE"""),"AUX AV-003 1,5 M")</f>
        <v>AUX AV-003 1,5 M</v>
      </c>
      <c r="F6" s="233" t="str">
        <f>IFERROR(__xludf.DUMMYFUNCTION("""COMPUTED_VALUE"""),"ACOME selfie stick SS07A black (SKU RJA-ACOM-0890)")</f>
        <v>ACOME selfie stick SS07A black (SKU RJA-ACOM-0890)</v>
      </c>
      <c r="H6" s="234" t="s">
        <v>510</v>
      </c>
    </row>
    <row r="7">
      <c r="A7" s="233" t="str">
        <f>IFERROR(__xludf.DUMMYFUNCTION("""COMPUTED_VALUE"""),"ACOME selfie stick SS07A black (SKU RJA-ACOM-0890)")</f>
        <v>ACOME selfie stick SS07A black (SKU RJA-ACOM-0890)</v>
      </c>
      <c r="D7" s="233" t="str">
        <f>IFERROR(__xludf.DUMMYFUNCTION("""COMPUTED_VALUE"""),"BANDO")</f>
        <v>BANDO</v>
      </c>
      <c r="F7" s="233" t="str">
        <f>IFERROR(__xludf.DUMMYFUNCTION("""COMPUTED_VALUE"""),"ACOME selfie stick SS07A black (SKU RJA-ACOM-0903)")</f>
        <v>ACOME selfie stick SS07A black (SKU RJA-ACOM-0903)</v>
      </c>
      <c r="H7" s="234" t="s">
        <v>2834</v>
      </c>
    </row>
    <row r="8">
      <c r="A8" s="233" t="str">
        <f>IFERROR(__xludf.DUMMYFUNCTION("""COMPUTED_VALUE"""),"ACOME selfie stick SS07A black (SKU RJA-ACOM-0903)")</f>
        <v>ACOME selfie stick SS07A black (SKU RJA-ACOM-0903)</v>
      </c>
      <c r="D8" s="233" t="str">
        <f>IFERROR(__xludf.DUMMYFUNCTION("""COMPUTED_VALUE"""),"BATERAI")</f>
        <v>BATERAI</v>
      </c>
      <c r="F8" s="233" t="str">
        <f>IFERROR(__xludf.DUMMYFUNCTION("""COMPUTED_VALUE"""),"ACOME ACC Ows Earphone A21 Black (SKU RJA-ACOM-0927)")</f>
        <v>ACOME ACC Ows Earphone A21 Black (SKU RJA-ACOM-0927)</v>
      </c>
      <c r="H8" s="234" t="s">
        <v>2519</v>
      </c>
    </row>
    <row r="9">
      <c r="A9" s="233" t="str">
        <f>IFERROR(__xludf.DUMMYFUNCTION("""COMPUTED_VALUE"""),"ACOME TF CARD 32G TF WITH Package colourful")</f>
        <v>ACOME TF CARD 32G TF WITH Package colourful</v>
      </c>
      <c r="D9" s="233" t="str">
        <f>IFERROR(__xludf.DUMMYFUNCTION("""COMPUTED_VALUE"""),"BATOK CHARGER")</f>
        <v>BATOK CHARGER</v>
      </c>
      <c r="F9" s="233" t="str">
        <f>IFERROR(__xludf.DUMMYFUNCTION("""COMPUTED_VALUE"""),"ACOME Tws Earphone Inpods AT03 Black (SKU RJA-ACOM-0928)")</f>
        <v>ACOME Tws Earphone Inpods AT03 Black (SKU RJA-ACOM-0928)</v>
      </c>
      <c r="H9" s="234" t="s">
        <v>542</v>
      </c>
    </row>
    <row r="10">
      <c r="A10" s="233" t="str">
        <f>IFERROR(__xludf.DUMMYFUNCTION("""COMPUTED_VALUE"""),"ACOME Tws Earphone Inpods AT03 Black (SKU RJA-ACOM-0928)")</f>
        <v>ACOME Tws Earphone Inpods AT03 Black (SKU RJA-ACOM-0928)</v>
      </c>
      <c r="D10" s="233" t="str">
        <f>IFERROR(__xludf.DUMMYFUNCTION("""COMPUTED_VALUE"""),"BROADCAST")</f>
        <v>BROADCAST</v>
      </c>
      <c r="F10" s="233" t="str">
        <f>IFERROR(__xludf.DUMMYFUNCTION("""COMPUTED_VALUE"""),"ACOME TWS Inpods AT09 Black (SKU RJA-ACOM-0931)")</f>
        <v>ACOME TWS Inpods AT09 Black (SKU RJA-ACOM-0931)</v>
      </c>
      <c r="H10" s="234" t="s">
        <v>1947</v>
      </c>
    </row>
    <row r="11">
      <c r="A11" s="233" t="str">
        <f>IFERROR(__xludf.DUMMYFUNCTION("""COMPUTED_VALUE"""),"ACOME Tws Earphone Inpods AT03 Black (SKU RJA-ACOM-0932)")</f>
        <v>ACOME Tws Earphone Inpods AT03 Black (SKU RJA-ACOM-0932)</v>
      </c>
      <c r="D11" s="233" t="str">
        <f>IFERROR(__xludf.DUMMYFUNCTION("""COMPUTED_VALUE"""),"CAR CHARGER")</f>
        <v>CAR CHARGER</v>
      </c>
      <c r="F11" s="233" t="str">
        <f>IFERROR(__xludf.DUMMYFUNCTION("""COMPUTED_VALUE"""),"ACOME Tws Earphone Inpods AT03 Black (SKU RJA-ACOM-0932)")</f>
        <v>ACOME Tws Earphone Inpods AT03 Black (SKU RJA-ACOM-0932)</v>
      </c>
      <c r="H11" s="234" t="s">
        <v>1648</v>
      </c>
    </row>
    <row r="12">
      <c r="A12" s="233" t="str">
        <f>IFERROR(__xludf.DUMMYFUNCTION("""COMPUTED_VALUE"""),"ACOME Tws Earphone Inpods AT03 Green")</f>
        <v>ACOME Tws Earphone Inpods AT03 Green</v>
      </c>
      <c r="D12" s="233" t="str">
        <f>IFERROR(__xludf.DUMMYFUNCTION("""COMPUTED_VALUE"""),"CARD READER")</f>
        <v>CARD READER</v>
      </c>
      <c r="F12" s="233" t="str">
        <f>IFERROR(__xludf.DUMMYFUNCTION("""COMPUTED_VALUE"""),"ACOME TWS Inpods AT09 Black (SKU RJA-ACOM-0941)")</f>
        <v>ACOME TWS Inpods AT09 Black (SKU RJA-ACOM-0941)</v>
      </c>
      <c r="H12" s="234" t="s">
        <v>2452</v>
      </c>
    </row>
    <row r="13">
      <c r="A13" s="233" t="str">
        <f>IFERROR(__xludf.DUMMYFUNCTION("""COMPUTED_VALUE"""),"ACOME TWS Inpods AT09 Black (SKU RJA-ACOM-0931)")</f>
        <v>ACOME TWS Inpods AT09 Black (SKU RJA-ACOM-0931)</v>
      </c>
      <c r="D13" s="233" t="str">
        <f>IFERROR(__xludf.DUMMYFUNCTION("""COMPUTED_VALUE"""),"CHARGER AKI")</f>
        <v>CHARGER AKI</v>
      </c>
      <c r="F13" s="233" t="str">
        <f>IFERROR(__xludf.DUMMYFUNCTION("""COMPUTED_VALUE"""),"ACOME Tws Earphone Inpods AT03 Green")</f>
        <v>ACOME Tws Earphone Inpods AT03 Green</v>
      </c>
      <c r="H13" s="234" t="s">
        <v>1093</v>
      </c>
    </row>
    <row r="14">
      <c r="A14" s="233" t="str">
        <f>IFERROR(__xludf.DUMMYFUNCTION("""COMPUTED_VALUE"""),"ACOME TWS Inpods AT09 Black (SKU RJA-ACOM-0941)")</f>
        <v>ACOME TWS Inpods AT09 Black (SKU RJA-ACOM-0941)</v>
      </c>
      <c r="D14" s="233" t="str">
        <f>IFERROR(__xludf.DUMMYFUNCTION("""COMPUTED_VALUE"""),"CONVERTER")</f>
        <v>CONVERTER</v>
      </c>
      <c r="F14" s="233" t="str">
        <f>IFERROR(__xludf.DUMMYFUNCTION("""COMPUTED_VALUE"""),"ACOME OWS bluetooth earphone OpenSoft AE02")</f>
        <v>ACOME OWS bluetooth earphone OpenSoft AE02</v>
      </c>
      <c r="H14" s="234" t="s">
        <v>2579</v>
      </c>
    </row>
    <row r="15">
      <c r="A15" s="233" t="str">
        <f>IFERROR(__xludf.DUMMYFUNCTION("""COMPUTED_VALUE"""),"ADAPTER 7IN1 TYPE C+ USB A GREY")</f>
        <v>ADAPTER 7IN1 TYPE C+ USB A GREY</v>
      </c>
      <c r="D15" s="233" t="str">
        <f>IFERROR(__xludf.DUMMYFUNCTION("""COMPUTED_VALUE"""),"COOLING PAD")</f>
        <v>COOLING PAD</v>
      </c>
      <c r="F15" s="233" t="str">
        <f>IFERROR(__xludf.DUMMYFUNCTION("""COMPUTED_VALUE"""),"ACOME ACC Ows Earphone A21 Black (SKU RJA-ACOM-0944)")</f>
        <v>ACOME ACC Ows Earphone A21 Black (SKU RJA-ACOM-0944)</v>
      </c>
      <c r="H15" s="234" t="s">
        <v>2765</v>
      </c>
    </row>
    <row r="16">
      <c r="A16" s="233" t="str">
        <f>IFERROR(__xludf.DUMMYFUNCTION("""COMPUTED_VALUE"""),"ANTENA AUX")</f>
        <v>ANTENA AUX</v>
      </c>
      <c r="D16" s="233" t="str">
        <f>IFERROR(__xludf.DUMMYFUNCTION("""COMPUTED_VALUE"""),"DOGLE")</f>
        <v>DOGLE</v>
      </c>
      <c r="F16" s="233" t="str">
        <f>IFERROR(__xludf.DUMMYFUNCTION("""COMPUTED_VALUE"""),"ADAPTER 7IN1 TYPE C+ USB A GREY")</f>
        <v>ADAPTER 7IN1 TYPE C+ USB A GREY</v>
      </c>
      <c r="H16" s="234" t="s">
        <v>2835</v>
      </c>
    </row>
    <row r="17">
      <c r="A17" s="233" t="str">
        <f>IFERROR(__xludf.DUMMYFUNCTION("""COMPUTED_VALUE"""),"ARC BBQ LIGHTER")</f>
        <v>ARC BBQ LIGHTER</v>
      </c>
      <c r="D17" s="233" t="str">
        <f>IFERROR(__xludf.DUMMYFUNCTION("""COMPUTED_VALUE"""),"DONGGLE")</f>
        <v>DONGGLE</v>
      </c>
      <c r="F17" s="233" t="str">
        <f>IFERROR(__xludf.DUMMYFUNCTION("""COMPUTED_VALUE"""),"MOUSEPAD GAMER")</f>
        <v>MOUSEPAD GAMER</v>
      </c>
      <c r="H17" s="234" t="s">
        <v>2836</v>
      </c>
    </row>
    <row r="18">
      <c r="A18" s="233" t="str">
        <f>IFERROR(__xludf.DUMMYFUNCTION("""COMPUTED_VALUE"""),"AUX 2 IN 1 1 M")</f>
        <v>AUX 2 IN 1 1 M</v>
      </c>
      <c r="D18" s="233" t="str">
        <f>IFERROR(__xludf.DUMMYFUNCTION("""COMPUTED_VALUE"""),"FAN")</f>
        <v>FAN</v>
      </c>
      <c r="F18" s="233" t="str">
        <f>IFERROR(__xludf.DUMMYFUNCTION("""COMPUTED_VALUE"""),"ANTENA AUX")</f>
        <v>ANTENA AUX</v>
      </c>
      <c r="H18" s="234" t="s">
        <v>845</v>
      </c>
    </row>
    <row r="19">
      <c r="A19" s="233" t="str">
        <f>IFERROR(__xludf.DUMMYFUNCTION("""COMPUTED_VALUE"""),"AUX 2 IN 1 1,5 M")</f>
        <v>AUX 2 IN 1 1,5 M</v>
      </c>
      <c r="D19" s="233" t="str">
        <f>IFERROR(__xludf.DUMMYFUNCTION("""COMPUTED_VALUE"""),"FLASHDISK")</f>
        <v>FLASHDISK</v>
      </c>
      <c r="F19" s="233" t="str">
        <f>IFERROR(__xludf.DUMMYFUNCTION("""COMPUTED_VALUE"""),"ARC BBQ LIGHTER")</f>
        <v>ARC BBQ LIGHTER</v>
      </c>
      <c r="H19" s="234" t="s">
        <v>2837</v>
      </c>
    </row>
    <row r="20">
      <c r="A20" s="233" t="str">
        <f>IFERROR(__xludf.DUMMYFUNCTION("""COMPUTED_VALUE"""),"AUX ACCESORIES")</f>
        <v>AUX ACCESORIES</v>
      </c>
      <c r="D20" s="233" t="str">
        <f>IFERROR(__xludf.DUMMYFUNCTION("""COMPUTED_VALUE"""),"GURITA")</f>
        <v>GURITA</v>
      </c>
      <c r="F20" s="233" t="str">
        <f>IFERROR(__xludf.DUMMYFUNCTION("""COMPUTED_VALUE"""),"AUX 2 IN 1 1,5 M")</f>
        <v>AUX 2 IN 1 1,5 M</v>
      </c>
      <c r="H20" s="234" t="s">
        <v>2556</v>
      </c>
    </row>
    <row r="21">
      <c r="A21" s="233" t="str">
        <f>IFERROR(__xludf.DUMMYFUNCTION("""COMPUTED_VALUE"""),"AUX ALIEN")</f>
        <v>AUX ALIEN</v>
      </c>
      <c r="D21" s="233" t="str">
        <f>IFERROR(__xludf.DUMMYFUNCTION("""COMPUTED_VALUE"""),"HANDFREE")</f>
        <v>HANDFREE</v>
      </c>
      <c r="F21" s="233" t="str">
        <f>IFERROR(__xludf.DUMMYFUNCTION("""COMPUTED_VALUE"""),"AUX 2 IN 1 1 M")</f>
        <v>AUX 2 IN 1 1 M</v>
      </c>
      <c r="H21" s="235" t="s">
        <v>2838</v>
      </c>
    </row>
    <row r="22">
      <c r="A22" s="233" t="str">
        <f>IFERROR(__xludf.DUMMYFUNCTION("""COMPUTED_VALUE"""),"AUX AV-003 (SKU RJA-AUXA-0066)")</f>
        <v>AUX AV-003 (SKU RJA-AUXA-0066)</v>
      </c>
      <c r="D22" s="233" t="str">
        <f>IFERROR(__xludf.DUMMYFUNCTION("""COMPUTED_VALUE"""),"HDMI")</f>
        <v>HDMI</v>
      </c>
      <c r="F22" s="233" t="str">
        <f>IFERROR(__xludf.DUMMYFUNCTION("""COMPUTED_VALUE"""),"AUX ACCESORIES")</f>
        <v>AUX ACCESORIES</v>
      </c>
      <c r="H22" s="235" t="s">
        <v>1622</v>
      </c>
    </row>
    <row r="23">
      <c r="A23" s="233" t="str">
        <f>IFERROR(__xludf.DUMMYFUNCTION("""COMPUTED_VALUE"""),"AUX AV-003 (SKU RJA-AUXA-0067)")</f>
        <v>AUX AV-003 (SKU RJA-AUXA-0067)</v>
      </c>
      <c r="D23" s="233" t="str">
        <f>IFERROR(__xludf.DUMMYFUNCTION("""COMPUTED_VALUE"""),"HEADPHONE")</f>
        <v>HEADPHONE</v>
      </c>
      <c r="F23" s="233" t="str">
        <f>IFERROR(__xludf.DUMMYFUNCTION("""COMPUTED_VALUE"""),"AUX AV-005 1,5")</f>
        <v>AUX AV-005 1,5</v>
      </c>
      <c r="H23" s="235" t="s">
        <v>2410</v>
      </c>
    </row>
    <row r="24">
      <c r="A24" s="233" t="str">
        <f>IFERROR(__xludf.DUMMYFUNCTION("""COMPUTED_VALUE"""),"AUX AV-005 1,5")</f>
        <v>AUX AV-005 1,5</v>
      </c>
      <c r="D24" s="233" t="str">
        <f>IFERROR(__xludf.DUMMYFUNCTION("""COMPUTED_VALUE"""),"HEADSET")</f>
        <v>HEADSET</v>
      </c>
      <c r="F24" s="233" t="str">
        <f>IFERROR(__xludf.DUMMYFUNCTION("""COMPUTED_VALUE"""),"AUX ALIEN")</f>
        <v>AUX ALIEN</v>
      </c>
      <c r="H24" s="235" t="s">
        <v>1536</v>
      </c>
    </row>
    <row r="25">
      <c r="A25" s="233" t="str">
        <f>IFERROR(__xludf.DUMMYFUNCTION("""COMPUTED_VALUE"""),"AUX CABLE LENYES LIGHTNING TO 3.5MM")</f>
        <v>AUX CABLE LENYES LIGHTNING TO 3.5MM</v>
      </c>
      <c r="D25" s="233" t="str">
        <f>IFERROR(__xludf.DUMMYFUNCTION("""COMPUTED_VALUE"""),"HOLDER")</f>
        <v>HOLDER</v>
      </c>
      <c r="F25" s="233" t="str">
        <f>IFERROR(__xludf.DUMMYFUNCTION("""COMPUTED_VALUE"""),"AUX AV-003 (SKU RJA-AUXA-0066)")</f>
        <v>AUX AV-003 (SKU RJA-AUXA-0066)</v>
      </c>
      <c r="H25" s="235" t="s">
        <v>1176</v>
      </c>
    </row>
    <row r="26">
      <c r="A26" s="233" t="str">
        <f>IFERROR(__xludf.DUMMYFUNCTION("""COMPUTED_VALUE"""),"AUX DAP 3 CABANG D-AU06")</f>
        <v>AUX DAP 3 CABANG D-AU06</v>
      </c>
      <c r="D26" s="233" t="str">
        <f>IFERROR(__xludf.DUMMYFUNCTION("""COMPUTED_VALUE"""),"Holder")</f>
        <v>Holder</v>
      </c>
      <c r="F26" s="233" t="str">
        <f>IFERROR(__xludf.DUMMYFUNCTION("""COMPUTED_VALUE"""),"AUX AV-003 (SKU RJA-AUXA-0067)")</f>
        <v>AUX AV-003 (SKU RJA-AUXA-0067)</v>
      </c>
      <c r="H26" s="235" t="s">
        <v>1699</v>
      </c>
    </row>
    <row r="27">
      <c r="A27" s="233" t="str">
        <f>IFERROR(__xludf.DUMMYFUNCTION("""COMPUTED_VALUE"""),"AUX DAP D-AU07")</f>
        <v>AUX DAP D-AU07</v>
      </c>
      <c r="D27" s="233" t="str">
        <f>IFERROR(__xludf.DUMMYFUNCTION("""COMPUTED_VALUE"""),"HUB")</f>
        <v>HUB</v>
      </c>
      <c r="F27" s="233" t="str">
        <f>IFERROR(__xludf.DUMMYFUNCTION("""COMPUTED_VALUE"""),"AUX DAP D-AU07")</f>
        <v>AUX DAP D-AU07</v>
      </c>
      <c r="H27" s="235" t="s">
        <v>2839</v>
      </c>
    </row>
    <row r="28">
      <c r="A28" s="233" t="str">
        <f>IFERROR(__xludf.DUMMYFUNCTION("""COMPUTED_VALUE"""),"AUX DAP D-AU08")</f>
        <v>AUX DAP D-AU08</v>
      </c>
      <c r="D28" s="233" t="str">
        <f>IFERROR(__xludf.DUMMYFUNCTION("""COMPUTED_VALUE"""),"JEMPOL")</f>
        <v>JEMPOL</v>
      </c>
      <c r="F28" s="233" t="str">
        <f>IFERROR(__xludf.DUMMYFUNCTION("""COMPUTED_VALUE"""),"AUX DAP D-AU08")</f>
        <v>AUX DAP D-AU08</v>
      </c>
      <c r="H28" s="235" t="s">
        <v>2495</v>
      </c>
    </row>
    <row r="29">
      <c r="A29" s="233" t="str">
        <f>IFERROR(__xludf.DUMMYFUNCTION("""COMPUTED_VALUE"""),"AUX DAP D-AU09")</f>
        <v>AUX DAP D-AU09</v>
      </c>
      <c r="D29" s="233" t="str">
        <f>IFERROR(__xludf.DUMMYFUNCTION("""COMPUTED_VALUE"""),"KABEL")</f>
        <v>KABEL</v>
      </c>
      <c r="F29" s="233" t="str">
        <f>IFERROR(__xludf.DUMMYFUNCTION("""COMPUTED_VALUE"""),"AUX DAP D-AU09")</f>
        <v>AUX DAP D-AU09</v>
      </c>
      <c r="H29" s="235" t="s">
        <v>363</v>
      </c>
    </row>
    <row r="30">
      <c r="A30" s="233" t="str">
        <f>IFERROR(__xludf.DUMMYFUNCTION("""COMPUTED_VALUE"""),"AUX DAP D-AU12")</f>
        <v>AUX DAP D-AU12</v>
      </c>
      <c r="D30" s="233" t="str">
        <f>IFERROR(__xludf.DUMMYFUNCTION("""COMPUTED_VALUE"""),"KABEL DATA")</f>
        <v>KABEL DATA</v>
      </c>
      <c r="F30" s="233" t="str">
        <f>IFERROR(__xludf.DUMMYFUNCTION("""COMPUTED_VALUE"""),"AUX DAP D-AU13")</f>
        <v>AUX DAP D-AU13</v>
      </c>
      <c r="H30" s="235" t="s">
        <v>1248</v>
      </c>
    </row>
    <row r="31">
      <c r="A31" s="233" t="str">
        <f>IFERROR(__xludf.DUMMYFUNCTION("""COMPUTED_VALUE"""),"AUX DAP D-AU13")</f>
        <v>AUX DAP D-AU13</v>
      </c>
      <c r="D31" s="233" t="str">
        <f>IFERROR(__xludf.DUMMYFUNCTION("""COMPUTED_VALUE"""),"Kabel data")</f>
        <v>Kabel data</v>
      </c>
      <c r="F31" s="233" t="str">
        <f>IFERROR(__xludf.DUMMYFUNCTION("""COMPUTED_VALUE"""),"AUX DAP D-AU12")</f>
        <v>AUX DAP D-AU12</v>
      </c>
      <c r="H31" s="235" t="s">
        <v>1485</v>
      </c>
    </row>
    <row r="32">
      <c r="A32" s="233" t="str">
        <f>IFERROR(__xludf.DUMMYFUNCTION("""COMPUTED_VALUE"""),"AUX DAP D-AU19")</f>
        <v>AUX DAP D-AU19</v>
      </c>
      <c r="D32" s="233" t="str">
        <f>IFERROR(__xludf.DUMMYFUNCTION("""COMPUTED_VALUE"""),"KEYBOARD")</f>
        <v>KEYBOARD</v>
      </c>
      <c r="F32" s="233" t="str">
        <f>IFERROR(__xludf.DUMMYFUNCTION("""COMPUTED_VALUE"""),"AUX DAP D-AU19")</f>
        <v>AUX DAP D-AU19</v>
      </c>
      <c r="H32" s="235" t="s">
        <v>2840</v>
      </c>
    </row>
    <row r="33">
      <c r="A33" s="233" t="str">
        <f>IFERROR(__xludf.DUMMYFUNCTION("""COMPUTED_VALUE"""),"AUX GOLD SIKU")</f>
        <v>AUX GOLD SIKU</v>
      </c>
      <c r="D33" s="233" t="str">
        <f>IFERROR(__xludf.DUMMYFUNCTION("""COMPUTED_VALUE"""),"KIPAS")</f>
        <v>KIPAS</v>
      </c>
      <c r="F33" s="233" t="str">
        <f>IFERROR(__xludf.DUMMYFUNCTION("""COMPUTED_VALUE"""),"AUX DAP 3 CABANG D-AU06")</f>
        <v>AUX DAP 3 CABANG D-AU06</v>
      </c>
      <c r="H33" s="235" t="s">
        <v>2513</v>
      </c>
    </row>
    <row r="34">
      <c r="A34" s="233" t="str">
        <f>IFERROR(__xludf.DUMMYFUNCTION("""COMPUTED_VALUE"""),"AUX TO FEMALE DAN MALE")</f>
        <v>AUX TO FEMALE DAN MALE</v>
      </c>
      <c r="D34" s="233" t="str">
        <f>IFERROR(__xludf.DUMMYFUNCTION("""COMPUTED_VALUE"""),"LAIN LAIN")</f>
        <v>LAIN LAIN</v>
      </c>
      <c r="F34" s="233" t="str">
        <f>IFERROR(__xludf.DUMMYFUNCTION("""COMPUTED_VALUE"""),"AUX GOLD SIKU")</f>
        <v>AUX GOLD SIKU</v>
      </c>
      <c r="H34" s="235" t="s">
        <v>2841</v>
      </c>
    </row>
    <row r="35">
      <c r="A35" s="233" t="str">
        <f>IFERROR(__xludf.DUMMYFUNCTION("""COMPUTED_VALUE"""),"AUX TO USB")</f>
        <v>AUX TO USB</v>
      </c>
      <c r="D35" s="233" t="str">
        <f>IFERROR(__xludf.DUMMYFUNCTION("""COMPUTED_VALUE"""),"LAMPU")</f>
        <v>LAMPU</v>
      </c>
      <c r="F35" s="233" t="str">
        <f>IFERROR(__xludf.DUMMYFUNCTION("""COMPUTED_VALUE"""),"AUX TO FEMALE DAN MALE")</f>
        <v>AUX TO FEMALE DAN MALE</v>
      </c>
      <c r="H35" s="235" t="s">
        <v>2842</v>
      </c>
    </row>
    <row r="36">
      <c r="A36" s="233" t="str">
        <f>IFERROR(__xludf.DUMMYFUNCTION("""COMPUTED_VALUE"""),"BACK COVER ANTIGORES")</f>
        <v>BACK COVER ANTIGORES</v>
      </c>
      <c r="D36" s="233" t="str">
        <f>IFERROR(__xludf.DUMMYFUNCTION("""COMPUTED_VALUE"""),"MIX")</f>
        <v>MIX</v>
      </c>
      <c r="F36" s="233" t="str">
        <f>IFERROR(__xludf.DUMMYFUNCTION("""COMPUTED_VALUE"""),"AUX TO USB")</f>
        <v>AUX TO USB</v>
      </c>
      <c r="H36" s="235" t="s">
        <v>2843</v>
      </c>
    </row>
    <row r="37">
      <c r="A37" s="233" t="str">
        <f>IFERROR(__xludf.DUMMYFUNCTION("""COMPUTED_VALUE"""),"BATERAI ADVAN")</f>
        <v>BATERAI ADVAN</v>
      </c>
      <c r="D37" s="233" t="str">
        <f>IFERROR(__xludf.DUMMYFUNCTION("""COMPUTED_VALUE"""),"MMC")</f>
        <v>MMC</v>
      </c>
      <c r="F37" s="233" t="str">
        <f>IFERROR(__xludf.DUMMYFUNCTION("""COMPUTED_VALUE"""),"BACK COVER ANTIGORES")</f>
        <v>BACK COVER ANTIGORES</v>
      </c>
      <c r="H37" s="235" t="s">
        <v>2844</v>
      </c>
    </row>
    <row r="38">
      <c r="A38" s="233" t="str">
        <f>IFERROR(__xludf.DUMMYFUNCTION("""COMPUTED_VALUE"""),"BATERAI SAMSUNG")</f>
        <v>BATERAI SAMSUNG</v>
      </c>
      <c r="D38" s="233" t="str">
        <f>IFERROR(__xludf.DUMMYFUNCTION("""COMPUTED_VALUE"""),"MOUSE")</f>
        <v>MOUSE</v>
      </c>
      <c r="F38" s="233" t="str">
        <f>IFERROR(__xludf.DUMMYFUNCTION("""COMPUTED_VALUE"""),"BATERAI SAMSUNG")</f>
        <v>BATERAI SAMSUNG</v>
      </c>
      <c r="H38" s="235" t="s">
        <v>2845</v>
      </c>
    </row>
    <row r="39">
      <c r="A39" s="233" t="str">
        <f>IFERROR(__xludf.DUMMYFUNCTION("""COMPUTED_VALUE"""),"BATEREAI ANDROMAX")</f>
        <v>BATEREAI ANDROMAX</v>
      </c>
      <c r="D39" s="233" t="str">
        <f>IFERROR(__xludf.DUMMYFUNCTION("""COMPUTED_VALUE"""),"MOUSEPAD")</f>
        <v>MOUSEPAD</v>
      </c>
      <c r="F39" s="233" t="str">
        <f>IFERROR(__xludf.DUMMYFUNCTION("""COMPUTED_VALUE"""),"BATERAI ADVAN")</f>
        <v>BATERAI ADVAN</v>
      </c>
      <c r="H39" s="235" t="s">
        <v>2846</v>
      </c>
    </row>
    <row r="40">
      <c r="A40" s="233" t="str">
        <f>IFERROR(__xludf.DUMMYFUNCTION("""COMPUTED_VALUE"""),"BATOK CHARGER RT-K10S")</f>
        <v>BATOK CHARGER RT-K10S</v>
      </c>
      <c r="D40" s="233" t="str">
        <f>IFERROR(__xludf.DUMMYFUNCTION("""COMPUTED_VALUE"""),"OTG")</f>
        <v>OTG</v>
      </c>
      <c r="F40" s="233" t="str">
        <f>IFERROR(__xludf.DUMMYFUNCTION("""COMPUTED_VALUE"""),"BATEREAI ANDROMAX")</f>
        <v>BATEREAI ANDROMAX</v>
      </c>
      <c r="H40" s="235" t="s">
        <v>2516</v>
      </c>
    </row>
    <row r="41">
      <c r="A41" s="233" t="str">
        <f>IFERROR(__xludf.DUMMYFUNCTION("""COMPUTED_VALUE"""),"Batok Ori 100% GAN , P-70 200watt ( 3usb + 3PD )")</f>
        <v>Batok Ori 100% GAN , P-70 200watt ( 3usb + 3PD )</v>
      </c>
      <c r="D41" s="233" t="str">
        <f>IFERROR(__xludf.DUMMYFUNCTION("""COMPUTED_VALUE"""),"POINTER")</f>
        <v>POINTER</v>
      </c>
      <c r="F41" s="233" t="str">
        <f>IFERROR(__xludf.DUMMYFUNCTION("""COMPUTED_VALUE"""),"Batok Ori 100% Iphone USB-C 25W Power Adapter")</f>
        <v>Batok Ori 100% Iphone USB-C 25W Power Adapter</v>
      </c>
      <c r="H41" s="236" t="s">
        <v>2847</v>
      </c>
    </row>
    <row r="42">
      <c r="A42" s="233" t="str">
        <f>IFERROR(__xludf.DUMMYFUNCTION("""COMPUTED_VALUE"""),"Batok Ori 100% Iphone 14 Pro Max 50W")</f>
        <v>Batok Ori 100% Iphone 14 Pro Max 50W</v>
      </c>
      <c r="D42" s="233" t="str">
        <f>IFERROR(__xludf.DUMMYFUNCTION("""COMPUTED_VALUE"""),"POWERBANK")</f>
        <v>POWERBANK</v>
      </c>
      <c r="F42" s="233" t="str">
        <f>IFERROR(__xludf.DUMMYFUNCTION("""COMPUTED_VALUE"""),"Batok Ori 99% Iphone14 , 35W")</f>
        <v>Batok Ori 99% Iphone14 , 35W</v>
      </c>
      <c r="H42" s="236" t="s">
        <v>2848</v>
      </c>
    </row>
    <row r="43">
      <c r="A43" s="233" t="str">
        <f>IFERROR(__xludf.DUMMYFUNCTION("""COMPUTED_VALUE"""),"Batok Ori 100% Iphone USB-C 25W Power Adapter")</f>
        <v>Batok Ori 100% Iphone USB-C 25W Power Adapter</v>
      </c>
      <c r="D43" s="233" t="str">
        <f>IFERROR(__xludf.DUMMYFUNCTION("""COMPUTED_VALUE"""),"REECIEVER")</f>
        <v>REECIEVER</v>
      </c>
      <c r="F43" s="233" t="str">
        <f>IFERROR(__xludf.DUMMYFUNCTION("""COMPUTED_VALUE"""),"Batok Ori 100% Iphone 14 Pro Max 50W")</f>
        <v>Batok Ori 100% Iphone 14 Pro Max 50W</v>
      </c>
      <c r="H43" s="236" t="s">
        <v>2574</v>
      </c>
    </row>
    <row r="44">
      <c r="A44" s="233" t="str">
        <f>IFERROR(__xludf.DUMMYFUNCTION("""COMPUTED_VALUE"""),"Batok Ori 100% Samsung Murni 45W PD Port-C (warna hitam (SKU RJA-BATO-0079)")</f>
        <v>Batok Ori 100% Samsung Murni 45W PD Port-C (warna hitam (SKU RJA-BATO-0079)</v>
      </c>
      <c r="D44" s="233" t="str">
        <f>IFERROR(__xludf.DUMMYFUNCTION("""COMPUTED_VALUE"""),"RING LIGHT")</f>
        <v>RING LIGHT</v>
      </c>
      <c r="F44" s="233" t="str">
        <f>IFERROR(__xludf.DUMMYFUNCTION("""COMPUTED_VALUE"""),"Batok Ori 99% Samsung 65watt PD Port-C")</f>
        <v>Batok Ori 99% Samsung 65watt PD Port-C</v>
      </c>
      <c r="H44" s="236" t="s">
        <v>2849</v>
      </c>
    </row>
    <row r="45">
      <c r="A45" s="233" t="str">
        <f>IFERROR(__xludf.DUMMYFUNCTION("""COMPUTED_VALUE"""),"Batok Ori 100% Samsung Murni 45W PD Port-C (warna hitam (SKU RJA-BATO-0081)")</f>
        <v>Batok Ori 100% Samsung Murni 45W PD Port-C (warna hitam (SKU RJA-BATO-0081)</v>
      </c>
      <c r="D45" s="233" t="str">
        <f>IFERROR(__xludf.DUMMYFUNCTION("""COMPUTED_VALUE"""),"SPEAKER")</f>
        <v>SPEAKER</v>
      </c>
      <c r="F45" s="233" t="str">
        <f>IFERROR(__xludf.DUMMYFUNCTION("""COMPUTED_VALUE"""),"Batok Ori 99% iphone15 pro max , 35W")</f>
        <v>Batok Ori 99% iphone15 pro max , 35W</v>
      </c>
      <c r="H45" s="236" t="s">
        <v>2850</v>
      </c>
    </row>
    <row r="46">
      <c r="A46" s="233" t="str">
        <f>IFERROR(__xludf.DUMMYFUNCTION("""COMPUTED_VALUE"""),"Batok Ori 100% Samsung PD 25W SA-100")</f>
        <v>Batok Ori 100% Samsung PD 25W SA-100</v>
      </c>
      <c r="D46" s="233" t="str">
        <f>IFERROR(__xludf.DUMMYFUNCTION("""COMPUTED_VALUE"""),"SPLINTER")</f>
        <v>SPLINTER</v>
      </c>
      <c r="F46" s="233" t="str">
        <f>IFERROR(__xludf.DUMMYFUNCTION("""COMPUTED_VALUE"""),"Batok Ori 100% Samsung Murni 45W PD Port-C (warna hitam (SKU RJA-BATO-0079)")</f>
        <v>Batok Ori 100% Samsung Murni 45W PD Port-C (warna hitam (SKU RJA-BATO-0079)</v>
      </c>
      <c r="H46" s="236" t="s">
        <v>2851</v>
      </c>
    </row>
    <row r="47">
      <c r="A47" s="233" t="str">
        <f>IFERROR(__xludf.DUMMYFUNCTION("""COMPUTED_VALUE"""),"Batok Ori 99% Iphone14 , 35W")</f>
        <v>Batok Ori 99% Iphone14 , 35W</v>
      </c>
      <c r="D47" s="233" t="str">
        <f>IFERROR(__xludf.DUMMYFUNCTION("""COMPUTED_VALUE"""),"STYLUS")</f>
        <v>STYLUS</v>
      </c>
      <c r="F47" s="233" t="str">
        <f>IFERROR(__xludf.DUMMYFUNCTION("""COMPUTED_VALUE"""),"Batok Ori 100% Samsung PD 25W SA-100")</f>
        <v>Batok Ori 100% Samsung PD 25W SA-100</v>
      </c>
      <c r="H47" s="236" t="s">
        <v>1112</v>
      </c>
    </row>
    <row r="48">
      <c r="A48" s="233" t="str">
        <f>IFERROR(__xludf.DUMMYFUNCTION("""COMPUTED_VALUE"""),"Batok Ori 99% iphone15 pro max , 35W")</f>
        <v>Batok Ori 99% iphone15 pro max , 35W</v>
      </c>
      <c r="D48" s="233" t="str">
        <f>IFERROR(__xludf.DUMMYFUNCTION("""COMPUTED_VALUE"""),"TEMPERED GLASS")</f>
        <v>TEMPERED GLASS</v>
      </c>
      <c r="F48" s="233" t="str">
        <f>IFERROR(__xludf.DUMMYFUNCTION("""COMPUTED_VALUE"""),"Batok Ori 100% Samsung Murni 45W PD Port-C (warna hitam (SKU RJA-BATO-0081)")</f>
        <v>Batok Ori 100% Samsung Murni 45W PD Port-C (warna hitam (SKU RJA-BATO-0081)</v>
      </c>
      <c r="H48" s="236" t="s">
        <v>2852</v>
      </c>
    </row>
    <row r="49">
      <c r="A49" s="233" t="str">
        <f>IFERROR(__xludf.DUMMYFUNCTION("""COMPUTED_VALUE"""),"Batok Ori 99% Samsung 65watt PD Port-C")</f>
        <v>Batok Ori 99% Samsung 65watt PD Port-C</v>
      </c>
      <c r="C49" s="230" t="s">
        <v>881</v>
      </c>
      <c r="D49" s="233" t="str">
        <f>IFERROR(__xludf.DUMMYFUNCTION("""COMPUTED_VALUE"""),"TRAVEL CHAGER")</f>
        <v>TRAVEL CHAGER</v>
      </c>
      <c r="F49" s="233" t="str">
        <f>IFERROR(__xludf.DUMMYFUNCTION("""COMPUTED_VALUE"""),"Batok Ori 100% GAN , P-70 200watt ( 3usb + 3PD )")</f>
        <v>Batok Ori 100% GAN , P-70 200watt ( 3usb + 3PD )</v>
      </c>
      <c r="H49" s="236" t="s">
        <v>945</v>
      </c>
    </row>
    <row r="50">
      <c r="A50" s="233" t="str">
        <f>IFERROR(__xludf.DUMMYFUNCTION("""COMPUTED_VALUE"""),"BLUETOOTH BANDO MAX PRO2")</f>
        <v>BLUETOOTH BANDO MAX PRO2</v>
      </c>
      <c r="C50" s="230" t="s">
        <v>918</v>
      </c>
      <c r="D50" s="233" t="str">
        <f>IFERROR(__xludf.DUMMYFUNCTION("""COMPUTED_VALUE"""),"TRAVEL CHARGER")</f>
        <v>TRAVEL CHARGER</v>
      </c>
      <c r="F50" s="233" t="str">
        <f>IFERROR(__xludf.DUMMYFUNCTION("""COMPUTED_VALUE"""),"BATOK CHARGER RT-K10S")</f>
        <v>BATOK CHARGER RT-K10S</v>
      </c>
      <c r="H50" s="236" t="s">
        <v>2853</v>
      </c>
    </row>
    <row r="51">
      <c r="A51" s="233" t="str">
        <f>IFERROR(__xludf.DUMMYFUNCTION("""COMPUTED_VALUE"""),"BLUETOOTH RECEIVER LENYES LR- 208 ( ADA MIC )")</f>
        <v>BLUETOOTH RECEIVER LENYES LR- 208 ( ADA MIC )</v>
      </c>
      <c r="C51" s="230" t="s">
        <v>927</v>
      </c>
      <c r="D51" s="233" t="str">
        <f>IFERROR(__xludf.DUMMYFUNCTION("""COMPUTED_VALUE"""),"TRIPOD")</f>
        <v>TRIPOD</v>
      </c>
      <c r="F51" s="233" t="str">
        <f>IFERROR(__xludf.DUMMYFUNCTION("""COMPUTED_VALUE"""),"BLUETOOTH BANDO MAX PRO2")</f>
        <v>BLUETOOTH BANDO MAX PRO2</v>
      </c>
      <c r="H51" s="236" t="s">
        <v>2854</v>
      </c>
    </row>
    <row r="52">
      <c r="A52" s="233" t="str">
        <f>IFERROR(__xludf.DUMMYFUNCTION("""COMPUTED_VALUE"""),"BREKET MOTOR STANG")</f>
        <v>BREKET MOTOR STANG</v>
      </c>
      <c r="C52" s="230" t="s">
        <v>934</v>
      </c>
      <c r="D52" s="233" t="str">
        <f>IFERROR(__xludf.DUMMYFUNCTION("""COMPUTED_VALUE"""),"TWS")</f>
        <v>TWS</v>
      </c>
      <c r="F52" s="233" t="str">
        <f>IFERROR(__xludf.DUMMYFUNCTION("""COMPUTED_VALUE"""),"BLUETOOTH RECEIVER LENYES LR- 208 ( ADA MIC )")</f>
        <v>BLUETOOTH RECEIVER LENYES LR- 208 ( ADA MIC )</v>
      </c>
      <c r="H52" s="236" t="s">
        <v>2855</v>
      </c>
    </row>
    <row r="53">
      <c r="A53" s="233" t="str">
        <f>IFERROR(__xludf.DUMMYFUNCTION("""COMPUTED_VALUE"""),"CA S AKI 6 IN 1 DC CHARGER")</f>
        <v>CA S AKI 6 IN 1 DC CHARGER</v>
      </c>
      <c r="C53" s="230" t="s">
        <v>1217</v>
      </c>
      <c r="D53" s="233" t="str">
        <f>IFERROR(__xludf.DUMMYFUNCTION("""COMPUTED_VALUE"""),"Voucher")</f>
        <v>Voucher</v>
      </c>
      <c r="F53" s="233" t="str">
        <f>IFERROR(__xludf.DUMMYFUNCTION("""COMPUTED_VALUE"""),"BREKET MOTOR STANG")</f>
        <v>BREKET MOTOR STANG</v>
      </c>
      <c r="H53" s="236" t="s">
        <v>2510</v>
      </c>
    </row>
    <row r="54">
      <c r="A54" s="233" t="str">
        <f>IFERROR(__xludf.DUMMYFUNCTION("""COMPUTED_VALUE"""),"CALCULATOR AIMILO")</f>
        <v>CALCULATOR AIMILO</v>
      </c>
      <c r="C54" s="230" t="s">
        <v>1323</v>
      </c>
      <c r="D54" s="233" t="str">
        <f>IFERROR(__xludf.DUMMYFUNCTION("""COMPUTED_VALUE"""),"WIRELES MIX")</f>
        <v>WIRELES MIX</v>
      </c>
      <c r="F54" s="233" t="str">
        <f>IFERROR(__xludf.DUMMYFUNCTION("""COMPUTED_VALUE"""),"CALCULATOR AIMILO")</f>
        <v>CALCULATOR AIMILO</v>
      </c>
      <c r="H54" s="236" t="s">
        <v>2856</v>
      </c>
    </row>
    <row r="55">
      <c r="A55" s="233" t="str">
        <f>IFERROR(__xludf.DUMMYFUNCTION("""COMPUTED_VALUE"""),"CAN OPENER")</f>
        <v>CAN OPENER</v>
      </c>
      <c r="F55" s="233" t="str">
        <f>IFERROR(__xludf.DUMMYFUNCTION("""COMPUTED_VALUE"""),"CAN OPENER")</f>
        <v>CAN OPENER</v>
      </c>
      <c r="H55" s="236" t="s">
        <v>2857</v>
      </c>
    </row>
    <row r="56">
      <c r="A56" s="233" t="str">
        <f>IFERROR(__xludf.DUMMYFUNCTION("""COMPUTED_VALUE"""),"CAR CHARGER 100W USB OUTPUT 22W TYPE C")</f>
        <v>CAR CHARGER 100W USB OUTPUT 22W TYPE C</v>
      </c>
      <c r="F56" s="233" t="str">
        <f>IFERROR(__xludf.DUMMYFUNCTION("""COMPUTED_VALUE"""),"Car Charger Iphone USB-C 20W")</f>
        <v>Car Charger Iphone USB-C 20W</v>
      </c>
      <c r="H56" s="236" t="s">
        <v>2858</v>
      </c>
    </row>
    <row r="57">
      <c r="A57" s="233" t="str">
        <f>IFERROR(__xludf.DUMMYFUNCTION("""COMPUTED_VALUE"""),"CAR CHARGER 6A QUALCOMM 3.0")</f>
        <v>CAR CHARGER 6A QUALCOMM 3.0</v>
      </c>
      <c r="D57" s="230" t="s">
        <v>22</v>
      </c>
      <c r="F57" s="233" t="str">
        <f>IFERROR(__xludf.DUMMYFUNCTION("""COMPUTED_VALUE"""),"CAR CHARGER DAP D-CCP2")</f>
        <v>CAR CHARGER DAP D-CCP2</v>
      </c>
      <c r="H57" s="236" t="s">
        <v>2859</v>
      </c>
    </row>
    <row r="58">
      <c r="A58" s="233" t="str">
        <f>IFERROR(__xludf.DUMMYFUNCTION("""COMPUTED_VALUE"""),"CAR CHARGER COLOKAN CHARGER MOBIL PORT 3.1A AH044")</f>
        <v>CAR CHARGER COLOKAN CHARGER MOBIL PORT 3.1A AH044</v>
      </c>
      <c r="F58" s="233" t="str">
        <f>IFERROR(__xludf.DUMMYFUNCTION("""COMPUTED_VALUE"""),"CAR CHARGER DAP D-CC10M")</f>
        <v>CAR CHARGER DAP D-CC10M</v>
      </c>
      <c r="H58" s="236" t="s">
        <v>2861</v>
      </c>
    </row>
    <row r="59">
      <c r="A59" s="233" t="str">
        <f>IFERROR(__xludf.DUMMYFUNCTION("""COMPUTED_VALUE"""),"CAR CHARGER DAP 2 USB D-CC1")</f>
        <v>CAR CHARGER DAP 2 USB D-CC1</v>
      </c>
      <c r="F59" s="233" t="str">
        <f>IFERROR(__xludf.DUMMYFUNCTION("""COMPUTED_VALUE"""),"CAR CHARGER DAP D-CC45")</f>
        <v>CAR CHARGER DAP D-CC45</v>
      </c>
      <c r="H59" s="236" t="s">
        <v>2643</v>
      </c>
    </row>
    <row r="60">
      <c r="A60" s="233" t="str">
        <f>IFERROR(__xludf.DUMMYFUNCTION("""COMPUTED_VALUE"""),"CAR CHARGER DAP D-CC10M")</f>
        <v>CAR CHARGER DAP D-CC10M</v>
      </c>
      <c r="F60" s="233" t="str">
        <f>IFERROR(__xludf.DUMMYFUNCTION("""COMPUTED_VALUE"""),"CAR CHARGER R20 BLACK")</f>
        <v>CAR CHARGER R20 BLACK</v>
      </c>
      <c r="H60" s="236" t="s">
        <v>2862</v>
      </c>
    </row>
    <row r="61">
      <c r="A61" s="233" t="str">
        <f>IFERROR(__xludf.DUMMYFUNCTION("""COMPUTED_VALUE"""),"CAR CHARGER DAP D-CC45")</f>
        <v>CAR CHARGER DAP D-CC45</v>
      </c>
      <c r="F61" s="233" t="str">
        <f>IFERROR(__xludf.DUMMYFUNCTION("""COMPUTED_VALUE"""),"CAR CHARGER SM-03")</f>
        <v>CAR CHARGER SM-03</v>
      </c>
      <c r="H61" s="237" t="s">
        <v>1675</v>
      </c>
    </row>
    <row r="62">
      <c r="A62" s="233" t="str">
        <f>IFERROR(__xludf.DUMMYFUNCTION("""COMPUTED_VALUE"""),"CAR CHARGER DAP D-CCIN")</f>
        <v>CAR CHARGER DAP D-CCIN</v>
      </c>
      <c r="F62" s="233" t="str">
        <f>IFERROR(__xludf.DUMMYFUNCTION("""COMPUTED_VALUE"""),"CAR CHARGER 6A QUALCOMM 3.0")</f>
        <v>CAR CHARGER 6A QUALCOMM 3.0</v>
      </c>
      <c r="H62" s="237" t="s">
        <v>2863</v>
      </c>
    </row>
    <row r="63">
      <c r="A63" s="233" t="str">
        <f>IFERROR(__xludf.DUMMYFUNCTION("""COMPUTED_VALUE"""),"CAR CHARGER DAP D-CCP2")</f>
        <v>CAR CHARGER DAP D-CCP2</v>
      </c>
      <c r="F63" s="233" t="str">
        <f>IFERROR(__xludf.DUMMYFUNCTION("""COMPUTED_VALUE"""),"CAR CHARGER DAP 2 USB D-CC1")</f>
        <v>CAR CHARGER DAP 2 USB D-CC1</v>
      </c>
      <c r="H63" s="237" t="s">
        <v>33</v>
      </c>
    </row>
    <row r="64">
      <c r="A64" s="233" t="str">
        <f>IFERROR(__xludf.DUMMYFUNCTION("""COMPUTED_VALUE"""),"CAR CHARGER DAP D-CCP5")</f>
        <v>CAR CHARGER DAP D-CCP5</v>
      </c>
      <c r="F64" s="233" t="str">
        <f>IFERROR(__xludf.DUMMYFUNCTION("""COMPUTED_VALUE"""),"CAR CHARGER OLIKE R13 BLACK")</f>
        <v>CAR CHARGER OLIKE R13 BLACK</v>
      </c>
      <c r="H64" s="237" t="s">
        <v>2559</v>
      </c>
    </row>
    <row r="65">
      <c r="A65" s="233" t="str">
        <f>IFERROR(__xludf.DUMMYFUNCTION("""COMPUTED_VALUE"""),"Car Charger Iphone USB-C 20W")</f>
        <v>Car Charger Iphone USB-C 20W</v>
      </c>
      <c r="F65" s="233" t="str">
        <f>IFERROR(__xludf.DUMMYFUNCTION("""COMPUTED_VALUE"""),"CAR CHARGER DAP D-CCP5")</f>
        <v>CAR CHARGER DAP D-CCP5</v>
      </c>
      <c r="H65" s="237" t="s">
        <v>341</v>
      </c>
    </row>
    <row r="66">
      <c r="A66" s="233" t="str">
        <f>IFERROR(__xludf.DUMMYFUNCTION("""COMPUTED_VALUE"""),"CAR CHARGER JOYSEUS Q4 8A")</f>
        <v>CAR CHARGER JOYSEUS Q4 8A</v>
      </c>
      <c r="F66" s="233" t="str">
        <f>IFERROR(__xludf.DUMMYFUNCTION("""COMPUTED_VALUE"""),"CAR CHARGER COLOKAN CHARGER MOBIL PORT 3.1A AH044")</f>
        <v>CAR CHARGER COLOKAN CHARGER MOBIL PORT 3.1A AH044</v>
      </c>
      <c r="H66" s="237" t="s">
        <v>2865</v>
      </c>
    </row>
    <row r="67">
      <c r="A67" s="233" t="str">
        <f>IFERROR(__xludf.DUMMYFUNCTION("""COMPUTED_VALUE"""),"CAR CHARGER OLIKE R13 BLACK")</f>
        <v>CAR CHARGER OLIKE R13 BLACK</v>
      </c>
      <c r="F67" s="233" t="str">
        <f>IFERROR(__xludf.DUMMYFUNCTION("""COMPUTED_VALUE"""),"CAR CHARGER 100W USB OUTPUT 22W TYPE C")</f>
        <v>CAR CHARGER 100W USB OUTPUT 22W TYPE C</v>
      </c>
      <c r="H67" s="237" t="s">
        <v>2866</v>
      </c>
    </row>
    <row r="68">
      <c r="A68" s="233" t="str">
        <f>IFERROR(__xludf.DUMMYFUNCTION("""COMPUTED_VALUE"""),"CAR CHARGER R20 BLACK")</f>
        <v>CAR CHARGER R20 BLACK</v>
      </c>
      <c r="F68" s="233" t="str">
        <f>IFERROR(__xludf.DUMMYFUNCTION("""COMPUTED_VALUE"""),"CAR CHARGER DAP D-CCIN")</f>
        <v>CAR CHARGER DAP D-CCIN</v>
      </c>
      <c r="H68" s="237" t="s">
        <v>2867</v>
      </c>
    </row>
    <row r="69">
      <c r="A69" s="233" t="str">
        <f>IFERROR(__xludf.DUMMYFUNCTION("""COMPUTED_VALUE"""),"CAR CHARGER SM-03")</f>
        <v>CAR CHARGER SM-03</v>
      </c>
      <c r="F69" s="233" t="str">
        <f>IFERROR(__xludf.DUMMYFUNCTION("""COMPUTED_VALUE"""),"CAR CHARGER JOYSEUS Q4 8A")</f>
        <v>CAR CHARGER JOYSEUS Q4 8A</v>
      </c>
      <c r="H69" s="237" t="s">
        <v>2868</v>
      </c>
    </row>
    <row r="70">
      <c r="A70" s="233" t="str">
        <f>IFERROR(__xludf.DUMMYFUNCTION("""COMPUTED_VALUE"""),"CARD RADER LO-CR06 4IN1")</f>
        <v>CARD RADER LO-CR06 4IN1</v>
      </c>
      <c r="F70" s="233" t="str">
        <f>IFERROR(__xludf.DUMMYFUNCTION("""COMPUTED_VALUE"""),"CARD READER FLECO CR22")</f>
        <v>CARD READER FLECO CR22</v>
      </c>
      <c r="H70" s="237" t="e">
        <v>#REF!</v>
      </c>
    </row>
    <row r="71">
      <c r="A71" s="233" t="str">
        <f>IFERROR(__xludf.DUMMYFUNCTION("""COMPUTED_VALUE"""),"CARD READER FLECO CR22")</f>
        <v>CARD READER FLECO CR22</v>
      </c>
      <c r="F71" s="233" t="str">
        <f>IFERROR(__xludf.DUMMYFUNCTION("""COMPUTED_VALUE"""),"CARD READER VIBOX")</f>
        <v>CARD READER VIBOX</v>
      </c>
      <c r="H71" s="237"/>
    </row>
    <row r="72">
      <c r="A72" s="233" t="str">
        <f>IFERROR(__xludf.DUMMYFUNCTION("""COMPUTED_VALUE"""),"CARD READER VIBOX")</f>
        <v>CARD READER VIBOX</v>
      </c>
      <c r="F72" s="233" t="str">
        <f>IFERROR(__xludf.DUMMYFUNCTION("""COMPUTED_VALUE"""),"CARD RADER LO-CR06 4IN1")</f>
        <v>CARD RADER LO-CR06 4IN1</v>
      </c>
      <c r="H72" s="237"/>
    </row>
    <row r="73">
      <c r="A73" s="233" t="str">
        <f>IFERROR(__xludf.DUMMYFUNCTION("""COMPUTED_VALUE"""),"CAS AKI 2 IN 1 DC POWER 3 PORT USB")</f>
        <v>CAS AKI 2 IN 1 DC POWER 3 PORT USB</v>
      </c>
      <c r="F73" s="233" t="str">
        <f>IFERROR(__xludf.DUMMYFUNCTION("""COMPUTED_VALUE"""),"CAS AKI 2 IN 1 DC POWER 3 PORT USB")</f>
        <v>CAS AKI 2 IN 1 DC POWER 3 PORT USB</v>
      </c>
      <c r="H73" s="237"/>
    </row>
    <row r="74">
      <c r="A74" s="233" t="str">
        <f>IFERROR(__xludf.DUMMYFUNCTION("""COMPUTED_VALUE"""),"CAS AKI MOTOR /CHARGER MOTOR AKI")</f>
        <v>CAS AKI MOTOR /CHARGER MOTOR AKI</v>
      </c>
      <c r="F74" s="233" t="str">
        <f>IFERROR(__xludf.DUMMYFUNCTION("""COMPUTED_VALUE"""),"CA S AKI 6 IN 1 DC CHARGER")</f>
        <v>CA S AKI 6 IN 1 DC CHARGER</v>
      </c>
      <c r="H74" s="237"/>
    </row>
    <row r="75">
      <c r="A75" s="233" t="str">
        <f>IFERROR(__xludf.DUMMYFUNCTION("""COMPUTED_VALUE"""),"COLOKAN LISTRIK ON/OFF")</f>
        <v>COLOKAN LISTRIK ON/OFF</v>
      </c>
      <c r="F75" s="233" t="str">
        <f>IFERROR(__xludf.DUMMYFUNCTION("""COMPUTED_VALUE"""),"CAS AKI MOTOR /CHARGER MOTOR AKI")</f>
        <v>CAS AKI MOTOR /CHARGER MOTOR AKI</v>
      </c>
      <c r="H75" s="237"/>
    </row>
    <row r="76">
      <c r="A76" s="233" t="str">
        <f>IFERROR(__xludf.DUMMYFUNCTION("""COMPUTED_VALUE"""),"CONVER TER AUDIO DUAL LIGHTING AUDIO DAN CHARGER ADAPTER J-008")</f>
        <v>CONVER TER AUDIO DUAL LIGHTING AUDIO DAN CHARGER ADAPTER J-008</v>
      </c>
      <c r="F76" s="233" t="str">
        <f>IFERROR(__xludf.DUMMYFUNCTION("""COMPUTED_VALUE"""),"COLOKAN LISTRIK ON/OFF")</f>
        <v>COLOKAN LISTRIK ON/OFF</v>
      </c>
      <c r="H76" s="237"/>
    </row>
    <row r="77">
      <c r="A77" s="233" t="str">
        <f>IFERROR(__xludf.DUMMYFUNCTION("""COMPUTED_VALUE"""),"CONVERTER IPHONE TO AUX JACK 3.5")</f>
        <v>CONVERTER IPHONE TO AUX JACK 3.5</v>
      </c>
      <c r="F77" s="233" t="str">
        <f>IFERROR(__xludf.DUMMYFUNCTION("""COMPUTED_VALUE"""),"CONVERTER IPHONE TO AUX JACK 3.5")</f>
        <v>CONVERTER IPHONE TO AUX JACK 3.5</v>
      </c>
      <c r="H77" s="237"/>
    </row>
    <row r="78">
      <c r="A78" s="233" t="str">
        <f>IFERROR(__xludf.DUMMYFUNCTION("""COMPUTED_VALUE"""),"COVER CHARGER KARAKTER")</f>
        <v>COVER CHARGER KARAKTER</v>
      </c>
      <c r="F78" s="233" t="str">
        <f>IFERROR(__xludf.DUMMYFUNCTION("""COMPUTED_VALUE"""),"CONVER TER AUDIO DUAL LIGHTING AUDIO DAN CHARGER ADAPTER J-008")</f>
        <v>CONVER TER AUDIO DUAL LIGHTING AUDIO DAN CHARGER ADAPTER J-008</v>
      </c>
      <c r="H78" s="237"/>
    </row>
    <row r="79">
      <c r="A79" s="233" t="str">
        <f>IFERROR(__xludf.DUMMYFUNCTION("""COMPUTED_VALUE"""),"DAP-M02 MICRO TO LIGHTNING")</f>
        <v>DAP-M02 MICRO TO LIGHTNING</v>
      </c>
      <c r="F79" s="233" t="str">
        <f>IFERROR(__xludf.DUMMYFUNCTION("""COMPUTED_VALUE"""),"COVER CHARGER KARAKTER")</f>
        <v>COVER CHARGER KARAKTER</v>
      </c>
      <c r="H79" s="237"/>
    </row>
    <row r="80">
      <c r="A80" s="233" t="str">
        <f>IFERROR(__xludf.DUMMYFUNCTION("""COMPUTED_VALUE"""),"DAP-OTG2N USB 2.0 TO MICRO")</f>
        <v>DAP-OTG2N USB 2.0 TO MICRO</v>
      </c>
      <c r="F80" s="233" t="str">
        <f>IFERROR(__xludf.DUMMYFUNCTION("""COMPUTED_VALUE"""),"DAP-M02 MICRO TO LIGHTNING")</f>
        <v>DAP-M02 MICRO TO LIGHTNING</v>
      </c>
      <c r="H80" s="237"/>
    </row>
    <row r="81">
      <c r="A81" s="233" t="str">
        <f>IFERROR(__xludf.DUMMYFUNCTION("""COMPUTED_VALUE"""),"Data Cable ROBOT RAC100S Type-C 2.4A Colorful 100CM")</f>
        <v>Data Cable ROBOT RAC100S Type-C 2.4A Colorful 100CM</v>
      </c>
      <c r="F81" s="233" t="str">
        <f>IFERROR(__xludf.DUMMYFUNCTION("""COMPUTED_VALUE"""),"DAP-OTG2N USB 2.0 TO MICRO")</f>
        <v>DAP-OTG2N USB 2.0 TO MICRO</v>
      </c>
      <c r="H81" s="238"/>
    </row>
    <row r="82">
      <c r="A82" s="233" t="str">
        <f>IFERROR(__xludf.DUMMYFUNCTION("""COMPUTED_VALUE"""),"Data Cable ROBOT RAM100S Micro 2.4A Colorful 100CM")</f>
        <v>Data Cable ROBOT RAM100S Micro 2.4A Colorful 100CM</v>
      </c>
      <c r="F82" s="233" t="str">
        <f>IFERROR(__xludf.DUMMYFUNCTION("""COMPUTED_VALUE"""),"Data Cable VIVAN VW01 2 IN 1 Type-C TO Type-C+Apple Watch 60W White 120CM (SKU RJA-DATA-0298)")</f>
        <v>Data Cable VIVAN VW01 2 IN 1 Type-C TO Type-C+Apple Watch 60W White 120CM (SKU RJA-DATA-0298)</v>
      </c>
      <c r="H82" s="238"/>
    </row>
    <row r="83">
      <c r="A83" s="233" t="str">
        <f>IFERROR(__xludf.DUMMYFUNCTION("""COMPUTED_VALUE"""),"Data Cable ROBOT RBM100 II Micro 2.1A Mini Black&amp;White 100CM (SKU RJA-DATA-0346)")</f>
        <v>Data Cable ROBOT RBM100 II Micro 2.1A Mini Black&amp;White 100CM (SKU RJA-DATA-0346)</v>
      </c>
      <c r="F83" s="233" t="str">
        <f>IFERROR(__xludf.DUMMYFUNCTION("""COMPUTED_VALUE"""),"Data Cable VIVAN VW01 2 IN 1 Type-C TO Type-C+Apple Watch 60W White 120CM (SKU RJA-DATA-0299)")</f>
        <v>Data Cable VIVAN VW01 2 IN 1 Type-C TO Type-C+Apple Watch 60W White 120CM (SKU RJA-DATA-0299)</v>
      </c>
      <c r="H83" s="238"/>
    </row>
    <row r="84">
      <c r="A84" s="233" t="str">
        <f>IFERROR(__xludf.DUMMYFUNCTION("""COMPUTED_VALUE"""),"Data Cable ROBOT RBM100 II Micro 2.1A Mini Black&amp;White 100CM (SKU RJA-DATA-0507)")</f>
        <v>Data Cable ROBOT RBM100 II Micro 2.1A Mini Black&amp;White 100CM (SKU RJA-DATA-0507)</v>
      </c>
      <c r="F84" s="233" t="str">
        <f>IFERROR(__xludf.DUMMYFUNCTION("""COMPUTED_VALUE"""),"Data Cable ROBOT RCOCC100 Coffee Cup Type-C To Type-C 60W Colorful (SKU RJA-DATA-0319)")</f>
        <v>Data Cable ROBOT RCOCC100 Coffee Cup Type-C To Type-C 60W Colorful (SKU RJA-DATA-0319)</v>
      </c>
      <c r="H84" s="238"/>
    </row>
    <row r="85">
      <c r="A85" s="233" t="str">
        <f>IFERROR(__xludf.DUMMYFUNCTION("""COMPUTED_VALUE"""),"Data Cable ROBOT RC30 USB To Type-C 3A Colorful 30CM (SKU RJA-DATA-0358)")</f>
        <v>Data Cable ROBOT RC30 USB To Type-C 3A Colorful 30CM (SKU RJA-DATA-0358)</v>
      </c>
      <c r="F85" s="233" t="str">
        <f>IFERROR(__xludf.DUMMYFUNCTION("""COMPUTED_VALUE"""),"Data Cable ROBOT RGCL100S Type-C To Lightning 3A 27W Colorful 100CM (SKU RJA-DATA-0324)")</f>
        <v>Data Cable ROBOT RGCL100S Type-C To Lightning 3A 27W Colorful 100CM (SKU RJA-DATA-0324)</v>
      </c>
      <c r="H85" s="238"/>
    </row>
    <row r="86">
      <c r="A86" s="233" t="str">
        <f>IFERROR(__xludf.DUMMYFUNCTION("""COMPUTED_VALUE"""),"Data Cable ROBOT RC30 USB To Type-C 3A Colorful 30CM (SKU RJA-DATA-0506)")</f>
        <v>Data Cable ROBOT RC30 USB To Type-C 3A Colorful 30CM (SKU RJA-DATA-0506)</v>
      </c>
      <c r="F86" s="233" t="str">
        <f>IFERROR(__xludf.DUMMYFUNCTION("""COMPUTED_VALUE"""),"Data Cable ROBOT RUC01 Audio Type-C TO Two Type-C F White 2.4A 0.12CM (SKU RJA-DATA-0340)")</f>
        <v>Data Cable ROBOT RUC01 Audio Type-C TO Two Type-C F White 2.4A 0.12CM (SKU RJA-DATA-0340)</v>
      </c>
      <c r="H86" s="238"/>
    </row>
    <row r="87">
      <c r="A87" s="233" t="str">
        <f>IFERROR(__xludf.DUMMYFUNCTION("""COMPUTED_VALUE"""),"Data Cable ROBOT RCOCC100 Coffee Cup Type-C To Type-C 60W Colorful (SKU RJA-DATA-0319)")</f>
        <v>Data Cable ROBOT RCOCC100 Coffee Cup Type-C To Type-C 60W Colorful (SKU RJA-DATA-0319)</v>
      </c>
      <c r="F87" s="233" t="str">
        <f>IFERROR(__xludf.DUMMYFUNCTION("""COMPUTED_VALUE"""),"Data Cable ROBOT RZCC100 Type-C To Type-C 60W Golden 100CM (SKU RJA-DATA-0341)")</f>
        <v>Data Cable ROBOT RZCC100 Type-C To Type-C 60W Golden 100CM (SKU RJA-DATA-0341)</v>
      </c>
      <c r="H87" s="238"/>
    </row>
    <row r="88">
      <c r="A88" s="233" t="str">
        <f>IFERROR(__xludf.DUMMYFUNCTION("""COMPUTED_VALUE"""),"Data Cable ROBOT RCOCC100 Coffee Cup Type-C To Type-C 60W Colorful (SKU RJA-DATA-0505)")</f>
        <v>Data Cable ROBOT RCOCC100 Coffee Cup Type-C To Type-C 60W Colorful (SKU RJA-DATA-0505)</v>
      </c>
      <c r="F88" s="233" t="str">
        <f>IFERROR(__xludf.DUMMYFUNCTION("""COMPUTED_VALUE"""),"Data Cable ROBOT RZC100 USB To Type-C 66W Golden 100CM (SKU RJA-DATA-0342)")</f>
        <v>Data Cable ROBOT RZC100 USB To Type-C 66W Golden 100CM (SKU RJA-DATA-0342)</v>
      </c>
      <c r="H88" s="238"/>
    </row>
    <row r="89">
      <c r="A89" s="233" t="str">
        <f>IFERROR(__xludf.DUMMYFUNCTION("""COMPUTED_VALUE"""),"Data Cable ROBOT RGBC100 USB To Type-C 3A RGB Colorful Lamp Black 100CM (SKU RJA-DATA-0345)")</f>
        <v>Data Cable ROBOT RGBC100 USB To Type-C 3A RGB Colorful Lamp Black 100CM (SKU RJA-DATA-0345)</v>
      </c>
      <c r="F89" s="233" t="str">
        <f>IFERROR(__xludf.DUMMYFUNCTION("""COMPUTED_VALUE"""),"Data Cable ROBOT RGCC100S Type-C To Type-C 3A 60W Colorful 100CM (SKU RJA-DATA-0343)")</f>
        <v>Data Cable ROBOT RGCC100S Type-C To Type-C 3A 60W Colorful 100CM (SKU RJA-DATA-0343)</v>
      </c>
      <c r="H89" s="238"/>
    </row>
    <row r="90">
      <c r="A90" s="233" t="str">
        <f>IFERROR(__xludf.DUMMYFUNCTION("""COMPUTED_VALUE"""),"Data Cable ROBOT RGBC100 USB To Type-C 3A RGB Colorful Lamp Black 100CM (SKU RJA-DATA-0504)")</f>
        <v>Data Cable ROBOT RGBC100 USB To Type-C 3A RGB Colorful Lamp Black 100CM (SKU RJA-DATA-0504)</v>
      </c>
      <c r="F90" s="233" t="str">
        <f>IFERROR(__xludf.DUMMYFUNCTION("""COMPUTED_VALUE"""),"Data Cable ROBOT RGC100S Type-C 2.4A Colorful 100C4 (SKU RJA-DATA-0344)")</f>
        <v>Data Cable ROBOT RGC100S Type-C 2.4A Colorful 100C4 (SKU RJA-DATA-0344)</v>
      </c>
      <c r="H90" s="238"/>
    </row>
    <row r="91">
      <c r="A91" s="233" t="str">
        <f>IFERROR(__xludf.DUMMYFUNCTION("""COMPUTED_VALUE"""),"Data Cable ROBOT RGBCL120 Type-C To Lightning 30W RGB Colorful Lamp Black 120CM")</f>
        <v>Data Cable ROBOT RGBCL120 Type-C To Lightning 30W RGB Colorful Lamp Black 120CM</v>
      </c>
      <c r="F91" s="233" t="str">
        <f>IFERROR(__xludf.DUMMYFUNCTION("""COMPUTED_VALUE"""),"Data Cable ROBOT RGBC100 USB To Type-C 3A RGB Colorful Lamp Black 100CM (SKU RJA-DATA-0345)")</f>
        <v>Data Cable ROBOT RGBC100 USB To Type-C 3A RGB Colorful Lamp Black 100CM (SKU RJA-DATA-0345)</v>
      </c>
      <c r="H91" s="238"/>
    </row>
    <row r="92">
      <c r="A92" s="233" t="str">
        <f>IFERROR(__xludf.DUMMYFUNCTION("""COMPUTED_VALUE"""),"Data Cable ROBOT RGC100S Type-C 2.4A Colorful 100C4 (SKU RJA-DATA-0344)")</f>
        <v>Data Cable ROBOT RGC100S Type-C 2.4A Colorful 100C4 (SKU RJA-DATA-0344)</v>
      </c>
      <c r="F92" s="233" t="str">
        <f>IFERROR(__xludf.DUMMYFUNCTION("""COMPUTED_VALUE"""),"Data Cable ROBOT RBM100 II Micro 2.1A Mini Black&amp;White 100CM (SKU RJA-DATA-0346)")</f>
        <v>Data Cable ROBOT RBM100 II Micro 2.1A Mini Black&amp;White 100CM (SKU RJA-DATA-0346)</v>
      </c>
    </row>
    <row r="93">
      <c r="A93" s="233" t="str">
        <f>IFERROR(__xludf.DUMMYFUNCTION("""COMPUTED_VALUE"""),"Data Cable ROBOT RGC100S Type-C 2.4A Colorful 100C4 (SKU RJA-DATA-0502)")</f>
        <v>Data Cable ROBOT RGC100S Type-C 2.4A Colorful 100C4 (SKU RJA-DATA-0502)</v>
      </c>
      <c r="F93" s="233" t="str">
        <f>IFERROR(__xludf.DUMMYFUNCTION("""COMPUTED_VALUE"""),"Data Cable ROBOT RXC100 USB To Type-C 3A Black 100CM (SKU RJA-DATA-0350)")</f>
        <v>Data Cable ROBOT RXC100 USB To Type-C 3A Black 100CM (SKU RJA-DATA-0350)</v>
      </c>
    </row>
    <row r="94">
      <c r="A94" s="233" t="str">
        <f>IFERROR(__xludf.DUMMYFUNCTION("""COMPUTED_VALUE"""),"Data Cable ROBOT RGCC100S Type-C To Type-C 3A 60W Colorful 100CM (SKU RJA-DATA-0343)")</f>
        <v>Data Cable ROBOT RGCC100S Type-C To Type-C 3A 60W Colorful 100CM (SKU RJA-DATA-0343)</v>
      </c>
      <c r="F94" s="233" t="str">
        <f>IFERROR(__xludf.DUMMYFUNCTION("""COMPUTED_VALUE"""),"Data Cable ROBOT RXC100 USB To Type-C 3A Black 100CM (SKU RJA-DATA-0357)")</f>
        <v>Data Cable ROBOT RXC100 USB To Type-C 3A Black 100CM (SKU RJA-DATA-0357)</v>
      </c>
    </row>
    <row r="95">
      <c r="A95" s="233" t="str">
        <f>IFERROR(__xludf.DUMMYFUNCTION("""COMPUTED_VALUE"""),"Data Cable ROBOT RGCC100S Type-C To Type-C 3A 60W Colorful 100CM (SKU RJA-DATA-0497)")</f>
        <v>Data Cable ROBOT RGCC100S Type-C To Type-C 3A 60W Colorful 100CM (SKU RJA-DATA-0497)</v>
      </c>
      <c r="F95" s="233" t="str">
        <f>IFERROR(__xludf.DUMMYFUNCTION("""COMPUTED_VALUE"""),"Data Cable ROBOT RC30 USB To Type-C 3A Colorful 30CM (SKU RJA-DATA-0358)")</f>
        <v>Data Cable ROBOT RC30 USB To Type-C 3A Colorful 30CM (SKU RJA-DATA-0358)</v>
      </c>
    </row>
    <row r="96">
      <c r="A96" s="233" t="str">
        <f>IFERROR(__xludf.DUMMYFUNCTION("""COMPUTED_VALUE"""),"Data Cable ROBOT RGCL100S Type-C To Lightning 3A 27W Colorful 100CM (SKU RJA-DATA-0324)")</f>
        <v>Data Cable ROBOT RGCL100S Type-C To Lightning 3A 27W Colorful 100CM (SKU RJA-DATA-0324)</v>
      </c>
      <c r="F96" s="233" t="str">
        <f>IFERROR(__xludf.DUMMYFUNCTION("""COMPUTED_VALUE"""),"Data Cable ROBOT RXL100 USB To Lightning 2.4A Black 100CM")</f>
        <v>Data Cable ROBOT RXL100 USB To Lightning 2.4A Black 100CM</v>
      </c>
    </row>
    <row r="97">
      <c r="A97" s="233" t="str">
        <f>IFERROR(__xludf.DUMMYFUNCTION("""COMPUTED_VALUE"""),"Data Cable ROBOT RGCL100S Type-C To Lightning 3A 27W Colorful 100CM (SKU RJA-DATA-0517)")</f>
        <v>Data Cable ROBOT RGCL100S Type-C To Lightning 3A 27W Colorful 100CM (SKU RJA-DATA-0517)</v>
      </c>
      <c r="F97" s="233" t="str">
        <f>IFERROR(__xludf.DUMMYFUNCTION("""COMPUTED_VALUE"""),"Data Cable ROBOT RXCL100 Type-C To Lightning 27W Black 100CM")</f>
        <v>Data Cable ROBOT RXCL100 Type-C To Lightning 27W Black 100CM</v>
      </c>
    </row>
    <row r="98">
      <c r="A98" s="233" t="str">
        <f>IFERROR(__xludf.DUMMYFUNCTION("""COMPUTED_VALUE"""),"Data Cable ROBOT RGCL100S Type-C To Lightning 3A 27W Colorful 100CM (SKU RJA-DATA-0537)")</f>
        <v>Data Cable ROBOT RGCL100S Type-C To Lightning 3A 27W Colorful 100CM (SKU RJA-DATA-0537)</v>
      </c>
      <c r="F98" s="233" t="str">
        <f>IFERROR(__xludf.DUMMYFUNCTION("""COMPUTED_VALUE"""),"Data Cable ROBOT RUC01 Audio Type-C TO Two Type-C F White 2.4A 0.12CM (SKU RJA-DATA-0469)")</f>
        <v>Data Cable ROBOT RUC01 Audio Type-C TO Two Type-C F White 2.4A 0.12CM (SKU RJA-DATA-0469)</v>
      </c>
    </row>
    <row r="99">
      <c r="A99" s="233" t="str">
        <f>IFERROR(__xludf.DUMMYFUNCTION("""COMPUTED_VALUE"""),"Data Cable ROBOT RUC01 Audio Type-C TO Two Type-C F White 2.4A 0.12CM (SKU RJA-DATA-0340)")</f>
        <v>Data Cable ROBOT RUC01 Audio Type-C TO Two Type-C F White 2.4A 0.12CM (SKU RJA-DATA-0340)</v>
      </c>
      <c r="F99" s="233" t="str">
        <f>IFERROR(__xludf.DUMMYFUNCTION("""COMPUTED_VALUE"""),"Data Cable ROBOT RZCC100 Type-C To Type-C 60W Golden 100CM (SKU RJA-DATA-0482)")</f>
        <v>Data Cable ROBOT RZCC100 Type-C To Type-C 60W Golden 100CM (SKU RJA-DATA-0482)</v>
      </c>
    </row>
    <row r="100">
      <c r="A100" s="233" t="str">
        <f>IFERROR(__xludf.DUMMYFUNCTION("""COMPUTED_VALUE"""),"Data Cable ROBOT RUC01 Audio Type-C TO Two Type-C F White 2.4A 0.12CM (SKU RJA-DATA-0469)")</f>
        <v>Data Cable ROBOT RUC01 Audio Type-C TO Two Type-C F White 2.4A 0.12CM (SKU RJA-DATA-0469)</v>
      </c>
      <c r="F100" s="233" t="str">
        <f>IFERROR(__xludf.DUMMYFUNCTION("""COMPUTED_VALUE"""),"Data Cable ROBOT RZC100 USB To Type-C 66W Golden 100CM (SKU RJA-DATA-0496)")</f>
        <v>Data Cable ROBOT RZC100 USB To Type-C 66W Golden 100CM (SKU RJA-DATA-0496)</v>
      </c>
    </row>
    <row r="101">
      <c r="A101" s="233" t="str">
        <f>IFERROR(__xludf.DUMMYFUNCTION("""COMPUTED_VALUE"""),"Data Cable ROBOT RXC100 USB To Type-C 3A Black 100CM (SKU RJA-DATA-0350)")</f>
        <v>Data Cable ROBOT RXC100 USB To Type-C 3A Black 100CM (SKU RJA-DATA-0350)</v>
      </c>
      <c r="F101" s="233" t="str">
        <f>IFERROR(__xludf.DUMMYFUNCTION("""COMPUTED_VALUE"""),"Data Cable ROBOT RGCC100S Type-C To Type-C 3A 60W Colorful 100CM (SKU RJA-DATA-0497)")</f>
        <v>Data Cable ROBOT RGCC100S Type-C To Type-C 3A 60W Colorful 100CM (SKU RJA-DATA-0497)</v>
      </c>
    </row>
    <row r="102">
      <c r="A102" s="233" t="str">
        <f>IFERROR(__xludf.DUMMYFUNCTION("""COMPUTED_VALUE"""),"Data Cable ROBOT RXC100 USB To Type-C 3A Black 100CM (SKU RJA-DATA-0357)")</f>
        <v>Data Cable ROBOT RXC100 USB To Type-C 3A Black 100CM (SKU RJA-DATA-0357)</v>
      </c>
      <c r="F102" s="233" t="str">
        <f>IFERROR(__xludf.DUMMYFUNCTION("""COMPUTED_VALUE"""),"Data Cable ROBOT RGC100S Type-C 2.4A Colorful 100C4 (SKU RJA-DATA-0502)")</f>
        <v>Data Cable ROBOT RGC100S Type-C 2.4A Colorful 100C4 (SKU RJA-DATA-0502)</v>
      </c>
    </row>
    <row r="103">
      <c r="A103" s="233" t="str">
        <f>IFERROR(__xludf.DUMMYFUNCTION("""COMPUTED_VALUE"""),"Data Cable ROBOT RXCL100 Type-C To Lightning 27W Black 100CM")</f>
        <v>Data Cable ROBOT RXCL100 Type-C To Lightning 27W Black 100CM</v>
      </c>
      <c r="F103" s="233" t="str">
        <f>IFERROR(__xludf.DUMMYFUNCTION("""COMPUTED_VALUE"""),"Data Cable ROBOT RGBCL120 Type-C To Lightning 30W RGB Colorful Lamp Black 120CM")</f>
        <v>Data Cable ROBOT RGBCL120 Type-C To Lightning 30W RGB Colorful Lamp Black 120CM</v>
      </c>
    </row>
    <row r="104">
      <c r="A104" s="233" t="str">
        <f>IFERROR(__xludf.DUMMYFUNCTION("""COMPUTED_VALUE"""),"Data Cable ROBOT RXL100 USB To Lightning 2.4A Black 100CM")</f>
        <v>Data Cable ROBOT RXL100 USB To Lightning 2.4A Black 100CM</v>
      </c>
      <c r="F104" s="233" t="str">
        <f>IFERROR(__xludf.DUMMYFUNCTION("""COMPUTED_VALUE"""),"Data Cable ROBOT RGBC100 USB To Type-C 3A RGB Colorful Lamp Black 100CM (SKU RJA-DATA-0504)")</f>
        <v>Data Cable ROBOT RGBC100 USB To Type-C 3A RGB Colorful Lamp Black 100CM (SKU RJA-DATA-0504)</v>
      </c>
    </row>
    <row r="105">
      <c r="A105" s="233" t="str">
        <f>IFERROR(__xludf.DUMMYFUNCTION("""COMPUTED_VALUE"""),"Data Cable ROBOT RZC100 USB To Type-C 66W Golden 100CM (SKU RJA-DATA-0342)")</f>
        <v>Data Cable ROBOT RZC100 USB To Type-C 66W Golden 100CM (SKU RJA-DATA-0342)</v>
      </c>
      <c r="F105" s="233" t="str">
        <f>IFERROR(__xludf.DUMMYFUNCTION("""COMPUTED_VALUE"""),"Data Cable ROBOT RCOCC100 Coffee Cup Type-C To Type-C 60W Colorful (SKU RJA-DATA-0505)")</f>
        <v>Data Cable ROBOT RCOCC100 Coffee Cup Type-C To Type-C 60W Colorful (SKU RJA-DATA-0505)</v>
      </c>
    </row>
    <row r="106">
      <c r="A106" s="233" t="str">
        <f>IFERROR(__xludf.DUMMYFUNCTION("""COMPUTED_VALUE"""),"Data Cable ROBOT RZC100 USB To Type-C 66W Golden 100CM (SKU RJA-DATA-0496)")</f>
        <v>Data Cable ROBOT RZC100 USB To Type-C 66W Golden 100CM (SKU RJA-DATA-0496)</v>
      </c>
      <c r="F106" s="233" t="str">
        <f>IFERROR(__xludf.DUMMYFUNCTION("""COMPUTED_VALUE"""),"Data Cable ROBOT RC30 USB To Type-C 3A Colorful 30CM (SKU RJA-DATA-0506)")</f>
        <v>Data Cable ROBOT RC30 USB To Type-C 3A Colorful 30CM (SKU RJA-DATA-0506)</v>
      </c>
    </row>
    <row r="107">
      <c r="A107" s="233" t="str">
        <f>IFERROR(__xludf.DUMMYFUNCTION("""COMPUTED_VALUE"""),"Data Cable ROBOT RZCC100 Type-C To Type-C 60W Golden 100CM (SKU RJA-DATA-0341)")</f>
        <v>Data Cable ROBOT RZCC100 Type-C To Type-C 60W Golden 100CM (SKU RJA-DATA-0341)</v>
      </c>
      <c r="F107" s="233" t="str">
        <f>IFERROR(__xludf.DUMMYFUNCTION("""COMPUTED_VALUE"""),"Data Cable ROBOT RBM100 II Micro 2.1A Mini Black&amp;White 100CM (SKU RJA-DATA-0507)")</f>
        <v>Data Cable ROBOT RBM100 II Micro 2.1A Mini Black&amp;White 100CM (SKU RJA-DATA-0507)</v>
      </c>
    </row>
    <row r="108">
      <c r="A108" s="233" t="str">
        <f>IFERROR(__xludf.DUMMYFUNCTION("""COMPUTED_VALUE"""),"Data Cable ROBOT RZCC100 Type-C To Type-C 60W Golden 100CM (SKU RJA-DATA-0482)")</f>
        <v>Data Cable ROBOT RZCC100 Type-C To Type-C 60W Golden 100CM (SKU RJA-DATA-0482)</v>
      </c>
      <c r="F108" s="233" t="str">
        <f>IFERROR(__xludf.DUMMYFUNCTION("""COMPUTED_VALUE"""),"Data Cable ROBOT RAM100S Micro 2.4A Colorful 100CM")</f>
        <v>Data Cable ROBOT RAM100S Micro 2.4A Colorful 100CM</v>
      </c>
    </row>
    <row r="109">
      <c r="A109" s="233" t="str">
        <f>IFERROR(__xludf.DUMMYFUNCTION("""COMPUTED_VALUE"""),"Data Cable VIVAN VW01 2 IN 1 Type-C TO Type-C+Apple Watch 60W White 120CM (SKU RJA-DATA-0298)")</f>
        <v>Data Cable VIVAN VW01 2 IN 1 Type-C TO Type-C+Apple Watch 60W White 120CM (SKU RJA-DATA-0298)</v>
      </c>
      <c r="F109" s="233" t="str">
        <f>IFERROR(__xludf.DUMMYFUNCTION("""COMPUTED_VALUE"""),"Data Cable ROBOT RAC100S Type-C 2.4A Colorful 100CM")</f>
        <v>Data Cable ROBOT RAC100S Type-C 2.4A Colorful 100CM</v>
      </c>
    </row>
    <row r="110">
      <c r="A110" s="233" t="str">
        <f>IFERROR(__xludf.DUMMYFUNCTION("""COMPUTED_VALUE"""),"Data Cable VIVAN VW01 2 IN 1 Type-C TO Type-C+Apple Watch 60W White 120CM (SKU RJA-DATA-0299)")</f>
        <v>Data Cable VIVAN VW01 2 IN 1 Type-C TO Type-C+Apple Watch 60W White 120CM (SKU RJA-DATA-0299)</v>
      </c>
      <c r="F110" s="233" t="str">
        <f>IFERROR(__xludf.DUMMYFUNCTION("""COMPUTED_VALUE"""),"Data Cable ROBOT RGCL100S Type-C To Lightning 3A 27W Colorful 100CM (SKU RJA-DATA-0517)")</f>
        <v>Data Cable ROBOT RGCL100S Type-C To Lightning 3A 27W Colorful 100CM (SKU RJA-DATA-0517)</v>
      </c>
    </row>
    <row r="111">
      <c r="A111" s="233" t="str">
        <f>IFERROR(__xludf.DUMMYFUNCTION("""COMPUTED_VALUE"""),"DESKTOP HOLDER LANEX LZ12")</f>
        <v>DESKTOP HOLDER LANEX LZ12</v>
      </c>
      <c r="F111" s="233" t="str">
        <f>IFERROR(__xludf.DUMMYFUNCTION("""COMPUTED_VALUE"""),"Data Cable ROBOT RGCL100S Type-C To Lightning 3A 27W Colorful 100CM (SKU RJA-DATA-0537)")</f>
        <v>Data Cable ROBOT RGCL100S Type-C To Lightning 3A 27W Colorful 100CM (SKU RJA-DATA-0537)</v>
      </c>
    </row>
    <row r="112">
      <c r="A112" s="233" t="str">
        <f>IFERROR(__xludf.DUMMYFUNCTION("""COMPUTED_VALUE"""),"DOMPET 20K")</f>
        <v>DOMPET 20K</v>
      </c>
      <c r="F112" s="233" t="str">
        <f>IFERROR(__xludf.DUMMYFUNCTION("""COMPUTED_VALUE"""),"DESKTOP HOLDER LANEX LZ12")</f>
        <v>DESKTOP HOLDER LANEX LZ12</v>
      </c>
    </row>
    <row r="113">
      <c r="A113" s="233" t="str">
        <f>IFERROR(__xludf.DUMMYFUNCTION("""COMPUTED_VALUE"""),"Dongle HDMI")</f>
        <v>Dongle HDMI</v>
      </c>
      <c r="F113" s="233" t="str">
        <f>IFERROR(__xludf.DUMMYFUNCTION("""COMPUTED_VALUE"""),"DOMPET 20K")</f>
        <v>DOMPET 20K</v>
      </c>
    </row>
    <row r="114">
      <c r="A114" s="233" t="str">
        <f>IFERROR(__xludf.DUMMYFUNCTION("""COMPUTED_VALUE"""),"DP Rechargeable Flashlight DP-9171 Blue (SKU RJA-DPRE-0554)")</f>
        <v>DP Rechargeable Flashlight DP-9171 Blue (SKU RJA-DPRE-0554)</v>
      </c>
      <c r="F114" s="233" t="str">
        <f>IFERROR(__xludf.DUMMYFUNCTION("""COMPUTED_VALUE"""),"Dongle HDMI")</f>
        <v>Dongle HDMI</v>
      </c>
    </row>
    <row r="115">
      <c r="A115" s="233" t="str">
        <f>IFERROR(__xludf.DUMMYFUNCTION("""COMPUTED_VALUE"""),"DP Rechargeable Flashlight DP-9171 Blue (SKU RJA-DPRE-0557)")</f>
        <v>DP Rechargeable Flashlight DP-9171 Blue (SKU RJA-DPRE-0557)</v>
      </c>
      <c r="F115" s="233" t="str">
        <f>IFERROR(__xludf.DUMMYFUNCTION("""COMPUTED_VALUE"""),"DP Rechargeable Flashlight DP-9171 Blue (SKU RJA-DPRE-0554)")</f>
        <v>DP Rechargeable Flashlight DP-9171 Blue (SKU RJA-DPRE-0554)</v>
      </c>
    </row>
    <row r="116">
      <c r="A116" s="233" t="str">
        <f>IFERROR(__xludf.DUMMYFUNCTION("""COMPUTED_VALUE"""),"EARPHONE E100C OLIKE TYPE C")</f>
        <v>EARPHONE E100C OLIKE TYPE C</v>
      </c>
      <c r="F116" s="233" t="str">
        <f>IFERROR(__xludf.DUMMYFUNCTION("""COMPUTED_VALUE"""),"DP Rechargeable Flashlight DP-9171 Blue (SKU RJA-DPRE-0557)")</f>
        <v>DP Rechargeable Flashlight DP-9171 Blue (SKU RJA-DPRE-0557)</v>
      </c>
    </row>
    <row r="117">
      <c r="A117" s="233" t="str">
        <f>IFERROR(__xludf.DUMMYFUNCTION("""COMPUTED_VALUE"""),"EARPHONE E11 OLIKE")</f>
        <v>EARPHONE E11 OLIKE</v>
      </c>
      <c r="F117" s="233" t="str">
        <f>IFERROR(__xludf.DUMMYFUNCTION("""COMPUTED_VALUE"""),"EARPHONE E100C OLIKE TYPE C")</f>
        <v>EARPHONE E100C OLIKE TYPE C</v>
      </c>
    </row>
    <row r="118">
      <c r="A118" s="233" t="str">
        <f>IFERROR(__xludf.DUMMYFUNCTION("""COMPUTED_VALUE"""),"EARPHONE E11 OLIKE BLACK")</f>
        <v>EARPHONE E11 OLIKE BLACK</v>
      </c>
      <c r="F118" s="233" t="str">
        <f>IFERROR(__xludf.DUMMYFUNCTION("""COMPUTED_VALUE"""),"EARPHONE E206C OLIKE TYPE C")</f>
        <v>EARPHONE E206C OLIKE TYPE C</v>
      </c>
    </row>
    <row r="119">
      <c r="A119" s="233" t="str">
        <f>IFERROR(__xludf.DUMMYFUNCTION("""COMPUTED_VALUE"""),"EARPHONE E17 OLIKE BLACK")</f>
        <v>EARPHONE E17 OLIKE BLACK</v>
      </c>
      <c r="F119" s="233" t="str">
        <f>IFERROR(__xludf.DUMMYFUNCTION("""COMPUTED_VALUE"""),"EARPHONE E11 OLIKE")</f>
        <v>EARPHONE E11 OLIKE</v>
      </c>
    </row>
    <row r="120">
      <c r="A120" s="233" t="str">
        <f>IFERROR(__xludf.DUMMYFUNCTION("""COMPUTED_VALUE"""),"EARPHONE E201 OLIKE BLACK")</f>
        <v>EARPHONE E201 OLIKE BLACK</v>
      </c>
      <c r="F120" s="233" t="str">
        <f>IFERROR(__xludf.DUMMYFUNCTION("""COMPUTED_VALUE"""),"EARPHONE E201 OLIKE BLACK")</f>
        <v>EARPHONE E201 OLIKE BLACK</v>
      </c>
    </row>
    <row r="121">
      <c r="A121" s="233" t="str">
        <f>IFERROR(__xludf.DUMMYFUNCTION("""COMPUTED_VALUE"""),"EARPHONE E206C OLIKE TYPE C")</f>
        <v>EARPHONE E206C OLIKE TYPE C</v>
      </c>
      <c r="F121" s="233" t="str">
        <f>IFERROR(__xludf.DUMMYFUNCTION("""COMPUTED_VALUE"""),"EARPHONE E11 OLIKE BLACK")</f>
        <v>EARPHONE E11 OLIKE BLACK</v>
      </c>
    </row>
    <row r="122">
      <c r="A122" s="233" t="str">
        <f>IFERROR(__xludf.DUMMYFUNCTION("""COMPUTED_VALUE"""),"EARPHONE E20S OLIKE BLACK")</f>
        <v>EARPHONE E20S OLIKE BLACK</v>
      </c>
      <c r="F122" s="233" t="str">
        <f>IFERROR(__xludf.DUMMYFUNCTION("""COMPUTED_VALUE"""),"EARPHONE E20S OLIKE BLACK")</f>
        <v>EARPHONE E20S OLIKE BLACK</v>
      </c>
    </row>
    <row r="123">
      <c r="A123" s="233" t="str">
        <f>IFERROR(__xludf.DUMMYFUNCTION("""COMPUTED_VALUE"""),"ENTENDER AUX CABANG")</f>
        <v>ENTENDER AUX CABANG</v>
      </c>
      <c r="F123" s="233" t="str">
        <f>IFERROR(__xludf.DUMMYFUNCTION("""COMPUTED_VALUE"""),"EARPHONE E17 OLIKE BLACK")</f>
        <v>EARPHONE E17 OLIKE BLACK</v>
      </c>
    </row>
    <row r="124">
      <c r="A124" s="233" t="str">
        <f>IFERROR(__xludf.DUMMYFUNCTION("""COMPUTED_VALUE"""),"EXTENDER USB MALE TO MALE")</f>
        <v>EXTENDER USB MALE TO MALE</v>
      </c>
      <c r="F124" s="233" t="str">
        <f>IFERROR(__xludf.DUMMYFUNCTION("""COMPUTED_VALUE"""),"ENTENDER AUX CABANG")</f>
        <v>ENTENDER AUX CABANG</v>
      </c>
    </row>
    <row r="125">
      <c r="A125" s="233" t="str">
        <f>IFERROR(__xludf.DUMMYFUNCTION("""COMPUTED_VALUE"""),"EXTENSION 3 USB WITH DATA")</f>
        <v>EXTENSION 3 USB WITH DATA</v>
      </c>
      <c r="F125" s="233" t="str">
        <f>IFERROR(__xludf.DUMMYFUNCTION("""COMPUTED_VALUE"""),"EXTENDER USB MALE TO MALE")</f>
        <v>EXTENDER USB MALE TO MALE</v>
      </c>
    </row>
    <row r="126">
      <c r="A126" s="233" t="str">
        <f>IFERROR(__xludf.DUMMYFUNCTION("""COMPUTED_VALUE"""),"FLASHDISCK DAP D-U16")</f>
        <v>FLASHDISCK DAP D-U16</v>
      </c>
      <c r="F126" s="233" t="str">
        <f>IFERROR(__xludf.DUMMYFUNCTION("""COMPUTED_VALUE"""),"EXTENSION 3 USB WITH DATA")</f>
        <v>EXTENSION 3 USB WITH DATA</v>
      </c>
    </row>
    <row r="127">
      <c r="A127" s="233" t="str">
        <f>IFERROR(__xludf.DUMMYFUNCTION("""COMPUTED_VALUE"""),"FLASHDISCK DAP D-U4")</f>
        <v>FLASHDISCK DAP D-U4</v>
      </c>
      <c r="F127" s="233" t="str">
        <f>IFERROR(__xludf.DUMMYFUNCTION("""COMPUTED_VALUE"""),"FLASHDISCK DAP D-U16")</f>
        <v>FLASHDISCK DAP D-U16</v>
      </c>
    </row>
    <row r="128">
      <c r="A128" s="233" t="str">
        <f>IFERROR(__xludf.DUMMYFUNCTION("""COMPUTED_VALUE"""),"FLASHDISCK DAP D-U8")</f>
        <v>FLASHDISCK DAP D-U8</v>
      </c>
      <c r="F128" s="233" t="str">
        <f>IFERROR(__xludf.DUMMYFUNCTION("""COMPUTED_VALUE"""),"FLASHDISCK DAP D-U8")</f>
        <v>FLASHDISCK DAP D-U8</v>
      </c>
    </row>
    <row r="129">
      <c r="A129" s="233" t="str">
        <f>IFERROR(__xludf.DUMMYFUNCTION("""COMPUTED_VALUE"""),"GAME Gaming Headset Galea")</f>
        <v>GAME Gaming Headset Galea</v>
      </c>
      <c r="F129" s="233" t="str">
        <f>IFERROR(__xludf.DUMMYFUNCTION("""COMPUTED_VALUE"""),"FLASHDISCK DAP D-U4")</f>
        <v>FLASHDISCK DAP D-U4</v>
      </c>
    </row>
    <row r="130">
      <c r="A130" s="233" t="str">
        <f>IFERROR(__xludf.DUMMYFUNCTION("""COMPUTED_VALUE"""),"Gamen Fancooler Radiator GMR06 Magnetic&amp;Clamp Temperature Display Black")</f>
        <v>Gamen Fancooler Radiator GMR06 Magnetic&amp;Clamp Temperature Display Black</v>
      </c>
      <c r="F130" s="233" t="str">
        <f>IFERROR(__xludf.DUMMYFUNCTION("""COMPUTED_VALUE"""),"GAMEN Live broadcast dedicated radiator GMR07 Black")</f>
        <v>GAMEN Live broadcast dedicated radiator GMR07 Black</v>
      </c>
    </row>
    <row r="131">
      <c r="A131" s="233" t="str">
        <f>IFERROR(__xludf.DUMMYFUNCTION("""COMPUTED_VALUE"""),"GAMEN Gaming Headsets GH1100 White")</f>
        <v>GAMEN Gaming Headsets GH1100 White</v>
      </c>
      <c r="F131" s="233" t="str">
        <f>IFERROR(__xludf.DUMMYFUNCTION("""COMPUTED_VALUE"""),"Gamen Fancooler Radiator GMR06 Magnetic&amp;Clamp Temperature Display Black")</f>
        <v>Gamen Fancooler Radiator GMR06 Magnetic&amp;Clamp Temperature Display Black</v>
      </c>
    </row>
    <row r="132">
      <c r="A132" s="233" t="str">
        <f>IFERROR(__xludf.DUMMYFUNCTION("""COMPUTED_VALUE"""),"GAMEN Gaming Mouse GM100W Black (SKU RJA-GAME-0566)")</f>
        <v>GAMEN Gaming Mouse GM100W Black (SKU RJA-GAME-0566)</v>
      </c>
      <c r="F132" s="233" t="str">
        <f>IFERROR(__xludf.DUMMYFUNCTION("""COMPUTED_VALUE"""),"GAME Gaming Headset Galea")</f>
        <v>GAME Gaming Headset Galea</v>
      </c>
    </row>
    <row r="133">
      <c r="A133" s="233" t="str">
        <f>IFERROR(__xludf.DUMMYFUNCTION("""COMPUTED_VALUE"""),"GAMEN Gaming Mouse GM100W Black (SKU RJA-GAME-0590)")</f>
        <v>GAMEN Gaming Mouse GM100W Black (SKU RJA-GAME-0590)</v>
      </c>
      <c r="F133" s="233" t="str">
        <f>IFERROR(__xludf.DUMMYFUNCTION("""COMPUTED_VALUE"""),"GAMEN Gaming Headsets GH1100 White")</f>
        <v>GAMEN Gaming Headsets GH1100 White</v>
      </c>
    </row>
    <row r="134">
      <c r="A134" s="233" t="str">
        <f>IFERROR(__xludf.DUMMYFUNCTION("""COMPUTED_VALUE"""),"GAMEN Gaming Mouse GM100W White")</f>
        <v>GAMEN Gaming Mouse GM100W White</v>
      </c>
      <c r="F134" s="233" t="str">
        <f>IFERROR(__xludf.DUMMYFUNCTION("""COMPUTED_VALUE"""),"GAMEN Mechanical Keyboard Titan EVO Black+Gray")</f>
        <v>GAMEN Mechanical Keyboard Titan EVO Black+Gray</v>
      </c>
    </row>
    <row r="135">
      <c r="A135" s="233" t="str">
        <f>IFERROR(__xludf.DUMMYFUNCTION("""COMPUTED_VALUE"""),"GAMEN Gaming Mouse GM200W Sliver silence keys")</f>
        <v>GAMEN Gaming Mouse GM200W Sliver silence keys</v>
      </c>
      <c r="F135" s="233" t="str">
        <f>IFERROR(__xludf.DUMMYFUNCTION("""COMPUTED_VALUE"""),"GAMEN Gaming Mouse GM100W Black (SKU RJA-GAME-0566)")</f>
        <v>GAMEN Gaming Mouse GM100W Black (SKU RJA-GAME-0566)</v>
      </c>
    </row>
    <row r="136">
      <c r="A136" s="233" t="str">
        <f>IFERROR(__xludf.DUMMYFUNCTION("""COMPUTED_VALUE"""),"GAMEN Live broadcast dedicated radiator GMR07 Black")</f>
        <v>GAMEN Live broadcast dedicated radiator GMR07 Black</v>
      </c>
      <c r="F136" s="233" t="str">
        <f>IFERROR(__xludf.DUMMYFUNCTION("""COMPUTED_VALUE"""),"GAMEN Gaming Mouse GM200W Sliver silence keys")</f>
        <v>GAMEN Gaming Mouse GM200W Sliver silence keys</v>
      </c>
    </row>
    <row r="137">
      <c r="A137" s="233" t="str">
        <f>IFERROR(__xludf.DUMMYFUNCTION("""COMPUTED_VALUE"""),"GAMEN Mechanical Keyboard Titan EVO Black+Gray")</f>
        <v>GAMEN Mechanical Keyboard Titan EVO Black+Gray</v>
      </c>
      <c r="F137" s="233" t="str">
        <f>IFERROR(__xludf.DUMMYFUNCTION("""COMPUTED_VALUE"""),"GAMEN Gaming Mouse GM100W White")</f>
        <v>GAMEN Gaming Mouse GM100W White</v>
      </c>
    </row>
    <row r="138">
      <c r="A138" s="233" t="str">
        <f>IFERROR(__xludf.DUMMYFUNCTION("""COMPUTED_VALUE"""),"GAMEN Mousepad Gaming GP-L hexagon")</f>
        <v>GAMEN Mousepad Gaming GP-L hexagon</v>
      </c>
      <c r="F138" s="233" t="str">
        <f>IFERROR(__xludf.DUMMYFUNCTION("""COMPUTED_VALUE"""),"GAMEN Gaming Mouse GM100W Black (SKU RJA-GAME-0590)")</f>
        <v>GAMEN Gaming Mouse GM100W Black (SKU RJA-GAME-0590)</v>
      </c>
    </row>
    <row r="139">
      <c r="A139" s="233" t="str">
        <f>IFERROR(__xludf.DUMMYFUNCTION("""COMPUTED_VALUE"""),"GANTUNGAN HP BENING UNIVERSAL")</f>
        <v>GANTUNGAN HP BENING UNIVERSAL</v>
      </c>
      <c r="F139" s="233" t="str">
        <f>IFERROR(__xludf.DUMMYFUNCTION("""COMPUTED_VALUE"""),"GAMEN Mousepad Gaming GP-L hexagon")</f>
        <v>GAMEN Mousepad Gaming GP-L hexagon</v>
      </c>
    </row>
    <row r="140">
      <c r="A140" s="233" t="str">
        <f>IFERROR(__xludf.DUMMYFUNCTION("""COMPUTED_VALUE"""),"GANTUNGAN KUNCI 3IN1 OBENG PLUS MINUS")</f>
        <v>GANTUNGAN KUNCI 3IN1 OBENG PLUS MINUS</v>
      </c>
      <c r="F140" s="233" t="str">
        <f>IFERROR(__xludf.DUMMYFUNCTION("""COMPUTED_VALUE"""),"GANTUNGAN KUNCI SILVER")</f>
        <v>GANTUNGAN KUNCI SILVER</v>
      </c>
    </row>
    <row r="141">
      <c r="A141" s="233" t="str">
        <f>IFERROR(__xludf.DUMMYFUNCTION("""COMPUTED_VALUE"""),"GANTUNGAN KUNCI KARABINAR SERBAGUNA")</f>
        <v>GANTUNGAN KUNCI KARABINAR SERBAGUNA</v>
      </c>
      <c r="F141" s="233" t="str">
        <f>IFERROR(__xludf.DUMMYFUNCTION("""COMPUTED_VALUE"""),"GANTUNGAN HP BENING UNIVERSAL")</f>
        <v>GANTUNGAN HP BENING UNIVERSAL</v>
      </c>
    </row>
    <row r="142">
      <c r="A142" s="233" t="str">
        <f>IFERROR(__xludf.DUMMYFUNCTION("""COMPUTED_VALUE"""),"GANTUNGAN KUNCI SILVER")</f>
        <v>GANTUNGAN KUNCI SILVER</v>
      </c>
      <c r="F142" s="233" t="str">
        <f>IFERROR(__xludf.DUMMYFUNCTION("""COMPUTED_VALUE"""),"GANTUNNGAN KUNCI SPIRAL ELASTIS")</f>
        <v>GANTUNNGAN KUNCI SPIRAL ELASTIS</v>
      </c>
    </row>
    <row r="143">
      <c r="A143" s="233" t="str">
        <f>IFERROR(__xludf.DUMMYFUNCTION("""COMPUTED_VALUE"""),"GANTUNNGAN KUNCI SPIRAL ELASTIS")</f>
        <v>GANTUNNGAN KUNCI SPIRAL ELASTIS</v>
      </c>
      <c r="F143" s="233" t="str">
        <f>IFERROR(__xludf.DUMMYFUNCTION("""COMPUTED_VALUE"""),"GANTUNGAN KUNCI 3IN1 OBENG PLUS MINUS")</f>
        <v>GANTUNGAN KUNCI 3IN1 OBENG PLUS MINUS</v>
      </c>
    </row>
    <row r="144">
      <c r="A144" s="233" t="str">
        <f>IFERROR(__xludf.DUMMYFUNCTION("""COMPUTED_VALUE"""),"GEMBOK ANGKA")</f>
        <v>GEMBOK ANGKA</v>
      </c>
      <c r="F144" s="233" t="str">
        <f>IFERROR(__xludf.DUMMYFUNCTION("""COMPUTED_VALUE"""),"GANTUNGAN KUNCI KARABINAR SERBAGUNA")</f>
        <v>GANTUNGAN KUNCI KARABINAR SERBAGUNA</v>
      </c>
    </row>
    <row r="145">
      <c r="A145" s="233" t="str">
        <f>IFERROR(__xludf.DUMMYFUNCTION("""COMPUTED_VALUE"""),"GUNTING")</f>
        <v>GUNTING</v>
      </c>
      <c r="F145" s="233" t="str">
        <f>IFERROR(__xludf.DUMMYFUNCTION("""COMPUTED_VALUE"""),"GEMBOK ANGKA")</f>
        <v>GEMBOK ANGKA</v>
      </c>
    </row>
    <row r="146">
      <c r="A146" s="233" t="str">
        <f>IFERROR(__xludf.DUMMYFUNCTION("""COMPUTED_VALUE"""),"Gurita Wellcomm")</f>
        <v>Gurita Wellcomm</v>
      </c>
      <c r="F146" s="233" t="str">
        <f>IFERROR(__xludf.DUMMYFUNCTION("""COMPUTED_VALUE"""),"GUNTING")</f>
        <v>GUNTING</v>
      </c>
    </row>
    <row r="147">
      <c r="A147" s="233" t="str">
        <f>IFERROR(__xludf.DUMMYFUNCTION("""COMPUTED_VALUE"""),"HANDFREE BANDO P47M")</f>
        <v>HANDFREE BANDO P47M</v>
      </c>
      <c r="F147" s="233" t="str">
        <f>IFERROR(__xludf.DUMMYFUNCTION("""COMPUTED_VALUE"""),"Gurita Wellcomm")</f>
        <v>Gurita Wellcomm</v>
      </c>
    </row>
    <row r="148">
      <c r="A148" s="233" t="str">
        <f>IFERROR(__xludf.DUMMYFUNCTION("""COMPUTED_VALUE"""),"HANDFREE BASEUS C17 ENCOK TYPE C EARPHONE WHITE")</f>
        <v>HANDFREE BASEUS C17 ENCOK TYPE C EARPHONE WHITE</v>
      </c>
      <c r="F148" s="233" t="str">
        <f>IFERROR(__xludf.DUMMYFUNCTION("""COMPUTED_VALUE"""),"HANDFREE PROMO M-38")</f>
        <v>HANDFREE PROMO M-38</v>
      </c>
    </row>
    <row r="149">
      <c r="A149" s="233" t="str">
        <f>IFERROR(__xludf.DUMMYFUNCTION("""COMPUTED_VALUE"""),"HANDFREE DAP DH-F13")</f>
        <v>HANDFREE DAP DH-F13</v>
      </c>
      <c r="F149" s="233" t="str">
        <f>IFERROR(__xludf.DUMMYFUNCTION("""COMPUTED_VALUE"""),"HANDFREE MINIMO")</f>
        <v>HANDFREE MINIMO</v>
      </c>
    </row>
    <row r="150">
      <c r="A150" s="233" t="str">
        <f>IFERROR(__xludf.DUMMYFUNCTION("""COMPUTED_VALUE"""),"HANDFREE DAP DH-F2")</f>
        <v>HANDFREE DAP DH-F2</v>
      </c>
      <c r="F150" s="233" t="str">
        <f>IFERROR(__xludf.DUMMYFUNCTION("""COMPUTED_VALUE"""),"HANDFREE STREO HT-07 / HT-08")</f>
        <v>HANDFREE STREO HT-07 / HT-08</v>
      </c>
    </row>
    <row r="151">
      <c r="A151" s="233" t="str">
        <f>IFERROR(__xludf.DUMMYFUNCTION("""COMPUTED_VALUE"""),"HANDFREE DAP DH-F23")</f>
        <v>HANDFREE DAP DH-F23</v>
      </c>
      <c r="F151" s="233" t="str">
        <f>IFERROR(__xludf.DUMMYFUNCTION("""COMPUTED_VALUE"""),"Handsfree Realme + Mic R899 (SKU RJA-HAND-0156)")</f>
        <v>Handsfree Realme + Mic R899 (SKU RJA-HAND-0156)</v>
      </c>
    </row>
    <row r="152">
      <c r="A152" s="233" t="str">
        <f>IFERROR(__xludf.DUMMYFUNCTION("""COMPUTED_VALUE"""),"HANDFREE DAP DH-F27")</f>
        <v>HANDFREE DAP DH-F27</v>
      </c>
      <c r="F152" s="233" t="str">
        <f>IFERROR(__xludf.DUMMYFUNCTION("""COMPUTED_VALUE"""),"Handsfree Realme + Mic R899 (SKU RJA-HAND-0159)")</f>
        <v>Handsfree Realme + Mic R899 (SKU RJA-HAND-0159)</v>
      </c>
    </row>
    <row r="153">
      <c r="A153" s="233" t="str">
        <f>IFERROR(__xludf.DUMMYFUNCTION("""COMPUTED_VALUE"""),"HANDFREE DAP DH-F28")</f>
        <v>HANDFREE DAP DH-F28</v>
      </c>
      <c r="F153" s="233" t="str">
        <f>IFERROR(__xludf.DUMMYFUNCTION("""COMPUTED_VALUE"""),"HANDFREE OLIKE E300S WIRED EARPHONE BLACK (SKU RJA-HAND-0163)")</f>
        <v>HANDFREE OLIKE E300S WIRED EARPHONE BLACK (SKU RJA-HAND-0163)</v>
      </c>
    </row>
    <row r="154">
      <c r="A154" s="233" t="str">
        <f>IFERROR(__xludf.DUMMYFUNCTION("""COMPUTED_VALUE"""),"HANDFREE DAP DH-F3")</f>
        <v>HANDFREE DAP DH-F3</v>
      </c>
      <c r="F154" s="233" t="str">
        <f>IFERROR(__xludf.DUMMYFUNCTION("""COMPUTED_VALUE"""),"HANDFREE OLIKE E30S WIRED EARPHONE BLACK (SKU RJA-HAND-0164)")</f>
        <v>HANDFREE OLIKE E30S WIRED EARPHONE BLACK (SKU RJA-HAND-0164)</v>
      </c>
    </row>
    <row r="155">
      <c r="A155" s="233" t="str">
        <f>IFERROR(__xludf.DUMMYFUNCTION("""COMPUTED_VALUE"""),"HANDFREE DAP DH-F31(TypeC)")</f>
        <v>HANDFREE DAP DH-F31(TypeC)</v>
      </c>
      <c r="F155" s="233" t="str">
        <f>IFERROR(__xludf.DUMMYFUNCTION("""COMPUTED_VALUE"""),"Handsfree Ori 100% Samsung S8 AKG Type - C")</f>
        <v>Handsfree Ori 100% Samsung S8 AKG Type - C</v>
      </c>
    </row>
    <row r="156">
      <c r="A156" s="233" t="str">
        <f>IFERROR(__xludf.DUMMYFUNCTION("""COMPUTED_VALUE"""),"HANDFREE DAP DH-F33")</f>
        <v>HANDFREE DAP DH-F33</v>
      </c>
      <c r="F156" s="233" t="str">
        <f>IFERROR(__xludf.DUMMYFUNCTION("""COMPUTED_VALUE"""),"HANDFREE SONNY TYPE C CT-01")</f>
        <v>HANDFREE SONNY TYPE C CT-01</v>
      </c>
    </row>
    <row r="157">
      <c r="A157" s="233" t="str">
        <f>IFERROR(__xludf.DUMMYFUNCTION("""COMPUTED_VALUE"""),"HANDFREE DAP DH-F34")</f>
        <v>HANDFREE DAP DH-F34</v>
      </c>
      <c r="F157" s="233" t="str">
        <f>IFERROR(__xludf.DUMMYFUNCTION("""COMPUTED_VALUE"""),"HANDFREE OPPO TYPE C")</f>
        <v>HANDFREE OPPO TYPE C</v>
      </c>
    </row>
    <row r="158">
      <c r="A158" s="233" t="str">
        <f>IFERROR(__xludf.DUMMYFUNCTION("""COMPUTED_VALUE"""),"HANDFREE DAP IPHONE DH-F18")</f>
        <v>HANDFREE DAP IPHONE DH-F18</v>
      </c>
      <c r="F158" s="233" t="str">
        <f>IFERROR(__xludf.DUMMYFUNCTION("""COMPUTED_VALUE"""),"HANDFREE TYPE C PM-50")</f>
        <v>HANDFREE TYPE C PM-50</v>
      </c>
    </row>
    <row r="159">
      <c r="A159" s="233" t="str">
        <f>IFERROR(__xludf.DUMMYFUNCTION("""COMPUTED_VALUE"""),"HANDFREE MINIMO")</f>
        <v>HANDFREE MINIMO</v>
      </c>
      <c r="F159" s="233" t="str">
        <f>IFERROR(__xludf.DUMMYFUNCTION("""COMPUTED_VALUE"""),"HANDFREE BASEUS C17 ENCOK TYPE C EARPHONE WHITE")</f>
        <v>HANDFREE BASEUS C17 ENCOK TYPE C EARPHONE WHITE</v>
      </c>
    </row>
    <row r="160">
      <c r="A160" s="233" t="str">
        <f>IFERROR(__xludf.DUMMYFUNCTION("""COMPUTED_VALUE"""),"HANDFREE OLIKE E300S WIRED EARPHONE BLACK (SKU RJA-HAND-0163)")</f>
        <v>HANDFREE OLIKE E300S WIRED EARPHONE BLACK (SKU RJA-HAND-0163)</v>
      </c>
      <c r="F160" s="233" t="str">
        <f>IFERROR(__xludf.DUMMYFUNCTION("""COMPUTED_VALUE"""),"HANDFREE OLIKE TYPE C WIRED EARPHONE E100C")</f>
        <v>HANDFREE OLIKE TYPE C WIRED EARPHONE E100C</v>
      </c>
    </row>
    <row r="161">
      <c r="A161" s="233" t="str">
        <f>IFERROR(__xludf.DUMMYFUNCTION("""COMPUTED_VALUE"""),"HANDFREE OLIKE E300S WIRED EARPHONE BLACK (SKU RJA-HAND-0172)")</f>
        <v>HANDFREE OLIKE E300S WIRED EARPHONE BLACK (SKU RJA-HAND-0172)</v>
      </c>
      <c r="F161" s="233" t="str">
        <f>IFERROR(__xludf.DUMMYFUNCTION("""COMPUTED_VALUE"""),"HANDFREE OLIKE E300S WIRED EARPHONE BLACK (SKU RJA-HAND-0172)")</f>
        <v>HANDFREE OLIKE E300S WIRED EARPHONE BLACK (SKU RJA-HAND-0172)</v>
      </c>
    </row>
    <row r="162">
      <c r="A162" s="233" t="str">
        <f>IFERROR(__xludf.DUMMYFUNCTION("""COMPUTED_VALUE"""),"HANDFREE OLIKE E30S WIRED EARPHONE BLACK (SKU RJA-HAND-0164)")</f>
        <v>HANDFREE OLIKE E30S WIRED EARPHONE BLACK (SKU RJA-HAND-0164)</v>
      </c>
      <c r="F162" s="233" t="str">
        <f>IFERROR(__xludf.DUMMYFUNCTION("""COMPUTED_VALUE"""),"HANDFREE OLIKE E30S WIRED EARPHONE BLACK (SKU RJA-HAND-0173)")</f>
        <v>HANDFREE OLIKE E30S WIRED EARPHONE BLACK (SKU RJA-HAND-0173)</v>
      </c>
    </row>
    <row r="163">
      <c r="A163" s="233" t="str">
        <f>IFERROR(__xludf.DUMMYFUNCTION("""COMPUTED_VALUE"""),"HANDFREE OLIKE E30S WIRED EARPHONE BLACK (SKU RJA-HAND-0173)")</f>
        <v>HANDFREE OLIKE E30S WIRED EARPHONE BLACK (SKU RJA-HAND-0173)</v>
      </c>
      <c r="F163" s="233" t="str">
        <f>IFERROR(__xludf.DUMMYFUNCTION("""COMPUTED_VALUE"""),"HANDFREE DAP DH-F2")</f>
        <v>HANDFREE DAP DH-F2</v>
      </c>
    </row>
    <row r="164">
      <c r="A164" s="233" t="str">
        <f>IFERROR(__xludf.DUMMYFUNCTION("""COMPUTED_VALUE"""),"HANDFREE OLIKE TYPE C WIRED EARPHONE E100C")</f>
        <v>HANDFREE OLIKE TYPE C WIRED EARPHONE E100C</v>
      </c>
      <c r="F164" s="233" t="str">
        <f>IFERROR(__xludf.DUMMYFUNCTION("""COMPUTED_VALUE"""),"HANDFREE DAP DH-F34")</f>
        <v>HANDFREE DAP DH-F34</v>
      </c>
    </row>
    <row r="165">
      <c r="A165" s="233" t="str">
        <f>IFERROR(__xludf.DUMMYFUNCTION("""COMPUTED_VALUE"""),"HANDFREE OPPO TYPE C")</f>
        <v>HANDFREE OPPO TYPE C</v>
      </c>
      <c r="F165" s="233" t="str">
        <f>IFERROR(__xludf.DUMMYFUNCTION("""COMPUTED_VALUE"""),"HANDFREE DAP DH-F27")</f>
        <v>HANDFREE DAP DH-F27</v>
      </c>
    </row>
    <row r="166">
      <c r="A166" s="233" t="str">
        <f>IFERROR(__xludf.DUMMYFUNCTION("""COMPUTED_VALUE"""),"HANDFREE PROMO M-38")</f>
        <v>HANDFREE PROMO M-38</v>
      </c>
      <c r="F166" s="233" t="str">
        <f>IFERROR(__xludf.DUMMYFUNCTION("""COMPUTED_VALUE"""),"HANDFREE DAP DH-F33")</f>
        <v>HANDFREE DAP DH-F33</v>
      </c>
    </row>
    <row r="167">
      <c r="A167" s="233" t="str">
        <f>IFERROR(__xludf.DUMMYFUNCTION("""COMPUTED_VALUE"""),"HANDFREE RECCI REP-L17")</f>
        <v>HANDFREE RECCI REP-L17</v>
      </c>
      <c r="F167" s="233" t="str">
        <f>IFERROR(__xludf.DUMMYFUNCTION("""COMPUTED_VALUE"""),"HANDFREE DAP DH-F28")</f>
        <v>HANDFREE DAP DH-F28</v>
      </c>
    </row>
    <row r="168">
      <c r="A168" s="233" t="str">
        <f>IFERROR(__xludf.DUMMYFUNCTION("""COMPUTED_VALUE"""),"HANDFREE ROBOR RE240S")</f>
        <v>HANDFREE ROBOR RE240S</v>
      </c>
      <c r="F168" s="233" t="str">
        <f>IFERROR(__xludf.DUMMYFUNCTION("""COMPUTED_VALUE"""),"HANDFREE DAP DH-F23")</f>
        <v>HANDFREE DAP DH-F23</v>
      </c>
    </row>
    <row r="169">
      <c r="A169" s="233" t="str">
        <f>IFERROR(__xludf.DUMMYFUNCTION("""COMPUTED_VALUE"""),"HANDFREE ROBOT RE10")</f>
        <v>HANDFREE ROBOT RE10</v>
      </c>
      <c r="F169" s="233" t="str">
        <f>IFERROR(__xludf.DUMMYFUNCTION("""COMPUTED_VALUE"""),"HANDFREE DAP DH-F13")</f>
        <v>HANDFREE DAP DH-F13</v>
      </c>
    </row>
    <row r="170">
      <c r="A170" s="233" t="str">
        <f>IFERROR(__xludf.DUMMYFUNCTION("""COMPUTED_VALUE"""),"HANDFREE ROBOT RE101S")</f>
        <v>HANDFREE ROBOT RE101S</v>
      </c>
      <c r="F170" s="233" t="str">
        <f>IFERROR(__xludf.DUMMYFUNCTION("""COMPUTED_VALUE"""),"HANDFREE DAP DH-F3")</f>
        <v>HANDFREE DAP DH-F3</v>
      </c>
    </row>
    <row r="171">
      <c r="A171" s="233" t="str">
        <f>IFERROR(__xludf.DUMMYFUNCTION("""COMPUTED_VALUE"""),"HANDFREE SONNY TYPE C CT-01")</f>
        <v>HANDFREE SONNY TYPE C CT-01</v>
      </c>
      <c r="F171" s="233" t="str">
        <f>IFERROR(__xludf.DUMMYFUNCTION("""COMPUTED_VALUE"""),"HANDFREE DAP DH-F31(TypeC)")</f>
        <v>HANDFREE DAP DH-F31(TypeC)</v>
      </c>
    </row>
    <row r="172">
      <c r="A172" s="233" t="str">
        <f>IFERROR(__xludf.DUMMYFUNCTION("""COMPUTED_VALUE"""),"HANDFREE STREO HT-07 / HT-08")</f>
        <v>HANDFREE STREO HT-07 / HT-08</v>
      </c>
      <c r="F172" s="233" t="str">
        <f>IFERROR(__xludf.DUMMYFUNCTION("""COMPUTED_VALUE"""),"HANDFREE DAP IPHONE DH-F18")</f>
        <v>HANDFREE DAP IPHONE DH-F18</v>
      </c>
    </row>
    <row r="173">
      <c r="A173" s="233" t="str">
        <f>IFERROR(__xludf.DUMMYFUNCTION("""COMPUTED_VALUE"""),"HANDFREE TYPE C PM-50")</f>
        <v>HANDFREE TYPE C PM-50</v>
      </c>
      <c r="F173" s="233" t="str">
        <f>IFERROR(__xludf.DUMMYFUNCTION("""COMPUTED_VALUE"""),"Handsfree Bluetooth TWS IPOD 3 AirPro")</f>
        <v>Handsfree Bluetooth TWS IPOD 3 AirPro</v>
      </c>
    </row>
    <row r="174">
      <c r="A174" s="233" t="str">
        <f>IFERROR(__xludf.DUMMYFUNCTION("""COMPUTED_VALUE"""),"HANDFREE VIVO TYPE C")</f>
        <v>HANDFREE VIVO TYPE C</v>
      </c>
      <c r="F174" s="233" t="str">
        <f>IFERROR(__xludf.DUMMYFUNCTION("""COMPUTED_VALUE"""),"Handsfree Bluetooth TWS I9S")</f>
        <v>Handsfree Bluetooth TWS I9S</v>
      </c>
    </row>
    <row r="175">
      <c r="A175" s="233" t="str">
        <f>IFERROR(__xludf.DUMMYFUNCTION("""COMPUTED_VALUE"""),"HANDFREE WELLCOMM SP-07")</f>
        <v>HANDFREE WELLCOMM SP-07</v>
      </c>
      <c r="F175" s="233" t="str">
        <f>IFERROR(__xludf.DUMMYFUNCTION("""COMPUTED_VALUE"""),"Handsfree Bluetooth TWS BMOT BT - 06")</f>
        <v>Handsfree Bluetooth TWS BMOT BT - 06</v>
      </c>
    </row>
    <row r="176">
      <c r="A176" s="233" t="str">
        <f>IFERROR(__xludf.DUMMYFUNCTION("""COMPUTED_VALUE"""),"Handsfree Bluetooth TWS BMOT BT - 06")</f>
        <v>Handsfree Bluetooth TWS BMOT BT - 06</v>
      </c>
      <c r="F176" s="233" t="str">
        <f>IFERROR(__xludf.DUMMYFUNCTION("""COMPUTED_VALUE"""),"Handsfree Bluetooth TWS Macaron i13S")</f>
        <v>Handsfree Bluetooth TWS Macaron i13S</v>
      </c>
    </row>
    <row r="177">
      <c r="A177" s="233" t="str">
        <f>IFERROR(__xludf.DUMMYFUNCTION("""COMPUTED_VALUE"""),"Handsfree Bluetooth TWS I9S")</f>
        <v>Handsfree Bluetooth TWS I9S</v>
      </c>
      <c r="F177" s="233" t="str">
        <f>IFERROR(__xludf.DUMMYFUNCTION("""COMPUTED_VALUE"""),"Handsfree BT TWS-700")</f>
        <v>Handsfree BT TWS-700</v>
      </c>
    </row>
    <row r="178">
      <c r="A178" s="233" t="str">
        <f>IFERROR(__xludf.DUMMYFUNCTION("""COMPUTED_VALUE"""),"Handsfree Bluetooth TWS IPOD 3 AirPro")</f>
        <v>Handsfree Bluetooth TWS IPOD 3 AirPro</v>
      </c>
      <c r="F178" s="233" t="str">
        <f>IFERROR(__xludf.DUMMYFUNCTION("""COMPUTED_VALUE"""),"HANDFREE VIVO TYPE C")</f>
        <v>HANDFREE VIVO TYPE C</v>
      </c>
    </row>
    <row r="179">
      <c r="A179" s="233" t="str">
        <f>IFERROR(__xludf.DUMMYFUNCTION("""COMPUTED_VALUE"""),"Handsfree Bluetooth TWS Macaron i13S")</f>
        <v>Handsfree Bluetooth TWS Macaron i13S</v>
      </c>
      <c r="F179" s="233" t="str">
        <f>IFERROR(__xludf.DUMMYFUNCTION("""COMPUTED_VALUE"""),"HANDFREE WELLCOMM SP-07")</f>
        <v>HANDFREE WELLCOMM SP-07</v>
      </c>
    </row>
    <row r="180">
      <c r="A180" s="233" t="str">
        <f>IFERROR(__xludf.DUMMYFUNCTION("""COMPUTED_VALUE"""),"Handsfree BT TWS-700")</f>
        <v>Handsfree BT TWS-700</v>
      </c>
      <c r="F180" s="233" t="str">
        <f>IFERROR(__xludf.DUMMYFUNCTION("""COMPUTED_VALUE"""),"HANDFREE ROBOT RE101S")</f>
        <v>HANDFREE ROBOT RE101S</v>
      </c>
    </row>
    <row r="181">
      <c r="A181" s="233" t="str">
        <f>IFERROR(__xludf.DUMMYFUNCTION("""COMPUTED_VALUE"""),"Handsfree Ori 100% Oppo AT-185")</f>
        <v>Handsfree Ori 100% Oppo AT-185</v>
      </c>
      <c r="F181" s="233" t="str">
        <f>IFERROR(__xludf.DUMMYFUNCTION("""COMPUTED_VALUE"""),"HANDFREE ROBOT RE10")</f>
        <v>HANDFREE ROBOT RE10</v>
      </c>
    </row>
    <row r="182">
      <c r="A182" s="233" t="str">
        <f>IFERROR(__xludf.DUMMYFUNCTION("""COMPUTED_VALUE"""),"Handsfree Ori 100% Samsung S8 AKG Type - C")</f>
        <v>Handsfree Ori 100% Samsung S8 AKG Type - C</v>
      </c>
      <c r="F182" s="233" t="str">
        <f>IFERROR(__xludf.DUMMYFUNCTION("""COMPUTED_VALUE"""),"HANDFREE ROBOR RE240S")</f>
        <v>HANDFREE ROBOR RE240S</v>
      </c>
    </row>
    <row r="183">
      <c r="A183" s="233" t="str">
        <f>IFERROR(__xludf.DUMMYFUNCTION("""COMPUTED_VALUE"""),"Handsfree Realme + Mic R899 (SKU RJA-HAND-0156)")</f>
        <v>Handsfree Realme + Mic R899 (SKU RJA-HAND-0156)</v>
      </c>
      <c r="F183" s="233" t="str">
        <f>IFERROR(__xludf.DUMMYFUNCTION("""COMPUTED_VALUE"""),"HANDFREE BANDO P47M")</f>
        <v>HANDFREE BANDO P47M</v>
      </c>
    </row>
    <row r="184">
      <c r="A184" s="233" t="str">
        <f>IFERROR(__xludf.DUMMYFUNCTION("""COMPUTED_VALUE"""),"Handsfree Realme + Mic R899 (SKU RJA-HAND-0159)")</f>
        <v>Handsfree Realme + Mic R899 (SKU RJA-HAND-0159)</v>
      </c>
      <c r="F184" s="233" t="str">
        <f>IFERROR(__xludf.DUMMYFUNCTION("""COMPUTED_VALUE"""),"Handsfree Ori 100% Oppo AT-185")</f>
        <v>Handsfree Ori 100% Oppo AT-185</v>
      </c>
    </row>
    <row r="185">
      <c r="A185" s="233" t="str">
        <f>IFERROR(__xludf.DUMMYFUNCTION("""COMPUTED_VALUE"""),"HANGING WATERPROOF PHONE CASE")</f>
        <v>HANGING WATERPROOF PHONE CASE</v>
      </c>
      <c r="F185" s="233" t="str">
        <f>IFERROR(__xludf.DUMMYFUNCTION("""COMPUTED_VALUE"""),"HANDFREE RECCI REP-L17")</f>
        <v>HANDFREE RECCI REP-L17</v>
      </c>
    </row>
    <row r="186">
      <c r="A186" s="233" t="str">
        <f>IFERROR(__xludf.DUMMYFUNCTION("""COMPUTED_VALUE"""),"HDMI 3 M DAP D-H09")</f>
        <v>HDMI 3 M DAP D-H09</v>
      </c>
      <c r="F186" s="233" t="str">
        <f>IFERROR(__xludf.DUMMYFUNCTION("""COMPUTED_VALUE"""),"HANGING WATERPROOF PHONE CASE")</f>
        <v>HANGING WATERPROOF PHONE CASE</v>
      </c>
    </row>
    <row r="187">
      <c r="A187" s="233" t="str">
        <f>IFERROR(__xludf.DUMMYFUNCTION("""COMPUTED_VALUE"""),"HDMI DAP D-H08")</f>
        <v>HDMI DAP D-H08</v>
      </c>
      <c r="F187" s="233" t="str">
        <f>IFERROR(__xludf.DUMMYFUNCTION("""COMPUTED_VALUE"""),"HDMI TO HDMI 1.5 M DAP D-H01")</f>
        <v>HDMI TO HDMI 1.5 M DAP D-H01</v>
      </c>
    </row>
    <row r="188">
      <c r="A188" s="233" t="str">
        <f>IFERROR(__xludf.DUMMYFUNCTION("""COMPUTED_VALUE"""),"HDMI EXTENDER (SKU RJA-HDMI-0198)")</f>
        <v>HDMI EXTENDER (SKU RJA-HDMI-0198)</v>
      </c>
      <c r="F188" s="233" t="str">
        <f>IFERROR(__xludf.DUMMYFUNCTION("""COMPUTED_VALUE"""),"HDMI 3 M DAP D-H09")</f>
        <v>HDMI 3 M DAP D-H09</v>
      </c>
    </row>
    <row r="189">
      <c r="A189" s="233" t="str">
        <f>IFERROR(__xludf.DUMMYFUNCTION("""COMPUTED_VALUE"""),"HDMI EXTENDER (SKU RJA-HDMI-0199)")</f>
        <v>HDMI EXTENDER (SKU RJA-HDMI-0199)</v>
      </c>
      <c r="F189" s="233" t="str">
        <f>IFERROR(__xludf.DUMMYFUNCTION("""COMPUTED_VALUE"""),"HDMI EXTENDER (SKU RJA-HDMI-0198)")</f>
        <v>HDMI EXTENDER (SKU RJA-HDMI-0198)</v>
      </c>
    </row>
    <row r="190">
      <c r="A190" s="233" t="str">
        <f>IFERROR(__xludf.DUMMYFUNCTION("""COMPUTED_VALUE"""),"HDMI TO HDMI 1.5 M DAP D-H01")</f>
        <v>HDMI TO HDMI 1.5 M DAP D-H01</v>
      </c>
      <c r="F190" s="233" t="str">
        <f>IFERROR(__xludf.DUMMYFUNCTION("""COMPUTED_VALUE"""),"HDMI EXTENDER (SKU RJA-HDMI-0199)")</f>
        <v>HDMI EXTENDER (SKU RJA-HDMI-0199)</v>
      </c>
    </row>
    <row r="191">
      <c r="A191" s="233" t="str">
        <f>IFERROR(__xludf.DUMMYFUNCTION("""COMPUTED_VALUE"""),"HEADPHONE OLIKE H1S TITAN WIRELESS BLACK (SKU RJA-HEAD-0205)")</f>
        <v>HEADPHONE OLIKE H1S TITAN WIRELESS BLACK (SKU RJA-HEAD-0205)</v>
      </c>
      <c r="F191" s="233" t="str">
        <f>IFERROR(__xludf.DUMMYFUNCTION("""COMPUTED_VALUE"""),"HDMI DAP D-H08")</f>
        <v>HDMI DAP D-H08</v>
      </c>
    </row>
    <row r="192">
      <c r="A192" s="233" t="str">
        <f>IFERROR(__xludf.DUMMYFUNCTION("""COMPUTED_VALUE"""),"HEADPHONE OLIKE H1S TITAN WIRELESS BLACK (SKU RJA-HEAD-0206)")</f>
        <v>HEADPHONE OLIKE H1S TITAN WIRELESS BLACK (SKU RJA-HEAD-0206)</v>
      </c>
      <c r="F192" s="233" t="str">
        <f>IFERROR(__xludf.DUMMYFUNCTION("""COMPUTED_VALUE"""),"HEADSET BANDO PPT990 PROMO")</f>
        <v>HEADSET BANDO PPT990 PROMO</v>
      </c>
    </row>
    <row r="193">
      <c r="A193" s="233" t="str">
        <f>IFERROR(__xludf.DUMMYFUNCTION("""COMPUTED_VALUE"""),"HEADSET BANDO P10")</f>
        <v>HEADSET BANDO P10</v>
      </c>
      <c r="F193" s="233" t="str">
        <f>IFERROR(__xludf.DUMMYFUNCTION("""COMPUTED_VALUE"""),"HEADSET BANDO P10")</f>
        <v>HEADSET BANDO P10</v>
      </c>
    </row>
    <row r="194">
      <c r="A194" s="233" t="str">
        <f>IFERROR(__xludf.DUMMYFUNCTION("""COMPUTED_VALUE"""),"HEADSET BANDO PPT990 PROMO")</f>
        <v>HEADSET BANDO PPT990 PROMO</v>
      </c>
      <c r="F194" s="233" t="str">
        <f>IFERROR(__xludf.DUMMYFUNCTION("""COMPUTED_VALUE"""),"HEADPHONE OLIKE H1S TITAN WIRELESS BLACK (SKU RJA-HEAD-0205)")</f>
        <v>HEADPHONE OLIKE H1S TITAN WIRELESS BLACK (SKU RJA-HEAD-0205)</v>
      </c>
    </row>
    <row r="195">
      <c r="A195" s="233" t="str">
        <f>IFERROR(__xludf.DUMMYFUNCTION("""COMPUTED_VALUE"""),"HF Bluetooth D7 + Slot MicroSD")</f>
        <v>HF Bluetooth D7 + Slot MicroSD</v>
      </c>
      <c r="F195" s="233" t="str">
        <f>IFERROR(__xludf.DUMMYFUNCTION("""COMPUTED_VALUE"""),"HEADPHONE OLIKE H1S TITAN WIRELESS BLACK (SKU RJA-HEAD-0206)")</f>
        <v>HEADPHONE OLIKE H1S TITAN WIRELESS BLACK (SKU RJA-HEAD-0206)</v>
      </c>
    </row>
    <row r="196">
      <c r="A196" s="233" t="str">
        <f>IFERROR(__xludf.DUMMYFUNCTION("""COMPUTED_VALUE"""),"HF Bluetooth HB-Mini campur")</f>
        <v>HF Bluetooth HB-Mini campur</v>
      </c>
      <c r="F196" s="233" t="str">
        <f>IFERROR(__xludf.DUMMYFUNCTION("""COMPUTED_VALUE"""),"HF Bluetooth HB-Mini campur")</f>
        <v>HF Bluetooth HB-Mini campur</v>
      </c>
    </row>
    <row r="197">
      <c r="A197" s="233" t="str">
        <f>IFERROR(__xludf.DUMMYFUNCTION("""COMPUTED_VALUE"""),"HF Bluetooth i-12 Macaron")</f>
        <v>HF Bluetooth i-12 Macaron</v>
      </c>
      <c r="F197" s="233" t="str">
        <f>IFERROR(__xludf.DUMMYFUNCTION("""COMPUTED_VALUE"""),"HF Bluetooth D7 + Slot MicroSD")</f>
        <v>HF Bluetooth D7 + Slot MicroSD</v>
      </c>
    </row>
    <row r="198">
      <c r="A198" s="233" t="str">
        <f>IFERROR(__xludf.DUMMYFUNCTION("""COMPUTED_VALUE"""),"HF Bluetooth TWS i7s (SKU RJA-HFBL-0934)")</f>
        <v>HF Bluetooth TWS i7s (SKU RJA-HFBL-0934)</v>
      </c>
      <c r="F198" s="233" t="str">
        <f>IFERROR(__xludf.DUMMYFUNCTION("""COMPUTED_VALUE"""),"HF Bluetooth TWS Ipod 4")</f>
        <v>HF Bluetooth TWS Ipod 4</v>
      </c>
    </row>
    <row r="199">
      <c r="A199" s="233" t="str">
        <f>IFERROR(__xludf.DUMMYFUNCTION("""COMPUTED_VALUE"""),"HF Bluetooth TWS i7s (SKU RJA-HFBL-0935)")</f>
        <v>HF Bluetooth TWS i7s (SKU RJA-HFBL-0935)</v>
      </c>
      <c r="F199" s="233" t="str">
        <f>IFERROR(__xludf.DUMMYFUNCTION("""COMPUTED_VALUE"""),"HF Bluetooth TWS i7s (SKU RJA-HFBL-0934)")</f>
        <v>HF Bluetooth TWS i7s (SKU RJA-HFBL-0934)</v>
      </c>
    </row>
    <row r="200">
      <c r="A200" s="233" t="str">
        <f>IFERROR(__xludf.DUMMYFUNCTION("""COMPUTED_VALUE"""),"HF Bluetooth TWS Ipod 4")</f>
        <v>HF Bluetooth TWS Ipod 4</v>
      </c>
      <c r="F200" s="233" t="str">
        <f>IFERROR(__xludf.DUMMYFUNCTION("""COMPUTED_VALUE"""),"HF Bluetooth TWS i7s (SKU RJA-HFBL-0935)")</f>
        <v>HF Bluetooth TWS i7s (SKU RJA-HFBL-0935)</v>
      </c>
    </row>
    <row r="201">
      <c r="A201" s="233" t="str">
        <f>IFERROR(__xludf.DUMMYFUNCTION("""COMPUTED_VALUE"""),"HF J + Mic JB-02")</f>
        <v>HF J + Mic JB-02</v>
      </c>
      <c r="F201" s="233" t="str">
        <f>IFERROR(__xludf.DUMMYFUNCTION("""COMPUTED_VALUE"""),"HF Bluetooth i-12 Macaron")</f>
        <v>HF Bluetooth i-12 Macaron</v>
      </c>
    </row>
    <row r="202">
      <c r="A202" s="233" t="str">
        <f>IFERROR(__xludf.DUMMYFUNCTION("""COMPUTED_VALUE"""),"HF Ori 100% Samsung S10+ Besi Packing Mika")</f>
        <v>HF Ori 100% Samsung S10+ Besi Packing Mika</v>
      </c>
      <c r="F202" s="233" t="str">
        <f>IFERROR(__xludf.DUMMYFUNCTION("""COMPUTED_VALUE"""),"HF J + Mic JB-02")</f>
        <v>HF J + Mic JB-02</v>
      </c>
    </row>
    <row r="203">
      <c r="A203" s="233" t="str">
        <f>IFERROR(__xludf.DUMMYFUNCTION("""COMPUTED_VALUE"""),"HIGHT POWER HEADLAMP")</f>
        <v>HIGHT POWER HEADLAMP</v>
      </c>
      <c r="F203" s="233" t="str">
        <f>IFERROR(__xludf.DUMMYFUNCTION("""COMPUTED_VALUE"""),"HF Ori 100% Samsung S10+ Besi Packing Mika")</f>
        <v>HF Ori 100% Samsung S10+ Besi Packing Mika</v>
      </c>
    </row>
    <row r="204">
      <c r="A204" s="233" t="str">
        <f>IFERROR(__xludf.DUMMYFUNCTION("""COMPUTED_VALUE"""),"HOLDER CAR DAP D-CZ11")</f>
        <v>HOLDER CAR DAP D-CZ11</v>
      </c>
      <c r="F204" s="233" t="str">
        <f>IFERROR(__xludf.DUMMYFUNCTION("""COMPUTED_VALUE"""),"HIGHT POWER HEADLAMP")</f>
        <v>HIGHT POWER HEADLAMP</v>
      </c>
    </row>
    <row r="205">
      <c r="A205" s="233" t="str">
        <f>IFERROR(__xludf.DUMMYFUNCTION("""COMPUTED_VALUE"""),"HOLDER HD60 ASTRONOT")</f>
        <v>HOLDER HD60 ASTRONOT</v>
      </c>
      <c r="F205" s="233" t="str">
        <f>IFERROR(__xludf.DUMMYFUNCTION("""COMPUTED_VALUE"""),"HOLDER MOBIL HD-36")</f>
        <v>HOLDER MOBIL HD-36</v>
      </c>
    </row>
    <row r="206">
      <c r="A206" s="233" t="str">
        <f>IFERROR(__xludf.DUMMYFUNCTION("""COMPUTED_VALUE"""),"HOLDER HS0005 BLACK")</f>
        <v>HOLDER HS0005 BLACK</v>
      </c>
      <c r="F206" s="233" t="str">
        <f>IFERROR(__xludf.DUMMYFUNCTION("""COMPUTED_VALUE"""),"HOLDER MOBIL HD009 WELCOME")</f>
        <v>HOLDER MOBIL HD009 WELCOME</v>
      </c>
    </row>
    <row r="207">
      <c r="A207" s="233" t="str">
        <f>IFERROR(__xludf.DUMMYFUNCTION("""COMPUTED_VALUE"""),"Holder Karakter HD52")</f>
        <v>Holder Karakter HD52</v>
      </c>
      <c r="F207" s="233" t="str">
        <f>IFERROR(__xludf.DUMMYFUNCTION("""COMPUTED_VALUE"""),"HOLDER MEJA DAP D-CZ15")</f>
        <v>HOLDER MEJA DAP D-CZ15</v>
      </c>
    </row>
    <row r="208">
      <c r="A208" s="233" t="str">
        <f>IFERROR(__xludf.DUMMYFUNCTION("""COMPUTED_VALUE"""),"Holder Magnetic CT022")</f>
        <v>Holder Magnetic CT022</v>
      </c>
      <c r="F208" s="233" t="str">
        <f>IFERROR(__xludf.DUMMYFUNCTION("""COMPUTED_VALUE"""),"Holder Stand Hp Rotasi 360derajat Vango VA-09 , Full Besi (SKU RJA-HOLD-0240)")</f>
        <v>Holder Stand Hp Rotasi 360derajat Vango VA-09 , Full Besi (SKU RJA-HOLD-0240)</v>
      </c>
    </row>
    <row r="209">
      <c r="A209" s="233" t="str">
        <f>IFERROR(__xludf.DUMMYFUNCTION("""COMPUTED_VALUE"""),"HOLDER MEJA DAP D-CZ15")</f>
        <v>HOLDER MEJA DAP D-CZ15</v>
      </c>
      <c r="F209" s="233" t="str">
        <f>IFERROR(__xludf.DUMMYFUNCTION("""COMPUTED_VALUE"""),"HOLDER T2 METAL ALMUNIUM BESI ROTASI360")</f>
        <v>HOLDER T2 METAL ALMUNIUM BESI ROTASI360</v>
      </c>
    </row>
    <row r="210">
      <c r="A210" s="233" t="str">
        <f>IFERROR(__xludf.DUMMYFUNCTION("""COMPUTED_VALUE"""),"Holder Meja HD-25 (SKU RJA-HOLD-0274)")</f>
        <v>Holder Meja HD-25 (SKU RJA-HOLD-0274)</v>
      </c>
      <c r="F210" s="233" t="str">
        <f>IFERROR(__xludf.DUMMYFUNCTION("""COMPUTED_VALUE"""),"Holder Phone Crayon Sinchan")</f>
        <v>Holder Phone Crayon Sinchan</v>
      </c>
    </row>
    <row r="211">
      <c r="A211" s="233" t="str">
        <f>IFERROR(__xludf.DUMMYFUNCTION("""COMPUTED_VALUE"""),"Holder Meja HD-25 (SKU RJA-HOLD-0275)")</f>
        <v>Holder Meja HD-25 (SKU RJA-HOLD-0275)</v>
      </c>
      <c r="F211" s="233" t="str">
        <f>IFERROR(__xludf.DUMMYFUNCTION("""COMPUTED_VALUE"""),"Holder Mobil HD - 61")</f>
        <v>Holder Mobil HD - 61</v>
      </c>
    </row>
    <row r="212">
      <c r="A212" s="233" t="str">
        <f>IFERROR(__xludf.DUMMYFUNCTION("""COMPUTED_VALUE"""),"HOLDER MEJA HD-28")</f>
        <v>HOLDER MEJA HD-28</v>
      </c>
      <c r="F212" s="233" t="str">
        <f>IFERROR(__xludf.DUMMYFUNCTION("""COMPUTED_VALUE"""),"Holder Mobil HD-19 Dashboard (SKU RJA-HOLD-0244)")</f>
        <v>Holder Mobil HD-19 Dashboard (SKU RJA-HOLD-0244)</v>
      </c>
    </row>
    <row r="213">
      <c r="A213" s="233" t="str">
        <f>IFERROR(__xludf.DUMMYFUNCTION("""COMPUTED_VALUE"""),"HOLDER MEJA HD26")</f>
        <v>HOLDER MEJA HD26</v>
      </c>
      <c r="F213" s="233" t="str">
        <f>IFERROR(__xludf.DUMMYFUNCTION("""COMPUTED_VALUE"""),"Holder phone ventilasi ac x21")</f>
        <v>Holder phone ventilasi ac x21</v>
      </c>
    </row>
    <row r="214">
      <c r="A214" s="233" t="str">
        <f>IFERROR(__xludf.DUMMYFUNCTION("""COMPUTED_VALUE"""),"HOLDER MEJA HM003 BLACK")</f>
        <v>HOLDER MEJA HM003 BLACK</v>
      </c>
      <c r="F214" s="233" t="str">
        <f>IFERROR(__xludf.DUMMYFUNCTION("""COMPUTED_VALUE"""),"Holder Motor Stang HM-29")</f>
        <v>Holder Motor Stang HM-29</v>
      </c>
    </row>
    <row r="215">
      <c r="A215" s="233" t="str">
        <f>IFERROR(__xludf.DUMMYFUNCTION("""COMPUTED_VALUE"""),"HOLDER MEJA HM003 WHITE")</f>
        <v>HOLDER MEJA HM003 WHITE</v>
      </c>
      <c r="F215" s="233" t="str">
        <f>IFERROR(__xludf.DUMMYFUNCTION("""COMPUTED_VALUE"""),"Holder Mobil HD - 36 (SKU RJA-HOLD-0247)")</f>
        <v>Holder Mobil HD - 36 (SKU RJA-HOLD-0247)</v>
      </c>
    </row>
    <row r="216">
      <c r="A216" s="233" t="str">
        <f>IFERROR(__xludf.DUMMYFUNCTION("""COMPUTED_VALUE"""),"HOLDER MOBIL AC VEHICULAR MOBILE PHONE HOLDER")</f>
        <v>HOLDER MOBIL AC VEHICULAR MOBILE PHONE HOLDER</v>
      </c>
      <c r="F216" s="233" t="str">
        <f>IFERROR(__xludf.DUMMYFUNCTION("""COMPUTED_VALUE"""),"Holder Mobil Dashboard Vango VA-01")</f>
        <v>Holder Mobil Dashboard Vango VA-01</v>
      </c>
    </row>
    <row r="217">
      <c r="A217" s="233" t="str">
        <f>IFERROR(__xludf.DUMMYFUNCTION("""COMPUTED_VALUE"""),"Holder Mobil Dashboard Vango VA-01")</f>
        <v>Holder Mobil Dashboard Vango VA-01</v>
      </c>
      <c r="F217" s="233" t="str">
        <f>IFERROR(__xludf.DUMMYFUNCTION("""COMPUTED_VALUE"""),"Holder Phone Vakum Magnet , Vango VA-04")</f>
        <v>Holder Phone Vakum Magnet , Vango VA-04</v>
      </c>
    </row>
    <row r="218">
      <c r="A218" s="233" t="str">
        <f>IFERROR(__xludf.DUMMYFUNCTION("""COMPUTED_VALUE"""),"Holder Mobil Gelas HD-41")</f>
        <v>Holder Mobil Gelas HD-41</v>
      </c>
      <c r="F218" s="233" t="str">
        <f>IFERROR(__xludf.DUMMYFUNCTION("""COMPUTED_VALUE"""),"HOLDER MOTOR VANGO VA08")</f>
        <v>HOLDER MOTOR VANGO VA08</v>
      </c>
    </row>
    <row r="219">
      <c r="A219" s="233" t="str">
        <f>IFERROR(__xludf.DUMMYFUNCTION("""COMPUTED_VALUE"""),"HOLDER MOBIL HB018")</f>
        <v>HOLDER MOBIL HB018</v>
      </c>
      <c r="F219" s="233" t="str">
        <f>IFERROR(__xludf.DUMMYFUNCTION("""COMPUTED_VALUE"""),"Holder Motor Universal HM-36")</f>
        <v>Holder Motor Universal HM-36</v>
      </c>
    </row>
    <row r="220">
      <c r="A220" s="233" t="str">
        <f>IFERROR(__xludf.DUMMYFUNCTION("""COMPUTED_VALUE"""),"Holder Mobil HD - 36 (SKU RJA-HOLD-0247)")</f>
        <v>Holder Mobil HD - 36 (SKU RJA-HOLD-0247)</v>
      </c>
      <c r="F220" s="233" t="str">
        <f>IFERROR(__xludf.DUMMYFUNCTION("""COMPUTED_VALUE"""),"Holder Stand Hp Rotasi 360derajat Vango VA-09 , Full Besi (SKU RJA-HOLD-0252)")</f>
        <v>Holder Stand Hp Rotasi 360derajat Vango VA-09 , Full Besi (SKU RJA-HOLD-0252)</v>
      </c>
    </row>
    <row r="221">
      <c r="A221" s="233" t="str">
        <f>IFERROR(__xludf.DUMMYFUNCTION("""COMPUTED_VALUE"""),"Holder Mobil HD - 36 (SKU RJA-HOLD-0273)")</f>
        <v>Holder Mobil HD - 36 (SKU RJA-HOLD-0273)</v>
      </c>
      <c r="F221" s="233" t="str">
        <f>IFERROR(__xludf.DUMMYFUNCTION("""COMPUTED_VALUE"""),"Holder Stand Hp Rotasi 360derajat Vango VA-10 , Full Besi")</f>
        <v>Holder Stand Hp Rotasi 360derajat Vango VA-10 , Full Besi</v>
      </c>
    </row>
    <row r="222">
      <c r="A222" s="233" t="str">
        <f>IFERROR(__xludf.DUMMYFUNCTION("""COMPUTED_VALUE"""),"Holder Mobil HD - 61")</f>
        <v>Holder Mobil HD - 61</v>
      </c>
      <c r="F222" s="233" t="str">
        <f>IFERROR(__xludf.DUMMYFUNCTION("""COMPUTED_VALUE"""),"Holder Phone Bracket Magnetic , Vango VA-15")</f>
        <v>Holder Phone Bracket Magnetic , Vango VA-15</v>
      </c>
    </row>
    <row r="223">
      <c r="A223" s="233" t="str">
        <f>IFERROR(__xludf.DUMMYFUNCTION("""COMPUTED_VALUE"""),"Holder Mobil HD-07")</f>
        <v>Holder Mobil HD-07</v>
      </c>
      <c r="F223" s="233" t="str">
        <f>IFERROR(__xludf.DUMMYFUNCTION("""COMPUTED_VALUE"""),"Holder Phone Dual Magnetic , FunStar F-02")</f>
        <v>Holder Phone Dual Magnetic , FunStar F-02</v>
      </c>
    </row>
    <row r="224">
      <c r="A224" s="233" t="str">
        <f>IFERROR(__xludf.DUMMYFUNCTION("""COMPUTED_VALUE"""),"Holder Mobil HD-09")</f>
        <v>Holder Mobil HD-09</v>
      </c>
      <c r="F224" s="233" t="str">
        <f>IFERROR(__xludf.DUMMYFUNCTION("""COMPUTED_VALUE"""),"Holder Motor Spion - HM - 32")</f>
        <v>Holder Motor Spion - HM - 32</v>
      </c>
    </row>
    <row r="225">
      <c r="A225" s="233" t="str">
        <f>IFERROR(__xludf.DUMMYFUNCTION("""COMPUTED_VALUE"""),"Holder Mobil HD-15 + Pack")</f>
        <v>Holder Mobil HD-15 + Pack</v>
      </c>
      <c r="F225" s="233" t="str">
        <f>IFERROR(__xludf.DUMMYFUNCTION("""COMPUTED_VALUE"""),"Holder Magnetic CT022")</f>
        <v>Holder Magnetic CT022</v>
      </c>
    </row>
    <row r="226">
      <c r="A226" s="233" t="str">
        <f>IFERROR(__xludf.DUMMYFUNCTION("""COMPUTED_VALUE"""),"Holder Mobil HD-19 Dashboard (SKU RJA-HOLD-0244)")</f>
        <v>Holder Mobil HD-19 Dashboard (SKU RJA-HOLD-0244)</v>
      </c>
      <c r="F226" s="233" t="str">
        <f>IFERROR(__xludf.DUMMYFUNCTION("""COMPUTED_VALUE"""),"Holder Motor PT-29 Spion")</f>
        <v>Holder Motor PT-29 Spion</v>
      </c>
    </row>
    <row r="227">
      <c r="A227" s="233" t="str">
        <f>IFERROR(__xludf.DUMMYFUNCTION("""COMPUTED_VALUE"""),"Holder Mobil HD-19 Dashboard (SKU RJA-HOLD-0270)")</f>
        <v>Holder Mobil HD-19 Dashboard (SKU RJA-HOLD-0270)</v>
      </c>
      <c r="F227" s="233" t="str">
        <f>IFERROR(__xludf.DUMMYFUNCTION("""COMPUTED_VALUE"""),"Holder Spion M3 Besi")</f>
        <v>Holder Spion M3 Besi</v>
      </c>
    </row>
    <row r="228">
      <c r="A228" s="233" t="str">
        <f>IFERROR(__xludf.DUMMYFUNCTION("""COMPUTED_VALUE"""),"HOLDER MOBIL HD-36")</f>
        <v>HOLDER MOBIL HD-36</v>
      </c>
      <c r="F228" s="233" t="str">
        <f>IFERROR(__xludf.DUMMYFUNCTION("""COMPUTED_VALUE"""),"Holder Phone Vakum Magnet , Vango VA-05")</f>
        <v>Holder Phone Vakum Magnet , Vango VA-05</v>
      </c>
    </row>
    <row r="229">
      <c r="A229" s="233" t="str">
        <f>IFERROR(__xludf.DUMMYFUNCTION("""COMPUTED_VALUE"""),"HOLDER MOBIL HD002 BLACK")</f>
        <v>HOLDER MOBIL HD002 BLACK</v>
      </c>
      <c r="F229" s="233" t="str">
        <f>IFERROR(__xludf.DUMMYFUNCTION("""COMPUTED_VALUE"""),"Holder Motor Stang HM - 12")</f>
        <v>Holder Motor Stang HM - 12</v>
      </c>
    </row>
    <row r="230">
      <c r="A230" s="233" t="str">
        <f>IFERROR(__xludf.DUMMYFUNCTION("""COMPUTED_VALUE"""),"HOLDER MOBIL HD007 BLACK")</f>
        <v>HOLDER MOBIL HD007 BLACK</v>
      </c>
      <c r="F230" s="233" t="str">
        <f>IFERROR(__xludf.DUMMYFUNCTION("""COMPUTED_VALUE"""),"Holder Motor Spion X-Grip HM-17")</f>
        <v>Holder Motor Spion X-Grip HM-17</v>
      </c>
    </row>
    <row r="231">
      <c r="A231" s="233" t="str">
        <f>IFERROR(__xludf.DUMMYFUNCTION("""COMPUTED_VALUE"""),"HOLDER MOBIL HD009 WELCOME")</f>
        <v>HOLDER MOBIL HD009 WELCOME</v>
      </c>
      <c r="F231" s="233" t="str">
        <f>IFERROR(__xludf.DUMMYFUNCTION("""COMPUTED_VALUE"""),"Holder Motor Spion HM -26")</f>
        <v>Holder Motor Spion HM -26</v>
      </c>
    </row>
    <row r="232">
      <c r="A232" s="233" t="str">
        <f>IFERROR(__xludf.DUMMYFUNCTION("""COMPUTED_VALUE"""),"HOLDER MOBIL HD013 BLACK")</f>
        <v>HOLDER MOBIL HD013 BLACK</v>
      </c>
      <c r="F232" s="233" t="str">
        <f>IFERROR(__xludf.DUMMYFUNCTION("""COMPUTED_VALUE"""),"Holder Motor Spion Besi HM-20 Hitam")</f>
        <v>Holder Motor Spion Besi HM-20 Hitam</v>
      </c>
    </row>
    <row r="233">
      <c r="A233" s="233" t="str">
        <f>IFERROR(__xludf.DUMMYFUNCTION("""COMPUTED_VALUE"""),"HOLDER MOBIL HD016")</f>
        <v>HOLDER MOBIL HD016</v>
      </c>
      <c r="F233" s="233" t="str">
        <f>IFERROR(__xludf.DUMMYFUNCTION("""COMPUTED_VALUE"""),"Holder Motor STANG Besi HM-22 Hitam")</f>
        <v>Holder Motor STANG Besi HM-22 Hitam</v>
      </c>
    </row>
    <row r="234">
      <c r="A234" s="233" t="str">
        <f>IFERROR(__xludf.DUMMYFUNCTION("""COMPUTED_VALUE"""),"HOLDER MOBIL HD017")</f>
        <v>HOLDER MOBIL HD017</v>
      </c>
      <c r="F234" s="233" t="str">
        <f>IFERROR(__xludf.DUMMYFUNCTION("""COMPUTED_VALUE"""),"Holder Motor + USB HMT-01")</f>
        <v>Holder Motor + USB HMT-01</v>
      </c>
    </row>
    <row r="235">
      <c r="A235" s="233" t="str">
        <f>IFERROR(__xludf.DUMMYFUNCTION("""COMPUTED_VALUE"""),"HOLDER MOBIL HD13")</f>
        <v>HOLDER MOBIL HD13</v>
      </c>
      <c r="F235" s="233" t="str">
        <f>IFERROR(__xludf.DUMMYFUNCTION("""COMPUTED_VALUE"""),"Holder Mobil Universal Dashboard , Vango VA-03")</f>
        <v>Holder Mobil Universal Dashboard , Vango VA-03</v>
      </c>
    </row>
    <row r="236">
      <c r="A236" s="233" t="str">
        <f>IFERROR(__xludf.DUMMYFUNCTION("""COMPUTED_VALUE"""),"HOLDER MOBIL HD61")</f>
        <v>HOLDER MOBIL HD61</v>
      </c>
      <c r="F236" s="233" t="str">
        <f>IFERROR(__xludf.DUMMYFUNCTION("""COMPUTED_VALUE"""),"Holder Mobil Spion HD-51")</f>
        <v>Holder Mobil Spion HD-51</v>
      </c>
    </row>
    <row r="237">
      <c r="A237" s="233" t="str">
        <f>IFERROR(__xludf.DUMMYFUNCTION("""COMPUTED_VALUE"""),"HOLDER MOBIL HL-3600")</f>
        <v>HOLDER MOBIL HL-3600</v>
      </c>
      <c r="F237" s="233" t="str">
        <f>IFERROR(__xludf.DUMMYFUNCTION("""COMPUTED_VALUE"""),"Holder Mobil SH - 3100 Dashboard")</f>
        <v>Holder Mobil SH - 3100 Dashboard</v>
      </c>
    </row>
    <row r="238">
      <c r="A238" s="233" t="str">
        <f>IFERROR(__xludf.DUMMYFUNCTION("""COMPUTED_VALUE"""),"Holder Mobil SH - 3100 Dashboard")</f>
        <v>Holder Mobil SH - 3100 Dashboard</v>
      </c>
      <c r="F238" s="233" t="str">
        <f>IFERROR(__xludf.DUMMYFUNCTION("""COMPUTED_VALUE"""),"Holder Mobil HD-19 Dashboard (SKU RJA-HOLD-0270)")</f>
        <v>Holder Mobil HD-19 Dashboard (SKU RJA-HOLD-0270)</v>
      </c>
    </row>
    <row r="239">
      <c r="A239" s="233" t="str">
        <f>IFERROR(__xludf.DUMMYFUNCTION("""COMPUTED_VALUE"""),"Holder Mobil Spion HD-51")</f>
        <v>Holder Mobil Spion HD-51</v>
      </c>
      <c r="F239" s="233" t="str">
        <f>IFERROR(__xludf.DUMMYFUNCTION("""COMPUTED_VALUE"""),"Holder Mobil HD-09")</f>
        <v>Holder Mobil HD-09</v>
      </c>
    </row>
    <row r="240">
      <c r="A240" s="233" t="str">
        <f>IFERROR(__xludf.DUMMYFUNCTION("""COMPUTED_VALUE"""),"Holder Mobil Spion HD-59")</f>
        <v>Holder Mobil Spion HD-59</v>
      </c>
      <c r="F240" s="233" t="str">
        <f>IFERROR(__xludf.DUMMYFUNCTION("""COMPUTED_VALUE"""),"Holder Mobil HD-07")</f>
        <v>Holder Mobil HD-07</v>
      </c>
    </row>
    <row r="241">
      <c r="A241" s="233" t="str">
        <f>IFERROR(__xludf.DUMMYFUNCTION("""COMPUTED_VALUE"""),"HOLDER MOBIL SUNVISOR")</f>
        <v>HOLDER MOBIL SUNVISOR</v>
      </c>
      <c r="F241" s="233" t="str">
        <f>IFERROR(__xludf.DUMMYFUNCTION("""COMPUTED_VALUE"""),"Holder Mobil HD - 36 (SKU RJA-HOLD-0273)")</f>
        <v>Holder Mobil HD - 36 (SKU RJA-HOLD-0273)</v>
      </c>
    </row>
    <row r="242">
      <c r="A242" s="233" t="str">
        <f>IFERROR(__xludf.DUMMYFUNCTION("""COMPUTED_VALUE"""),"Holder Mobil Universal Dashboard , Vango VA-03")</f>
        <v>Holder Mobil Universal Dashboard , Vango VA-03</v>
      </c>
      <c r="F242" s="233" t="str">
        <f>IFERROR(__xludf.DUMMYFUNCTION("""COMPUTED_VALUE"""),"Holder Meja HD-25 (SKU RJA-HOLD-0274)")</f>
        <v>Holder Meja HD-25 (SKU RJA-HOLD-0274)</v>
      </c>
    </row>
    <row r="243">
      <c r="A243" s="233" t="str">
        <f>IFERROR(__xludf.DUMMYFUNCTION("""COMPUTED_VALUE"""),"Holder Motor + USB HMT-01")</f>
        <v>Holder Motor + USB HMT-01</v>
      </c>
      <c r="F243" s="233" t="str">
        <f>IFERROR(__xludf.DUMMYFUNCTION("""COMPUTED_VALUE"""),"Holder Meja HD-25 (SKU RJA-HOLD-0275)")</f>
        <v>Holder Meja HD-25 (SKU RJA-HOLD-0275)</v>
      </c>
    </row>
    <row r="244">
      <c r="A244" s="233" t="str">
        <f>IFERROR(__xludf.DUMMYFUNCTION("""COMPUTED_VALUE"""),"HOLDER MOTOR HS007 BLACK")</f>
        <v>HOLDER MOTOR HS007 BLACK</v>
      </c>
      <c r="F244" s="233" t="str">
        <f>IFERROR(__xludf.DUMMYFUNCTION("""COMPUTED_VALUE"""),"HOLDER CAR DAP D-CZ11")</f>
        <v>HOLDER CAR DAP D-CZ11</v>
      </c>
    </row>
    <row r="245">
      <c r="A245" s="233" t="str">
        <f>IFERROR(__xludf.DUMMYFUNCTION("""COMPUTED_VALUE"""),"HOLDER MOTOR HS010 BLACK")</f>
        <v>HOLDER MOTOR HS010 BLACK</v>
      </c>
      <c r="F245" s="233" t="str">
        <f>IFERROR(__xludf.DUMMYFUNCTION("""COMPUTED_VALUE"""),"HOLDER SINCAN")</f>
        <v>HOLDER SINCAN</v>
      </c>
    </row>
    <row r="246">
      <c r="A246" s="233" t="str">
        <f>IFERROR(__xludf.DUMMYFUNCTION("""COMPUTED_VALUE"""),"Holder Motor Karakter Spion HM-38")</f>
        <v>Holder Motor Karakter Spion HM-38</v>
      </c>
      <c r="F246" s="233" t="str">
        <f>IFERROR(__xludf.DUMMYFUNCTION("""COMPUTED_VALUE"""),"HOLDER MOBIL HD002 BLACK")</f>
        <v>HOLDER MOBIL HD002 BLACK</v>
      </c>
    </row>
    <row r="247">
      <c r="A247" s="233" t="str">
        <f>IFERROR(__xludf.DUMMYFUNCTION("""COMPUTED_VALUE"""),"Holder Motor PT-29 Spion")</f>
        <v>Holder Motor PT-29 Spion</v>
      </c>
      <c r="F247" s="233" t="str">
        <f>IFERROR(__xludf.DUMMYFUNCTION("""COMPUTED_VALUE"""),"HOLDER MEJA HM003 BLACK")</f>
        <v>HOLDER MEJA HM003 BLACK</v>
      </c>
    </row>
    <row r="248">
      <c r="A248" s="233" t="str">
        <f>IFERROR(__xludf.DUMMYFUNCTION("""COMPUTED_VALUE"""),"Holder Motor Spion - HM - 32")</f>
        <v>Holder Motor Spion - HM - 32</v>
      </c>
      <c r="F248" s="233" t="str">
        <f>IFERROR(__xludf.DUMMYFUNCTION("""COMPUTED_VALUE"""),"HOLDER MEJA HM003 WHITE")</f>
        <v>HOLDER MEJA HM003 WHITE</v>
      </c>
    </row>
    <row r="249">
      <c r="A249" s="233" t="str">
        <f>IFERROR(__xludf.DUMMYFUNCTION("""COMPUTED_VALUE"""),"Holder Motor Spion Besi HM-20 Hitam")</f>
        <v>Holder Motor Spion Besi HM-20 Hitam</v>
      </c>
      <c r="F249" s="233" t="str">
        <f>IFERROR(__xludf.DUMMYFUNCTION("""COMPUTED_VALUE"""),"HOLDER MOBIL HD007 BLACK")</f>
        <v>HOLDER MOBIL HD007 BLACK</v>
      </c>
    </row>
    <row r="250">
      <c r="A250" s="233" t="str">
        <f>IFERROR(__xludf.DUMMYFUNCTION("""COMPUTED_VALUE"""),"Holder Motor Spion HM -26")</f>
        <v>Holder Motor Spion HM -26</v>
      </c>
      <c r="F250" s="233" t="str">
        <f>IFERROR(__xludf.DUMMYFUNCTION("""COMPUTED_VALUE"""),"HOLDER MOBIL HD013 BLACK")</f>
        <v>HOLDER MOBIL HD013 BLACK</v>
      </c>
    </row>
    <row r="251">
      <c r="A251" s="233" t="str">
        <f>IFERROR(__xludf.DUMMYFUNCTION("""COMPUTED_VALUE"""),"Holder Motor Spion X-Grip HM-17")</f>
        <v>Holder Motor Spion X-Grip HM-17</v>
      </c>
      <c r="F251" s="233" t="str">
        <f>IFERROR(__xludf.DUMMYFUNCTION("""COMPUTED_VALUE"""),"HOLDER MOBIL HD016")</f>
        <v>HOLDER MOBIL HD016</v>
      </c>
    </row>
    <row r="252">
      <c r="A252" s="233" t="str">
        <f>IFERROR(__xludf.DUMMYFUNCTION("""COMPUTED_VALUE"""),"Holder Motor STANG Besi HM-22 Hitam")</f>
        <v>Holder Motor STANG Besi HM-22 Hitam</v>
      </c>
      <c r="F252" s="233" t="str">
        <f>IFERROR(__xludf.DUMMYFUNCTION("""COMPUTED_VALUE"""),"HOLDER MOBIL HD017")</f>
        <v>HOLDER MOBIL HD017</v>
      </c>
    </row>
    <row r="253">
      <c r="A253" s="233" t="str">
        <f>IFERROR(__xludf.DUMMYFUNCTION("""COMPUTED_VALUE"""),"Holder Motor Stang HM - 12")</f>
        <v>Holder Motor Stang HM - 12</v>
      </c>
      <c r="F253" s="233" t="str">
        <f>IFERROR(__xludf.DUMMYFUNCTION("""COMPUTED_VALUE"""),"HOLDER MOBIL HB018")</f>
        <v>HOLDER MOBIL HB018</v>
      </c>
    </row>
    <row r="254">
      <c r="A254" s="233" t="str">
        <f>IFERROR(__xludf.DUMMYFUNCTION("""COMPUTED_VALUE"""),"Holder Motor Stang HM-29")</f>
        <v>Holder Motor Stang HM-29</v>
      </c>
      <c r="F254" s="233" t="str">
        <f>IFERROR(__xludf.DUMMYFUNCTION("""COMPUTED_VALUE"""),"HOLDER MOTOR HS007 BLACK")</f>
        <v>HOLDER MOTOR HS007 BLACK</v>
      </c>
    </row>
    <row r="255">
      <c r="A255" s="233" t="str">
        <f>IFERROR(__xludf.DUMMYFUNCTION("""COMPUTED_VALUE"""),"Holder Motor Universal HM-36")</f>
        <v>Holder Motor Universal HM-36</v>
      </c>
      <c r="F255" s="233" t="str">
        <f>IFERROR(__xludf.DUMMYFUNCTION("""COMPUTED_VALUE"""),"HOLDER MOTOR HS010 BLACK")</f>
        <v>HOLDER MOTOR HS010 BLACK</v>
      </c>
    </row>
    <row r="256">
      <c r="A256" s="233" t="str">
        <f>IFERROR(__xludf.DUMMYFUNCTION("""COMPUTED_VALUE"""),"HOLDER MOTOR VANGO VA08")</f>
        <v>HOLDER MOTOR VANGO VA08</v>
      </c>
      <c r="F256" s="233" t="str">
        <f>IFERROR(__xludf.DUMMYFUNCTION("""COMPUTED_VALUE"""),"HOLDER HS0005 BLACK")</f>
        <v>HOLDER HS0005 BLACK</v>
      </c>
    </row>
    <row r="257">
      <c r="A257" s="233" t="str">
        <f>IFERROR(__xludf.DUMMYFUNCTION("""COMPUTED_VALUE"""),"Holder Phone Bracket Magnetic , Vango VA-15")</f>
        <v>Holder Phone Bracket Magnetic , Vango VA-15</v>
      </c>
      <c r="F257" s="233" t="str">
        <f>IFERROR(__xludf.DUMMYFUNCTION("""COMPUTED_VALUE"""),"Holder Karakter HD52")</f>
        <v>Holder Karakter HD52</v>
      </c>
    </row>
    <row r="258">
      <c r="A258" s="233" t="str">
        <f>IFERROR(__xludf.DUMMYFUNCTION("""COMPUTED_VALUE"""),"Holder Phone Crayon Sinchan")</f>
        <v>Holder Phone Crayon Sinchan</v>
      </c>
      <c r="F258" s="233" t="str">
        <f>IFERROR(__xludf.DUMMYFUNCTION("""COMPUTED_VALUE"""),"Holder phone ventilasi ac X-21")</f>
        <v>Holder phone ventilasi ac X-21</v>
      </c>
    </row>
    <row r="259">
      <c r="A259" s="233" t="str">
        <f>IFERROR(__xludf.DUMMYFUNCTION("""COMPUTED_VALUE"""),"Holder Phone Dual Magnetic , FunStar F-02")</f>
        <v>Holder Phone Dual Magnetic , FunStar F-02</v>
      </c>
      <c r="F259" s="233" t="str">
        <f>IFERROR(__xludf.DUMMYFUNCTION("""COMPUTED_VALUE"""),"HOLDER MEJA HD-28")</f>
        <v>HOLDER MEJA HD-28</v>
      </c>
    </row>
    <row r="260">
      <c r="A260" s="233" t="str">
        <f>IFERROR(__xludf.DUMMYFUNCTION("""COMPUTED_VALUE"""),"Holder Phone Vakum Magnet , Vango VA-04")</f>
        <v>Holder Phone Vakum Magnet , Vango VA-04</v>
      </c>
      <c r="F260" s="233" t="str">
        <f>IFERROR(__xludf.DUMMYFUNCTION("""COMPUTED_VALUE"""),"Holder Motor Karakter Spion HM-38")</f>
        <v>Holder Motor Karakter Spion HM-38</v>
      </c>
    </row>
    <row r="261">
      <c r="A261" s="233" t="str">
        <f>IFERROR(__xludf.DUMMYFUNCTION("""COMPUTED_VALUE"""),"Holder Phone Vakum Magnet , Vango VA-05")</f>
        <v>Holder Phone Vakum Magnet , Vango VA-05</v>
      </c>
      <c r="F261" s="233" t="str">
        <f>IFERROR(__xludf.DUMMYFUNCTION("""COMPUTED_VALUE"""),"Holder Tablet Akrilik HD-69")</f>
        <v>Holder Tablet Akrilik HD-69</v>
      </c>
    </row>
    <row r="262">
      <c r="A262" s="233" t="str">
        <f>IFERROR(__xludf.DUMMYFUNCTION("""COMPUTED_VALUE"""),"Holder phone ventilasi ac X-21")</f>
        <v>Holder phone ventilasi ac X-21</v>
      </c>
      <c r="F262" s="233" t="str">
        <f>IFERROR(__xludf.DUMMYFUNCTION("""COMPUTED_VALUE"""),"Holder Mobil HD-15 + Pack")</f>
        <v>Holder Mobil HD-15 + Pack</v>
      </c>
    </row>
    <row r="263">
      <c r="A263" s="233" t="str">
        <f>IFERROR(__xludf.DUMMYFUNCTION("""COMPUTED_VALUE"""),"Holder phone ventilasi ac x21")</f>
        <v>Holder phone ventilasi ac x21</v>
      </c>
      <c r="F263" s="233" t="str">
        <f>IFERROR(__xludf.DUMMYFUNCTION("""COMPUTED_VALUE"""),"HOLDER MOBIL SUNVISOR")</f>
        <v>HOLDER MOBIL SUNVISOR</v>
      </c>
    </row>
    <row r="264">
      <c r="A264" s="233" t="str">
        <f>IFERROR(__xludf.DUMMYFUNCTION("""COMPUTED_VALUE"""),"HOLDER SINCAN")</f>
        <v>HOLDER SINCAN</v>
      </c>
      <c r="F264" s="233" t="str">
        <f>IFERROR(__xludf.DUMMYFUNCTION("""COMPUTED_VALUE"""),"HOLDER MOBIL HD13")</f>
        <v>HOLDER MOBIL HD13</v>
      </c>
    </row>
    <row r="265">
      <c r="A265" s="233" t="str">
        <f>IFERROR(__xludf.DUMMYFUNCTION("""COMPUTED_VALUE"""),"Holder Spion M3 Besi")</f>
        <v>Holder Spion M3 Besi</v>
      </c>
      <c r="F265" s="233" t="str">
        <f>IFERROR(__xludf.DUMMYFUNCTION("""COMPUTED_VALUE"""),"HOLDER HD60 ASTRONOT")</f>
        <v>HOLDER HD60 ASTRONOT</v>
      </c>
    </row>
    <row r="266">
      <c r="A266" s="233" t="str">
        <f>IFERROR(__xludf.DUMMYFUNCTION("""COMPUTED_VALUE"""),"Holder Stand Hp Rotasi 360derajat Vango VA-09 , Full Besi (SKU RJA-HOLD-0240)")</f>
        <v>Holder Stand Hp Rotasi 360derajat Vango VA-09 , Full Besi (SKU RJA-HOLD-0240)</v>
      </c>
      <c r="F266" s="233" t="str">
        <f>IFERROR(__xludf.DUMMYFUNCTION("""COMPUTED_VALUE"""),"HOLDER MOBIL AC VEHICULAR MOBILE PHONE HOLDER")</f>
        <v>HOLDER MOBIL AC VEHICULAR MOBILE PHONE HOLDER</v>
      </c>
    </row>
    <row r="267">
      <c r="A267" s="233" t="str">
        <f>IFERROR(__xludf.DUMMYFUNCTION("""COMPUTED_VALUE"""),"Holder Stand Hp Rotasi 360derajat Vango VA-09 , Full Besi (SKU RJA-HOLD-0252)")</f>
        <v>Holder Stand Hp Rotasi 360derajat Vango VA-09 , Full Besi (SKU RJA-HOLD-0252)</v>
      </c>
      <c r="F267" s="233" t="str">
        <f>IFERROR(__xludf.DUMMYFUNCTION("""COMPUTED_VALUE"""),"Holder Mobil Gelas HD-41")</f>
        <v>Holder Mobil Gelas HD-41</v>
      </c>
    </row>
    <row r="268">
      <c r="A268" s="233" t="str">
        <f>IFERROR(__xludf.DUMMYFUNCTION("""COMPUTED_VALUE"""),"Holder Stand Hp Rotasi 360derajat Vango VA-10 , Full Besi")</f>
        <v>Holder Stand Hp Rotasi 360derajat Vango VA-10 , Full Besi</v>
      </c>
      <c r="F268" s="233" t="str">
        <f>IFERROR(__xludf.DUMMYFUNCTION("""COMPUTED_VALUE"""),"Holder Mobil Spion HD-59")</f>
        <v>Holder Mobil Spion HD-59</v>
      </c>
    </row>
    <row r="269">
      <c r="A269" s="233" t="str">
        <f>IFERROR(__xludf.DUMMYFUNCTION("""COMPUTED_VALUE"""),"HOLDER T2 METAL ALMUNIUM BESI ROTASI360")</f>
        <v>HOLDER T2 METAL ALMUNIUM BESI ROTASI360</v>
      </c>
      <c r="F269" s="233" t="str">
        <f>IFERROR(__xludf.DUMMYFUNCTION("""COMPUTED_VALUE"""),"HOLDER MOBIL HL-3600")</f>
        <v>HOLDER MOBIL HL-3600</v>
      </c>
    </row>
    <row r="270">
      <c r="A270" s="233" t="str">
        <f>IFERROR(__xludf.DUMMYFUNCTION("""COMPUTED_VALUE"""),"Holder Tablet Akrilik HD-69")</f>
        <v>Holder Tablet Akrilik HD-69</v>
      </c>
      <c r="F270" s="233" t="str">
        <f>IFERROR(__xludf.DUMMYFUNCTION("""COMPUTED_VALUE"""),"HOLDER MOBIL HD61")</f>
        <v>HOLDER MOBIL HD61</v>
      </c>
    </row>
    <row r="271">
      <c r="A271" s="233" t="str">
        <f>IFERROR(__xludf.DUMMYFUNCTION("""COMPUTED_VALUE"""),"HOT MELT GLUE GUN")</f>
        <v>HOT MELT GLUE GUN</v>
      </c>
      <c r="F271" s="233" t="str">
        <f>IFERROR(__xludf.DUMMYFUNCTION("""COMPUTED_VALUE"""),"HOLDER MEJA HD26")</f>
        <v>HOLDER MEJA HD26</v>
      </c>
    </row>
    <row r="272">
      <c r="A272" s="233" t="str">
        <f>IFERROR(__xludf.DUMMYFUNCTION("""COMPUTED_VALUE"""),"HT255S Gray nUSB HUB dan Type Hub")</f>
        <v>HT255S Gray nUSB HUB dan Type Hub</v>
      </c>
      <c r="F272" s="233" t="str">
        <f>IFERROR(__xludf.DUMMYFUNCTION("""COMPUTED_VALUE"""),"HOT MELT GLUE GUN")</f>
        <v>HOT MELT GLUE GUN</v>
      </c>
    </row>
    <row r="273">
      <c r="A273" s="233" t="str">
        <f>IFERROR(__xludf.DUMMYFUNCTION("""COMPUTED_VALUE"""),"HUB DAP D-H06")</f>
        <v>HUB DAP D-H06</v>
      </c>
      <c r="F273" s="233" t="str">
        <f>IFERROR(__xludf.DUMMYFUNCTION("""COMPUTED_VALUE"""),"HT255S Gray nUSB HUB dan Type Hub")</f>
        <v>HT255S Gray nUSB HUB dan Type Hub</v>
      </c>
    </row>
    <row r="274">
      <c r="A274" s="233" t="str">
        <f>IFERROR(__xludf.DUMMYFUNCTION("""COMPUTED_VALUE"""),"HUMIDIFER")</f>
        <v>HUMIDIFER</v>
      </c>
      <c r="F274" s="233" t="str">
        <f>IFERROR(__xludf.DUMMYFUNCTION("""COMPUTED_VALUE"""),"HUB DAP D-H06")</f>
        <v>HUB DAP D-H06</v>
      </c>
    </row>
    <row r="275">
      <c r="A275" s="233" t="str">
        <f>IFERROR(__xludf.DUMMYFUNCTION("""COMPUTED_VALUE"""),"INFINITY GT1S SUPER COMFORT")</f>
        <v>INFINITY GT1S SUPER COMFORT</v>
      </c>
      <c r="F275" s="233" t="str">
        <f>IFERROR(__xludf.DUMMYFUNCTION("""COMPUTED_VALUE"""),"HUMIDIFER")</f>
        <v>HUMIDIFER</v>
      </c>
    </row>
    <row r="276">
      <c r="A276" s="233" t="str">
        <f>IFERROR(__xludf.DUMMYFUNCTION("""COMPUTED_VALUE"""),"IPAD YUNTENG")</f>
        <v>IPAD YUNTENG</v>
      </c>
      <c r="F276" s="233" t="str">
        <f>IFERROR(__xludf.DUMMYFUNCTION("""COMPUTED_VALUE"""),"INFINITY GT1S SUPER COMFORT")</f>
        <v>INFINITY GT1S SUPER COMFORT</v>
      </c>
    </row>
    <row r="277">
      <c r="A277" s="233" t="str">
        <f>IFERROR(__xludf.DUMMYFUNCTION("""COMPUTED_VALUE"""),"JACK AUX (SKU RJA-JACK-0048)")</f>
        <v>JACK AUX (SKU RJA-JACK-0048)</v>
      </c>
      <c r="F277" s="233" t="str">
        <f>IFERROR(__xludf.DUMMYFUNCTION("""COMPUTED_VALUE"""),"IPAD YUNTENG")</f>
        <v>IPAD YUNTENG</v>
      </c>
    </row>
    <row r="278">
      <c r="A278" s="233" t="str">
        <f>IFERROR(__xludf.DUMMYFUNCTION("""COMPUTED_VALUE"""),"JACK AUX (SKU RJA-JACK-0049)")</f>
        <v>JACK AUX (SKU RJA-JACK-0049)</v>
      </c>
      <c r="F278" s="233" t="str">
        <f>IFERROR(__xludf.DUMMYFUNCTION("""COMPUTED_VALUE"""),"JACK AUX BESAR")</f>
        <v>JACK AUX BESAR</v>
      </c>
    </row>
    <row r="279">
      <c r="A279" s="233" t="str">
        <f>IFERROR(__xludf.DUMMYFUNCTION("""COMPUTED_VALUE"""),"JACK AUX (SKU RJA-JACK-0050)")</f>
        <v>JACK AUX (SKU RJA-JACK-0050)</v>
      </c>
      <c r="F279" s="233" t="str">
        <f>IFERROR(__xludf.DUMMYFUNCTION("""COMPUTED_VALUE"""),"JACK AUX (SKU RJA-JACK-0048)")</f>
        <v>JACK AUX (SKU RJA-JACK-0048)</v>
      </c>
    </row>
    <row r="280">
      <c r="A280" s="233" t="str">
        <f>IFERROR(__xludf.DUMMYFUNCTION("""COMPUTED_VALUE"""),"JACK AUX (SKU RJA-JACK-0051)")</f>
        <v>JACK AUX (SKU RJA-JACK-0051)</v>
      </c>
      <c r="F280" s="233" t="str">
        <f>IFERROR(__xludf.DUMMYFUNCTION("""COMPUTED_VALUE"""),"JACK AUX (SKU RJA-JACK-0049)")</f>
        <v>JACK AUX (SKU RJA-JACK-0049)</v>
      </c>
    </row>
    <row r="281">
      <c r="A281" s="233" t="str">
        <f>IFERROR(__xludf.DUMMYFUNCTION("""COMPUTED_VALUE"""),"JACK AUX BESAR")</f>
        <v>JACK AUX BESAR</v>
      </c>
      <c r="F281" s="233" t="str">
        <f>IFERROR(__xludf.DUMMYFUNCTION("""COMPUTED_VALUE"""),"JACK AUX (SKU RJA-JACK-0050)")</f>
        <v>JACK AUX (SKU RJA-JACK-0050)</v>
      </c>
    </row>
    <row r="282">
      <c r="A282" s="233" t="str">
        <f>IFERROR(__xludf.DUMMYFUNCTION("""COMPUTED_VALUE"""),"JAS HUJAN PLASTIK")</f>
        <v>JAS HUJAN PLASTIK</v>
      </c>
      <c r="F282" s="233" t="str">
        <f>IFERROR(__xludf.DUMMYFUNCTION("""COMPUTED_VALUE"""),"JACK AUX (SKU RJA-JACK-0051)")</f>
        <v>JACK AUX (SKU RJA-JACK-0051)</v>
      </c>
    </row>
    <row r="283">
      <c r="A283" s="233" t="str">
        <f>IFERROR(__xludf.DUMMYFUNCTION("""COMPUTED_VALUE"""),"Kabel Aux 3in3 1.5M AV - 005")</f>
        <v>Kabel Aux 3in3 1.5M AV - 005</v>
      </c>
      <c r="F283" s="233" t="str">
        <f>IFERROR(__xludf.DUMMYFUNCTION("""COMPUTED_VALUE"""),"JAS HUJAN PLASTIK")</f>
        <v>JAS HUJAN PLASTIK</v>
      </c>
    </row>
    <row r="284">
      <c r="A284" s="233" t="str">
        <f>IFERROR(__xludf.DUMMYFUNCTION("""COMPUTED_VALUE"""),"Kabel Aux AV-001 2in1 1,5M")</f>
        <v>Kabel Aux AV-001 2in1 1,5M</v>
      </c>
      <c r="F284" s="233" t="str">
        <f>IFERROR(__xludf.DUMMYFUNCTION("""COMPUTED_VALUE"""),"KABEL KOMPUTER RCA TO RCA")</f>
        <v>KABEL KOMPUTER RCA TO RCA</v>
      </c>
    </row>
    <row r="285">
      <c r="A285" s="233" t="str">
        <f>IFERROR(__xludf.DUMMYFUNCTION("""COMPUTED_VALUE"""),"Kabel Aux Iphone TO Female Jack Aux 3.5mm AK - 05")</f>
        <v>Kabel Aux Iphone TO Female Jack Aux 3.5mm AK - 05</v>
      </c>
      <c r="F285" s="233" t="str">
        <f>IFERROR(__xludf.DUMMYFUNCTION("""COMPUTED_VALUE"""),"AUX CABLE LENYES LIGHTNING TO 3.5MM")</f>
        <v>AUX CABLE LENYES LIGHTNING TO 3.5MM</v>
      </c>
    </row>
    <row r="286">
      <c r="A286" s="233" t="str">
        <f>IFERROR(__xludf.DUMMYFUNCTION("""COMPUTED_VALUE"""),"KABEL AUX LENYES AX-106 IPHONE TO 3,5MM")</f>
        <v>KABEL AUX LENYES AX-106 IPHONE TO 3,5MM</v>
      </c>
      <c r="F286" s="233" t="str">
        <f>IFERROR(__xludf.DUMMYFUNCTION("""COMPUTED_VALUE"""),"Kabel Aux Iphone TO Female Jack Aux 3.5mm AK - 05")</f>
        <v>Kabel Aux Iphone TO Female Jack Aux 3.5mm AK - 05</v>
      </c>
    </row>
    <row r="287">
      <c r="A287" s="233" t="str">
        <f>IFERROR(__xludf.DUMMYFUNCTION("""COMPUTED_VALUE"""),"KABEL DATA 120W KB-09")</f>
        <v>KABEL DATA 120W KB-09</v>
      </c>
      <c r="F287" s="233" t="str">
        <f>IFERROR(__xludf.DUMMYFUNCTION("""COMPUTED_VALUE"""),"Kabel Aux AV-001 2in1 1,5M")</f>
        <v>Kabel Aux AV-001 2in1 1,5M</v>
      </c>
    </row>
    <row r="288">
      <c r="A288" s="233" t="str">
        <f>IFERROR(__xludf.DUMMYFUNCTION("""COMPUTED_VALUE"""),"KABEL DATA 4 IN 1 K-100")</f>
        <v>KABEL DATA 4 IN 1 K-100</v>
      </c>
      <c r="F288" s="233" t="str">
        <f>IFERROR(__xludf.DUMMYFUNCTION("""COMPUTED_VALUE"""),"Kabel Aux 3in3 1.5M AV - 005")</f>
        <v>Kabel Aux 3in3 1.5M AV - 005</v>
      </c>
    </row>
    <row r="289">
      <c r="A289" s="233" t="str">
        <f>IFERROR(__xludf.DUMMYFUNCTION("""COMPUTED_VALUE"""),"KABEL DATA ALIENS 5A C TO C 60W")</f>
        <v>KABEL DATA ALIENS 5A C TO C 60W</v>
      </c>
      <c r="F289" s="233" t="str">
        <f>IFERROR(__xludf.DUMMYFUNCTION("""COMPUTED_VALUE"""),"KABEL HDMI TO HDMI 3 M")</f>
        <v>KABEL HDMI TO HDMI 3 M</v>
      </c>
    </row>
    <row r="290">
      <c r="A290" s="233" t="str">
        <f>IFERROR(__xludf.DUMMYFUNCTION("""COMPUTED_VALUE"""),"KABEL DATA DAP D-DD110 TOPLES 65W")</f>
        <v>KABEL DATA DAP D-DD110 TOPLES 65W</v>
      </c>
      <c r="F290" s="233" t="str">
        <f>IFERROR(__xludf.DUMMYFUNCTION("""COMPUTED_VALUE"""),"KABEL HDMI TO HDMI 1,5 M POLOS")</f>
        <v>KABEL HDMI TO HDMI 1,5 M POLOS</v>
      </c>
    </row>
    <row r="291">
      <c r="A291" s="233" t="str">
        <f>IFERROR(__xludf.DUMMYFUNCTION("""COMPUTED_VALUE"""),"KABEL DATA DAP D-J05T 6.0A")</f>
        <v>KABEL DATA DAP D-J05T 6.0A</v>
      </c>
      <c r="F291" s="233" t="str">
        <f>IFERROR(__xludf.DUMMYFUNCTION("""COMPUTED_VALUE"""),"KABEL HDMI TO HDMI 1,5 M")</f>
        <v>KABEL HDMI TO HDMI 1,5 M</v>
      </c>
    </row>
    <row r="292">
      <c r="A292" s="233" t="str">
        <f>IFERROR(__xludf.DUMMYFUNCTION("""COMPUTED_VALUE"""),"KABEL DATA DAP DCC100 (TYPE-C TO TYPE-C)")</f>
        <v>KABEL DATA DAP DCC100 (TYPE-C TO TYPE-C)</v>
      </c>
      <c r="F292" s="233" t="str">
        <f>IFERROR(__xludf.DUMMYFUNCTION("""COMPUTED_VALUE"""),"Kabel Hdmi To Hdmi 1.5 Meter")</f>
        <v>Kabel Hdmi To Hdmi 1.5 Meter</v>
      </c>
    </row>
    <row r="293">
      <c r="A293" s="233" t="str">
        <f>IFERROR(__xludf.DUMMYFUNCTION("""COMPUTED_VALUE"""),"KABEL DATA DAP DCT100 (TYPE-C) 1.1M")</f>
        <v>KABEL DATA DAP DCT100 (TYPE-C) 1.1M</v>
      </c>
      <c r="F293" s="233" t="str">
        <f>IFERROR(__xludf.DUMMYFUNCTION("""COMPUTED_VALUE"""),"KABEL POWER DAP D-H03")</f>
        <v>KABEL POWER DAP D-H03</v>
      </c>
    </row>
    <row r="294">
      <c r="A294" s="233" t="str">
        <f>IFERROR(__xludf.DUMMYFUNCTION("""COMPUTED_VALUE"""),"KABEL DATA DAP DFM100 SUPER CABLE (MICRO USB)")</f>
        <v>KABEL DATA DAP DFM100 SUPER CABLE (MICRO USB)</v>
      </c>
      <c r="F294" s="233" t="str">
        <f>IFERROR(__xludf.DUMMYFUNCTION("""COMPUTED_VALUE"""),"KABEL DATA VIVAN VECL100")</f>
        <v>KABEL DATA VIVAN VECL100</v>
      </c>
    </row>
    <row r="295">
      <c r="A295" s="233" t="str">
        <f>IFERROR(__xludf.DUMMYFUNCTION("""COMPUTED_VALUE"""),"KABEL DATA DAP DFT100 SUPER CABLE (TYPE-C)")</f>
        <v>KABEL DATA DAP DFT100 SUPER CABLE (TYPE-C)</v>
      </c>
      <c r="F295" s="233" t="str">
        <f>IFERROR(__xludf.DUMMYFUNCTION("""COMPUTED_VALUE"""),"KABEL DATA OLIKE D309BM MICRO")</f>
        <v>KABEL DATA OLIKE D309BM MICRO</v>
      </c>
    </row>
    <row r="296">
      <c r="A296" s="233" t="str">
        <f>IFERROR(__xludf.DUMMYFUNCTION("""COMPUTED_VALUE"""),"KABEL DATA DAP DG100 (Type-c ) 1000MM 65W")</f>
        <v>KABEL DATA DAP DG100 (Type-c ) 1000MM 65W</v>
      </c>
      <c r="F296" s="233" t="str">
        <f>IFERROR(__xludf.DUMMYFUNCTION("""COMPUTED_VALUE"""),"KABEL DATA OLIKE D309BC TYPE C")</f>
        <v>KABEL DATA OLIKE D309BC TYPE C</v>
      </c>
    </row>
    <row r="297">
      <c r="A297" s="233" t="str">
        <f>IFERROR(__xludf.DUMMYFUNCTION("""COMPUTED_VALUE"""),"KABEL DATA DAP DNM100(MICRO)")</f>
        <v>KABEL DATA DAP DNM100(MICRO)</v>
      </c>
      <c r="F297" s="233" t="str">
        <f>IFERROR(__xludf.DUMMYFUNCTION("""COMPUTED_VALUE"""),"KABEL DATA ROBOT RGSCL120 30 W FAST CHARGING")</f>
        <v>KABEL DATA ROBOT RGSCL120 30 W FAST CHARGING</v>
      </c>
    </row>
    <row r="298">
      <c r="A298" s="233" t="str">
        <f>IFERROR(__xludf.DUMMYFUNCTION("""COMPUTED_VALUE"""),"Kabel data DAP DNT100 ( TYPE-C )")</f>
        <v>Kabel data DAP DNT100 ( TYPE-C )</v>
      </c>
      <c r="F298" s="233" t="str">
        <f>IFERROR(__xludf.DUMMYFUNCTION("""COMPUTED_VALUE"""),"Kabel Data Ori 100% Iphone USB-C to Lightning 25W")</f>
        <v>Kabel Data Ori 100% Iphone USB-C to Lightning 25W</v>
      </c>
    </row>
    <row r="299">
      <c r="A299" s="233" t="str">
        <f>IFERROR(__xludf.DUMMYFUNCTION("""COMPUTED_VALUE"""),"KABEL DATA DAP DNT200(TYPE-C) 2M")</f>
        <v>KABEL DATA DAP DNT200(TYPE-C) 2M</v>
      </c>
      <c r="F299" s="233" t="str">
        <f>IFERROR(__xludf.DUMMYFUNCTION("""COMPUTED_VALUE"""),"KABEL DATA WELLCOMM TURBO 65W 1.5M TYPE-C")</f>
        <v>KABEL DATA WELLCOMM TURBO 65W 1.5M TYPE-C</v>
      </c>
    </row>
    <row r="300">
      <c r="A300" s="233" t="str">
        <f>IFERROR(__xludf.DUMMYFUNCTION("""COMPUTED_VALUE"""),"KABEL DATA DG200(Type-c) 2 M 65W")</f>
        <v>KABEL DATA DG200(Type-c) 2 M 65W</v>
      </c>
      <c r="F300" s="233" t="str">
        <f>IFERROR(__xludf.DUMMYFUNCTION("""COMPUTED_VALUE"""),"KABEL DATA WELLCOMM ALLOY E 3A FOR IPHONE")</f>
        <v>KABEL DATA WELLCOMM ALLOY E 3A FOR IPHONE</v>
      </c>
    </row>
    <row r="301">
      <c r="A301" s="233" t="str">
        <f>IFERROR(__xludf.DUMMYFUNCTION("""COMPUTED_VALUE"""),"KABEL DATA K2 DENIM KABEL")</f>
        <v>KABEL DATA K2 DENIM KABEL</v>
      </c>
      <c r="F301" s="233" t="str">
        <f>IFERROR(__xludf.DUMMYFUNCTION("""COMPUTED_VALUE"""),"KABEL DATA WELCOME NYLON 1 TYPE C 3A MIX")</f>
        <v>KABEL DATA WELCOME NYLON 1 TYPE C 3A MIX</v>
      </c>
    </row>
    <row r="302">
      <c r="A302" s="233" t="str">
        <f>IFERROR(__xludf.DUMMYFUNCTION("""COMPUTED_VALUE"""),"KABEL DATA LANEX LS12M 3A 100CM MIKRO")</f>
        <v>KABEL DATA LANEX LS12M 3A 100CM MIKRO</v>
      </c>
      <c r="F302" s="233" t="str">
        <f>IFERROR(__xludf.DUMMYFUNCTION("""COMPUTED_VALUE"""),"KABEL DATA LENYES LC201 2.4A 100CM MIKRO")</f>
        <v>KABEL DATA LENYES LC201 2.4A 100CM MIKRO</v>
      </c>
    </row>
    <row r="303">
      <c r="A303" s="233" t="str">
        <f>IFERROR(__xludf.DUMMYFUNCTION("""COMPUTED_VALUE"""),"KABEL DATA LANEX LS21M 3A")</f>
        <v>KABEL DATA LANEX LS21M 3A</v>
      </c>
      <c r="F303" s="233" t="str">
        <f>IFERROR(__xludf.DUMMYFUNCTION("""COMPUTED_VALUE"""),"KABEL DATA WELLCOMM NYLON 3A FOR IPHONE")</f>
        <v>KABEL DATA WELLCOMM NYLON 3A FOR IPHONE</v>
      </c>
    </row>
    <row r="304">
      <c r="A304" s="233" t="str">
        <f>IFERROR(__xludf.DUMMYFUNCTION("""COMPUTED_VALUE"""),"KABEL DATA LENYES LC201 2.4A 100CM MIKRO")</f>
        <v>KABEL DATA LENYES LC201 2.4A 100CM MIKRO</v>
      </c>
      <c r="F304" s="233" t="str">
        <f>IFERROR(__xludf.DUMMYFUNCTION("""COMPUTED_VALUE"""),"KABEL DATA WELCOME NYLON A MICRO 3A MIX")</f>
        <v>KABEL DATA WELCOME NYLON A MICRO 3A MIX</v>
      </c>
    </row>
    <row r="305">
      <c r="A305" s="233" t="str">
        <f>IFERROR(__xludf.DUMMYFUNCTION("""COMPUTED_VALUE"""),"KABEL DATA OLIKE D06M")</f>
        <v>KABEL DATA OLIKE D06M</v>
      </c>
      <c r="F305" s="233" t="str">
        <f>IFERROR(__xludf.DUMMYFUNCTION("""COMPUTED_VALUE"""),"KABEL DATA WELCOME NYLON A TYPE C 3A MIX")</f>
        <v>KABEL DATA WELCOME NYLON A TYPE C 3A MIX</v>
      </c>
    </row>
    <row r="306">
      <c r="A306" s="233" t="str">
        <f>IFERROR(__xludf.DUMMYFUNCTION("""COMPUTED_VALUE"""),"KABEL DATA OLIKE D306C MIX COLOR")</f>
        <v>KABEL DATA OLIKE D306C MIX COLOR</v>
      </c>
      <c r="F306" s="233" t="str">
        <f>IFERROR(__xludf.DUMMYFUNCTION("""COMPUTED_VALUE"""),"KABEL DATA WELCOME NYLON B TYPE C 3A MIX")</f>
        <v>KABEL DATA WELCOME NYLON B TYPE C 3A MIX</v>
      </c>
    </row>
    <row r="307">
      <c r="A307" s="233" t="str">
        <f>IFERROR(__xludf.DUMMYFUNCTION("""COMPUTED_VALUE"""),"KABEL DATA OLIKE D309BC TYPE C")</f>
        <v>KABEL DATA OLIKE D309BC TYPE C</v>
      </c>
      <c r="F307" s="233" t="str">
        <f>IFERROR(__xludf.DUMMYFUNCTION("""COMPUTED_VALUE"""),"KABEL DATA DAP DG100 (Type-c ) 1000MM 65W")</f>
        <v>KABEL DATA DAP DG100 (Type-c ) 1000MM 65W</v>
      </c>
    </row>
    <row r="308">
      <c r="A308" s="233" t="str">
        <f>IFERROR(__xludf.DUMMYFUNCTION("""COMPUTED_VALUE"""),"KABEL DATA OLIKE D309BM MICRO")</f>
        <v>KABEL DATA OLIKE D309BM MICRO</v>
      </c>
      <c r="F308" s="233" t="str">
        <f>IFERROR(__xludf.DUMMYFUNCTION("""COMPUTED_VALUE"""),"KABEL DATA DG200(Type-c) 2 M 65W")</f>
        <v>KABEL DATA DG200(Type-c) 2 M 65W</v>
      </c>
    </row>
    <row r="309">
      <c r="A309" s="233" t="str">
        <f>IFERROR(__xludf.DUMMYFUNCTION("""COMPUTED_VALUE"""),"Kabel Data Ori 100% Iphone 7")</f>
        <v>Kabel Data Ori 100% Iphone 7</v>
      </c>
      <c r="F309" s="233" t="str">
        <f>IFERROR(__xludf.DUMMYFUNCTION("""COMPUTED_VALUE"""),"KABEL DATA DAP DCC100 (TYPE-C TO TYPE-C)")</f>
        <v>KABEL DATA DAP DCC100 (TYPE-C TO TYPE-C)</v>
      </c>
    </row>
    <row r="310">
      <c r="A310" s="233" t="str">
        <f>IFERROR(__xludf.DUMMYFUNCTION("""COMPUTED_VALUE"""),"Kabel Data Ori 100% Iphone 7/12 Pro Max Dus")</f>
        <v>Kabel Data Ori 100% Iphone 7/12 Pro Max Dus</v>
      </c>
      <c r="F310" s="233" t="str">
        <f>IFERROR(__xludf.DUMMYFUNCTION("""COMPUTED_VALUE"""),"KABEL DATA DAP DFM100 SUPER CABLE (MICRO USB)")</f>
        <v>KABEL DATA DAP DFM100 SUPER CABLE (MICRO USB)</v>
      </c>
    </row>
    <row r="311">
      <c r="A311" s="233" t="str">
        <f>IFERROR(__xludf.DUMMYFUNCTION("""COMPUTED_VALUE"""),"Kabel Data Ori 100% Iphone USB-C to Lightning 25W")</f>
        <v>Kabel Data Ori 100% Iphone USB-C to Lightning 25W</v>
      </c>
      <c r="F311" s="233" t="str">
        <f>IFERROR(__xludf.DUMMYFUNCTION("""COMPUTED_VALUE"""),"KABEL DATA DAP DFT100 SUPER CABLE (TYPE-C)")</f>
        <v>KABEL DATA DAP DFT100 SUPER CABLE (TYPE-C)</v>
      </c>
    </row>
    <row r="312">
      <c r="A312" s="233" t="str">
        <f>IFERROR(__xludf.DUMMYFUNCTION("""COMPUTED_VALUE"""),"Kabel data original iphone 12")</f>
        <v>Kabel data original iphone 12</v>
      </c>
      <c r="F312" s="233" t="str">
        <f>IFERROR(__xludf.DUMMYFUNCTION("""COMPUTED_VALUE"""),"KABEL DATA DAP DCT100 (TYPE-C) 1.1M")</f>
        <v>KABEL DATA DAP DCT100 (TYPE-C) 1.1M</v>
      </c>
    </row>
    <row r="313">
      <c r="A313" s="233" t="str">
        <f>IFERROR(__xludf.DUMMYFUNCTION("""COMPUTED_VALUE"""),"KABEL DATA ROBOT RGSCL120 30 W FAST CHARGING")</f>
        <v>KABEL DATA ROBOT RGSCL120 30 W FAST CHARGING</v>
      </c>
      <c r="F313" s="233" t="str">
        <f>IFERROR(__xludf.DUMMYFUNCTION("""COMPUTED_VALUE"""),"KABEL DATA LANEX LS12M 3A 100CM MIKRO")</f>
        <v>KABEL DATA LANEX LS12M 3A 100CM MIKRO</v>
      </c>
    </row>
    <row r="314">
      <c r="A314" s="233" t="str">
        <f>IFERROR(__xludf.DUMMYFUNCTION("""COMPUTED_VALUE"""),"Kabel Data Silicon KB - 08 120W MICRO")</f>
        <v>Kabel Data Silicon KB - 08 120W MICRO</v>
      </c>
      <c r="F314" s="233" t="str">
        <f>IFERROR(__xludf.DUMMYFUNCTION("""COMPUTED_VALUE"""),"KABEL DATA DAP D-DD110 TOPLES 65W")</f>
        <v>KABEL DATA DAP D-DD110 TOPLES 65W</v>
      </c>
    </row>
    <row r="315">
      <c r="A315" s="233" t="str">
        <f>IFERROR(__xludf.DUMMYFUNCTION("""COMPUTED_VALUE"""),"Kabel Data Silicon KB - 08 120W TYPE C")</f>
        <v>Kabel Data Silicon KB - 08 120W TYPE C</v>
      </c>
      <c r="F315" s="233" t="str">
        <f>IFERROR(__xludf.DUMMYFUNCTION("""COMPUTED_VALUE"""),"Kabel Data Toples 8A Support Fast Charging type c")</f>
        <v>Kabel Data Toples 8A Support Fast Charging type c</v>
      </c>
    </row>
    <row r="316">
      <c r="A316" s="233" t="str">
        <f>IFERROR(__xludf.DUMMYFUNCTION("""COMPUTED_VALUE"""),"KABEL DATA SILICONE C-C 1.2M")</f>
        <v>KABEL DATA SILICONE C-C 1.2M</v>
      </c>
      <c r="F316" s="233" t="str">
        <f>IFERROR(__xludf.DUMMYFUNCTION("""COMPUTED_VALUE"""),"Kabel data Toples 8A Support Fast Charging micro")</f>
        <v>Kabel data Toples 8A Support Fast Charging micro</v>
      </c>
    </row>
    <row r="317">
      <c r="A317" s="233" t="str">
        <f>IFERROR(__xludf.DUMMYFUNCTION("""COMPUTED_VALUE"""),"KABEL DATA SILICONE KB08")</f>
        <v>KABEL DATA SILICONE KB08</v>
      </c>
      <c r="F317" s="233" t="str">
        <f>IFERROR(__xludf.DUMMYFUNCTION("""COMPUTED_VALUE"""),"KABEL DATA TYPE C 5A")</f>
        <v>KABEL DATA TYPE C 5A</v>
      </c>
    </row>
    <row r="318">
      <c r="A318" s="233" t="str">
        <f>IFERROR(__xludf.DUMMYFUNCTION("""COMPUTED_VALUE"""),"Kabel data Toples 8A Support Fast Charging micro")</f>
        <v>Kabel data Toples 8A Support Fast Charging micro</v>
      </c>
      <c r="F318" s="233" t="str">
        <f>IFERROR(__xludf.DUMMYFUNCTION("""COMPUTED_VALUE"""),"KABEL DATA TYPE C USB 5A")</f>
        <v>KABEL DATA TYPE C USB 5A</v>
      </c>
    </row>
    <row r="319">
      <c r="A319" s="233" t="str">
        <f>IFERROR(__xludf.DUMMYFUNCTION("""COMPUTED_VALUE"""),"Kabel Data Toples 8A Support Fast Charging type c")</f>
        <v>Kabel Data Toples 8A Support Fast Charging type c</v>
      </c>
      <c r="F319" s="233" t="str">
        <f>IFERROR(__xludf.DUMMYFUNCTION("""COMPUTED_VALUE"""),"KABEL DATA 4 IN 1 K-100")</f>
        <v>KABEL DATA 4 IN 1 K-100</v>
      </c>
    </row>
    <row r="320">
      <c r="A320" s="233" t="str">
        <f>IFERROR(__xludf.DUMMYFUNCTION("""COMPUTED_VALUE"""),"KABEL DATA TYPE C 5A")</f>
        <v>KABEL DATA TYPE C 5A</v>
      </c>
      <c r="F320" s="233" t="str">
        <f>IFERROR(__xludf.DUMMYFUNCTION("""COMPUTED_VALUE"""),"KABEL DATA K2 DENIM KABEL")</f>
        <v>KABEL DATA K2 DENIM KABEL</v>
      </c>
    </row>
    <row r="321">
      <c r="A321" s="233" t="str">
        <f>IFERROR(__xludf.DUMMYFUNCTION("""COMPUTED_VALUE"""),"KABEL DATA TYPE C USB 5A")</f>
        <v>KABEL DATA TYPE C USB 5A</v>
      </c>
      <c r="F321" s="233" t="str">
        <f>IFERROR(__xludf.DUMMYFUNCTION("""COMPUTED_VALUE"""),"KABEL DATA SILICONE KB08")</f>
        <v>KABEL DATA SILICONE KB08</v>
      </c>
    </row>
    <row r="322">
      <c r="A322" s="233" t="str">
        <f>IFERROR(__xludf.DUMMYFUNCTION("""COMPUTED_VALUE"""),"KABEL DATA VIVAN VECL100")</f>
        <v>KABEL DATA VIVAN VECL100</v>
      </c>
      <c r="F322" s="233" t="str">
        <f>IFERROR(__xludf.DUMMYFUNCTION("""COMPUTED_VALUE"""),"KABEL DATA 120W KB-09")</f>
        <v>KABEL DATA 120W KB-09</v>
      </c>
    </row>
    <row r="323">
      <c r="A323" s="233" t="str">
        <f>IFERROR(__xludf.DUMMYFUNCTION("""COMPUTED_VALUE"""),"KABEL DATA WELCOME NYLON 1 TYPE C 3A MIX")</f>
        <v>KABEL DATA WELCOME NYLON 1 TYPE C 3A MIX</v>
      </c>
      <c r="F323" s="233" t="str">
        <f>IFERROR(__xludf.DUMMYFUNCTION("""COMPUTED_VALUE"""),"Kabel Data Silicon KB - 08 120W TYPE C")</f>
        <v>Kabel Data Silicon KB - 08 120W TYPE C</v>
      </c>
    </row>
    <row r="324">
      <c r="A324" s="233" t="str">
        <f>IFERROR(__xludf.DUMMYFUNCTION("""COMPUTED_VALUE"""),"KABEL DATA WELCOME NYLON A MICRO 3A MIX")</f>
        <v>KABEL DATA WELCOME NYLON A MICRO 3A MIX</v>
      </c>
      <c r="F324" s="233" t="str">
        <f>IFERROR(__xludf.DUMMYFUNCTION("""COMPUTED_VALUE"""),"Kabel Data Silicon KB - 08 120W MICRO")</f>
        <v>Kabel Data Silicon KB - 08 120W MICRO</v>
      </c>
    </row>
    <row r="325">
      <c r="A325" s="233" t="str">
        <f>IFERROR(__xludf.DUMMYFUNCTION("""COMPUTED_VALUE"""),"KABEL DATA WELCOME NYLON A TYPE C 3A MIX")</f>
        <v>KABEL DATA WELCOME NYLON A TYPE C 3A MIX</v>
      </c>
      <c r="F325" s="233" t="str">
        <f>IFERROR(__xludf.DUMMYFUNCTION("""COMPUTED_VALUE"""),"Kabel Data Ori 100% Iphone 7/12 Pro Max Dus")</f>
        <v>Kabel Data Ori 100% Iphone 7/12 Pro Max Dus</v>
      </c>
    </row>
    <row r="326">
      <c r="A326" s="233" t="str">
        <f>IFERROR(__xludf.DUMMYFUNCTION("""COMPUTED_VALUE"""),"KABEL DATA WELCOME NYLON B TYPE C 3A MIX")</f>
        <v>KABEL DATA WELCOME NYLON B TYPE C 3A MIX</v>
      </c>
      <c r="F326" s="233" t="str">
        <f>IFERROR(__xludf.DUMMYFUNCTION("""COMPUTED_VALUE"""),"Kabel Data Ori 100% Iphone 7")</f>
        <v>Kabel Data Ori 100% Iphone 7</v>
      </c>
    </row>
    <row r="327">
      <c r="A327" s="233" t="str">
        <f>IFERROR(__xludf.DUMMYFUNCTION("""COMPUTED_VALUE"""),"KABEL DATA WELLCOMM ALLOY E 3A FOR IPHONE")</f>
        <v>KABEL DATA WELLCOMM ALLOY E 3A FOR IPHONE</v>
      </c>
      <c r="F327" s="233" t="str">
        <f>IFERROR(__xludf.DUMMYFUNCTION("""COMPUTED_VALUE"""),"KABEL DATA OLIKE D306C MIX COLOR")</f>
        <v>KABEL DATA OLIKE D306C MIX COLOR</v>
      </c>
    </row>
    <row r="328">
      <c r="A328" s="233" t="str">
        <f>IFERROR(__xludf.DUMMYFUNCTION("""COMPUTED_VALUE"""),"KABEL DATA WELLCOMM NYLON 3A FOR IPHONE")</f>
        <v>KABEL DATA WELLCOMM NYLON 3A FOR IPHONE</v>
      </c>
      <c r="F328" s="233" t="str">
        <f>IFERROR(__xludf.DUMMYFUNCTION("""COMPUTED_VALUE"""),"KABEL DATA OLIKE D06M")</f>
        <v>KABEL DATA OLIKE D06M</v>
      </c>
    </row>
    <row r="329">
      <c r="A329" s="233" t="str">
        <f>IFERROR(__xludf.DUMMYFUNCTION("""COMPUTED_VALUE"""),"KABEL DATA WELLCOMM TURBO 65W 1.5M TYPE-C")</f>
        <v>KABEL DATA WELLCOMM TURBO 65W 1.5M TYPE-C</v>
      </c>
      <c r="F329" s="233" t="str">
        <f>IFERROR(__xludf.DUMMYFUNCTION("""COMPUTED_VALUE"""),"KABEL DATA DAP D-J05T 6.0A")</f>
        <v>KABEL DATA DAP D-J05T 6.0A</v>
      </c>
    </row>
    <row r="330">
      <c r="A330" s="233" t="str">
        <f>IFERROR(__xludf.DUMMYFUNCTION("""COMPUTED_VALUE"""),"KABEL HDMI TO HDMI 1,5 M")</f>
        <v>KABEL HDMI TO HDMI 1,5 M</v>
      </c>
      <c r="F330" s="233" t="str">
        <f>IFERROR(__xludf.DUMMYFUNCTION("""COMPUTED_VALUE"""),"KABEL DATA DAP DNT200(TYPE-C) 2M")</f>
        <v>KABEL DATA DAP DNT200(TYPE-C) 2M</v>
      </c>
    </row>
    <row r="331">
      <c r="A331" s="233" t="str">
        <f>IFERROR(__xludf.DUMMYFUNCTION("""COMPUTED_VALUE"""),"KABEL HDMI TO HDMI 1,5 M POLOS")</f>
        <v>KABEL HDMI TO HDMI 1,5 M POLOS</v>
      </c>
      <c r="F331" s="233" t="str">
        <f>IFERROR(__xludf.DUMMYFUNCTION("""COMPUTED_VALUE"""),"KABEL DATA DAP DNM100(MICRO)")</f>
        <v>KABEL DATA DAP DNM100(MICRO)</v>
      </c>
    </row>
    <row r="332">
      <c r="A332" s="233" t="str">
        <f>IFERROR(__xludf.DUMMYFUNCTION("""COMPUTED_VALUE"""),"Kabel Hdmi To Hdmi 1.5 Meter")</f>
        <v>Kabel Hdmi To Hdmi 1.5 Meter</v>
      </c>
      <c r="F332" s="233" t="str">
        <f>IFERROR(__xludf.DUMMYFUNCTION("""COMPUTED_VALUE"""),"Kabel data DAP DNT100 ( TYPE-C )")</f>
        <v>Kabel data DAP DNT100 ( TYPE-C )</v>
      </c>
    </row>
    <row r="333">
      <c r="A333" s="233" t="str">
        <f>IFERROR(__xludf.DUMMYFUNCTION("""COMPUTED_VALUE"""),"KABEL HDMI TO HDMI 3 M")</f>
        <v>KABEL HDMI TO HDMI 3 M</v>
      </c>
      <c r="F333" s="233" t="str">
        <f>IFERROR(__xludf.DUMMYFUNCTION("""COMPUTED_VALUE"""),"KABEL DATA SILICONE C-C 1.2M")</f>
        <v>KABEL DATA SILICONE C-C 1.2M</v>
      </c>
    </row>
    <row r="334">
      <c r="A334" s="233" t="str">
        <f>IFERROR(__xludf.DUMMYFUNCTION("""COMPUTED_VALUE"""),"KABEL KOMPUTER RCA TO RCA")</f>
        <v>KABEL KOMPUTER RCA TO RCA</v>
      </c>
      <c r="F334" s="233" t="str">
        <f>IFERROR(__xludf.DUMMYFUNCTION("""COMPUTED_VALUE"""),"Kabel data original iphone 12")</f>
        <v>Kabel data original iphone 12</v>
      </c>
    </row>
    <row r="335">
      <c r="A335" s="233" t="str">
        <f>IFERROR(__xludf.DUMMYFUNCTION("""COMPUTED_VALUE"""),"KABEL POWER DAP D-H03")</f>
        <v>KABEL POWER DAP D-H03</v>
      </c>
      <c r="F335" s="233" t="str">
        <f>IFERROR(__xludf.DUMMYFUNCTION("""COMPUTED_VALUE"""),"KABEL DATA ALIENS 5A C TO C 60W")</f>
        <v>KABEL DATA ALIENS 5A C TO C 60W</v>
      </c>
    </row>
    <row r="336">
      <c r="A336" s="233" t="str">
        <f>IFERROR(__xludf.DUMMYFUNCTION("""COMPUTED_VALUE"""),"KACAMATA")</f>
        <v>KACAMATA</v>
      </c>
      <c r="F336" s="233" t="str">
        <f>IFERROR(__xludf.DUMMYFUNCTION("""COMPUTED_VALUE"""),"KABEL DATA LANEX LS21M 3A")</f>
        <v>KABEL DATA LANEX LS21M 3A</v>
      </c>
    </row>
    <row r="337">
      <c r="A337" s="233" t="str">
        <f>IFERROR(__xludf.DUMMYFUNCTION("""COMPUTED_VALUE"""),"KANTONG HP WATER PROOF BENING")</f>
        <v>KANTONG HP WATER PROOF BENING</v>
      </c>
      <c r="F337" s="233" t="str">
        <f>IFERROR(__xludf.DUMMYFUNCTION("""COMPUTED_VALUE"""),"KABEL AUX LENYES AX-106 IPHONE TO 3,5MM")</f>
        <v>KABEL AUX LENYES AX-106 IPHONE TO 3,5MM</v>
      </c>
    </row>
    <row r="338">
      <c r="A338" s="233" t="str">
        <f>IFERROR(__xludf.DUMMYFUNCTION("""COMPUTED_VALUE"""),"KANTONG HP WATER PROOF BENING/WARNA")</f>
        <v>KANTONG HP WATER PROOF BENING/WARNA</v>
      </c>
      <c r="F338" s="233" t="str">
        <f>IFERROR(__xludf.DUMMYFUNCTION("""COMPUTED_VALUE"""),"KACAMATA")</f>
        <v>KACAMATA</v>
      </c>
    </row>
    <row r="339">
      <c r="A339" s="233" t="str">
        <f>IFERROR(__xludf.DUMMYFUNCTION("""COMPUTED_VALUE"""),"KD Ori 100% iphone17 pro max , 60w Colokan Type-C To C")</f>
        <v>KD Ori 100% iphone17 pro max , 60w Colokan Type-C To C</v>
      </c>
      <c r="F339" s="233" t="str">
        <f>IFERROR(__xludf.DUMMYFUNCTION("""COMPUTED_VALUE"""),"KANTONG HP WATER PROOF BENING")</f>
        <v>KANTONG HP WATER PROOF BENING</v>
      </c>
    </row>
    <row r="340">
      <c r="A340" s="233" t="str">
        <f>IFERROR(__xludf.DUMMYFUNCTION("""COMPUTED_VALUE"""),"KEBEL DATA LENYES LC906I 2.1A 100CM LIGHTNING")</f>
        <v>KEBEL DATA LENYES LC906I 2.1A 100CM LIGHTNING</v>
      </c>
      <c r="F340" s="233" t="str">
        <f>IFERROR(__xludf.DUMMYFUNCTION("""COMPUTED_VALUE"""),"KANTONG HP WATER PROOF BENING/WARNA")</f>
        <v>KANTONG HP WATER PROOF BENING/WARNA</v>
      </c>
    </row>
    <row r="341">
      <c r="A341" s="233" t="str">
        <f>IFERROR(__xludf.DUMMYFUNCTION("""COMPUTED_VALUE"""),"KEPALA CHARGER OLIKE C109 2.4 POWER ADAPTER (SKU RJA-KEPA-0804)")</f>
        <v>KEPALA CHARGER OLIKE C109 2.4 POWER ADAPTER (SKU RJA-KEPA-0804)</v>
      </c>
      <c r="F341" s="233" t="str">
        <f>IFERROR(__xludf.DUMMYFUNCTION("""COMPUTED_VALUE"""),"KD Ori 100% iphone17 pro max , 60w Colokan Type-C To C")</f>
        <v>KD Ori 100% iphone17 pro max , 60w Colokan Type-C To C</v>
      </c>
    </row>
    <row r="342">
      <c r="A342" s="233" t="str">
        <f>IFERROR(__xludf.DUMMYFUNCTION("""COMPUTED_VALUE"""),"KEPALA CHARGER OLIKE C109 2.4 POWER ADAPTER (SKU RJA-KEPA-0855)")</f>
        <v>KEPALA CHARGER OLIKE C109 2.4 POWER ADAPTER (SKU RJA-KEPA-0855)</v>
      </c>
      <c r="F342" s="233" t="str">
        <f>IFERROR(__xludf.DUMMYFUNCTION("""COMPUTED_VALUE"""),"KEBEL DATA LENYES LC906I 2.1A 100CM LIGHTNING")</f>
        <v>KEBEL DATA LENYES LC906I 2.1A 100CM LIGHTNING</v>
      </c>
    </row>
    <row r="343">
      <c r="A343" s="233" t="str">
        <f>IFERROR(__xludf.DUMMYFUNCTION("""COMPUTED_VALUE"""),"KONVERTER TYPE C TO AUX JACK 3.5")</f>
        <v>KONVERTER TYPE C TO AUX JACK 3.5</v>
      </c>
      <c r="F343" s="233" t="str">
        <f>IFERROR(__xludf.DUMMYFUNCTION("""COMPUTED_VALUE"""),"KEPALA CHARGER OLIKE C109 2.4 POWER ADAPTER (SKU RJA-KEPA-0804)")</f>
        <v>KEPALA CHARGER OLIKE C109 2.4 POWER ADAPTER (SKU RJA-KEPA-0804)</v>
      </c>
    </row>
    <row r="344">
      <c r="A344" s="233" t="str">
        <f>IFERROR(__xludf.DUMMYFUNCTION("""COMPUTED_VALUE"""),"LAMPU BELAJAR V7188")</f>
        <v>LAMPU BELAJAR V7188</v>
      </c>
      <c r="F344" s="233" t="str">
        <f>IFERROR(__xludf.DUMMYFUNCTION("""COMPUTED_VALUE"""),"KEPALA CHARGER OLIKE C109 2.4 POWER ADAPTER (SKU RJA-KEPA-0855)")</f>
        <v>KEPALA CHARGER OLIKE C109 2.4 POWER ADAPTER (SKU RJA-KEPA-0855)</v>
      </c>
    </row>
    <row r="345">
      <c r="A345" s="233" t="str">
        <f>IFERROR(__xludf.DUMMYFUNCTION("""COMPUTED_VALUE"""),"LAMPU EMERGENCY NY-885B")</f>
        <v>LAMPU EMERGENCY NY-885B</v>
      </c>
      <c r="F345" s="233" t="str">
        <f>IFERROR(__xludf.DUMMYFUNCTION("""COMPUTED_VALUE"""),"KONVERTER TYPE C TO AUX JACK 3.5")</f>
        <v>KONVERTER TYPE C TO AUX JACK 3.5</v>
      </c>
    </row>
    <row r="346">
      <c r="A346" s="233" t="str">
        <f>IFERROR(__xludf.DUMMYFUNCTION("""COMPUTED_VALUE"""),"LAMPU LED USB FLEXIBEL")</f>
        <v>LAMPU LED USB FLEXIBEL</v>
      </c>
      <c r="F346" s="233" t="str">
        <f>IFERROR(__xludf.DUMMYFUNCTION("""COMPUTED_VALUE"""),"LAMPU LED USB FLEXIBEL")</f>
        <v>LAMPU LED USB FLEXIBEL</v>
      </c>
    </row>
    <row r="347">
      <c r="A347" s="233" t="str">
        <f>IFERROR(__xludf.DUMMYFUNCTION("""COMPUTED_VALUE"""),"Lampu Senter Kepala Led COB")</f>
        <v>Lampu Senter Kepala Led COB</v>
      </c>
      <c r="F347" s="233" t="str">
        <f>IFERROR(__xludf.DUMMYFUNCTION("""COMPUTED_VALUE"""),"Lampu Senter Kepala Led COB")</f>
        <v>Lampu Senter Kepala Led COB</v>
      </c>
    </row>
    <row r="348">
      <c r="A348" s="233" t="str">
        <f>IFERROR(__xludf.DUMMYFUNCTION("""COMPUTED_VALUE"""),"LAMPU USB ASTRONOT ASTRO-LIGHT")</f>
        <v>LAMPU USB ASTRONOT ASTRO-LIGHT</v>
      </c>
      <c r="F348" s="233" t="str">
        <f>IFERROR(__xludf.DUMMYFUNCTION("""COMPUTED_VALUE"""),"LAMPU BELAJAR V7188")</f>
        <v>LAMPU BELAJAR V7188</v>
      </c>
    </row>
    <row r="349">
      <c r="A349" s="233" t="str">
        <f>IFERROR(__xludf.DUMMYFUNCTION("""COMPUTED_VALUE"""),"LIGHTNING SPLINTER")</f>
        <v>LIGHTNING SPLINTER</v>
      </c>
      <c r="F349" s="233" t="str">
        <f>IFERROR(__xludf.DUMMYFUNCTION("""COMPUTED_VALUE"""),"LAMPU EMERGENCY NY-885B")</f>
        <v>LAMPU EMERGENCY NY-885B</v>
      </c>
    </row>
    <row r="350">
      <c r="A350" s="233" t="str">
        <f>IFERROR(__xludf.DUMMYFUNCTION("""COMPUTED_VALUE"""),"MASKER KF95")</f>
        <v>MASKER KF95</v>
      </c>
      <c r="F350" s="233" t="str">
        <f>IFERROR(__xludf.DUMMYFUNCTION("""COMPUTED_VALUE"""),"LAMPU USB ASTRONOT ASTRO-LIGHT")</f>
        <v>LAMPU USB ASTRONOT ASTRO-LIGHT</v>
      </c>
    </row>
    <row r="351">
      <c r="A351" s="233" t="str">
        <f>IFERROR(__xludf.DUMMYFUNCTION("""COMPUTED_VALUE"""),"METIKO CONVERT USB 3IN1 TYPE C TO HDMI")</f>
        <v>METIKO CONVERT USB 3IN1 TYPE C TO HDMI</v>
      </c>
      <c r="F351" s="233" t="str">
        <f>IFERROR(__xludf.DUMMYFUNCTION("""COMPUTED_VALUE"""),"LIGHTNING SPLINTER")</f>
        <v>LIGHTNING SPLINTER</v>
      </c>
    </row>
    <row r="352">
      <c r="A352" s="233" t="str">
        <f>IFERROR(__xludf.DUMMYFUNCTION("""COMPUTED_VALUE"""),"METIKO CONVERTER TYPE C6 IN1 TO HDMI 3.0")</f>
        <v>METIKO CONVERTER TYPE C6 IN1 TO HDMI 3.0</v>
      </c>
      <c r="F352" s="233" t="str">
        <f>IFERROR(__xludf.DUMMYFUNCTION("""COMPUTED_VALUE"""),"MASKER KF95")</f>
        <v>MASKER KF95</v>
      </c>
    </row>
    <row r="353">
      <c r="A353" s="233" t="str">
        <f>IFERROR(__xludf.DUMMYFUNCTION("""COMPUTED_VALUE"""),"Microphone WS-868L")</f>
        <v>Microphone WS-868L</v>
      </c>
      <c r="F353" s="233" t="str">
        <f>IFERROR(__xludf.DUMMYFUNCTION("""COMPUTED_VALUE"""),"METIKO CONVERT USB 3IN1 TYPE C TO HDMI")</f>
        <v>METIKO CONVERT USB 3IN1 TYPE C TO HDMI</v>
      </c>
    </row>
    <row r="354">
      <c r="A354" s="233" t="str">
        <f>IFERROR(__xludf.DUMMYFUNCTION("""COMPUTED_VALUE"""),"MINI MOP")</f>
        <v>MINI MOP</v>
      </c>
      <c r="F354" s="233" t="str">
        <f>IFERROR(__xludf.DUMMYFUNCTION("""COMPUTED_VALUE"""),"METIKO CONVERTER TYPE C6 IN1 TO HDMI 3.0")</f>
        <v>METIKO CONVERTER TYPE C6 IN1 TO HDMI 3.0</v>
      </c>
    </row>
    <row r="355">
      <c r="A355" s="233" t="str">
        <f>IFERROR(__xludf.DUMMYFUNCTION("""COMPUTED_VALUE"""),"MIX NOJOO MIC-64M 3 M")</f>
        <v>MIX NOJOO MIC-64M 3 M</v>
      </c>
      <c r="F355" s="233" t="str">
        <f>IFERROR(__xludf.DUMMYFUNCTION("""COMPUTED_VALUE"""),"Microphone WS-868L")</f>
        <v>Microphone WS-868L</v>
      </c>
    </row>
    <row r="356">
      <c r="A356" s="233" t="str">
        <f>IFERROR(__xludf.DUMMYFUNCTION("""COMPUTED_VALUE"""),"MMC SAMSUNG 64 GB")</f>
        <v>MMC SAMSUNG 64 GB</v>
      </c>
      <c r="F356" s="233" t="str">
        <f>IFERROR(__xludf.DUMMYFUNCTION("""COMPUTED_VALUE"""),"MINI MOP")</f>
        <v>MINI MOP</v>
      </c>
    </row>
    <row r="357">
      <c r="A357" s="233" t="str">
        <f>IFERROR(__xludf.DUMMYFUNCTION("""COMPUTED_VALUE"""),"MMC SANDISK 32 GB")</f>
        <v>MMC SANDISK 32 GB</v>
      </c>
      <c r="F357" s="233" t="str">
        <f>IFERROR(__xludf.DUMMYFUNCTION("""COMPUTED_VALUE"""),"MIX NOJOO MIC-64M 3 M")</f>
        <v>MIX NOJOO MIC-64M 3 M</v>
      </c>
    </row>
    <row r="358">
      <c r="A358" s="233" t="str">
        <f>IFERROR(__xludf.DUMMYFUNCTION("""COMPUTED_VALUE"""),"MOUSE M200 WIRELESS BLACK OLIKE")</f>
        <v>MOUSE M200 WIRELESS BLACK OLIKE</v>
      </c>
      <c r="F358" s="233" t="str">
        <f>IFERROR(__xludf.DUMMYFUNCTION("""COMPUTED_VALUE"""),"MMC SAMSUNG 64 GB")</f>
        <v>MMC SAMSUNG 64 GB</v>
      </c>
    </row>
    <row r="359">
      <c r="A359" s="233" t="str">
        <f>IFERROR(__xludf.DUMMYFUNCTION("""COMPUTED_VALUE"""),"MOUSE M7 WIRELESS RECHARGEABLE BLACK OLIKE")</f>
        <v>MOUSE M7 WIRELESS RECHARGEABLE BLACK OLIKE</v>
      </c>
      <c r="F359" s="233" t="str">
        <f>IFERROR(__xludf.DUMMYFUNCTION("""COMPUTED_VALUE"""),"MMC SANDISK 32 GB")</f>
        <v>MMC SANDISK 32 GB</v>
      </c>
    </row>
    <row r="360">
      <c r="A360" s="233" t="str">
        <f>IFERROR(__xludf.DUMMYFUNCTION("""COMPUTED_VALUE"""),"MOUSEPAD GAMER")</f>
        <v>MOUSEPAD GAMER</v>
      </c>
      <c r="F360" s="233" t="str">
        <f>IFERROR(__xludf.DUMMYFUNCTION("""COMPUTED_VALUE"""),"MOUSE M200 WIRELESS BLACK OLIKE")</f>
        <v>MOUSE M200 WIRELESS BLACK OLIKE</v>
      </c>
    </row>
    <row r="361">
      <c r="A361" s="233" t="str">
        <f>IFERROR(__xludf.DUMMYFUNCTION("""COMPUTED_VALUE"""),"MULTI FUNCTION SCREWDRIVERSET CR-V")</f>
        <v>MULTI FUNCTION SCREWDRIVERSET CR-V</v>
      </c>
      <c r="F361" s="233" t="str">
        <f>IFERROR(__xludf.DUMMYFUNCTION("""COMPUTED_VALUE"""),"MOUSE M7 WIRELESS RECHARGEABLE BLACK OLIKE")</f>
        <v>MOUSE M7 WIRELESS RECHARGEABLE BLACK OLIKE</v>
      </c>
    </row>
    <row r="362">
      <c r="A362" s="233" t="str">
        <f>IFERROR(__xludf.DUMMYFUNCTION("""COMPUTED_VALUE"""),"NAME TAG +TALI")</f>
        <v>NAME TAG +TALI</v>
      </c>
      <c r="F362" s="233" t="str">
        <f>IFERROR(__xludf.DUMMYFUNCTION("""COMPUTED_VALUE"""),"MULTI FUNCTION SCREWDRIVERSET CR-V")</f>
        <v>MULTI FUNCTION SCREWDRIVERSET CR-V</v>
      </c>
    </row>
    <row r="363">
      <c r="A363" s="233" t="str">
        <f>IFERROR(__xludf.DUMMYFUNCTION("""COMPUTED_VALUE"""),"OBENG HP 32 IN 1")</f>
        <v>OBENG HP 32 IN 1</v>
      </c>
      <c r="F363" s="233" t="str">
        <f>IFERROR(__xludf.DUMMYFUNCTION("""COMPUTED_VALUE"""),"NAME TAG +TALI")</f>
        <v>NAME TAG +TALI</v>
      </c>
    </row>
    <row r="364">
      <c r="A364" s="233" t="str">
        <f>IFERROR(__xludf.DUMMYFUNCTION("""COMPUTED_VALUE"""),"OLIKE LIGHTING PORT WIRED EARPHONE E12 WHITE")</f>
        <v>OLIKE LIGHTING PORT WIRED EARPHONE E12 WHITE</v>
      </c>
      <c r="F364" s="233" t="str">
        <f>IFERROR(__xludf.DUMMYFUNCTION("""COMPUTED_VALUE"""),"OBENG HP 32 IN 1")</f>
        <v>OBENG HP 32 IN 1</v>
      </c>
    </row>
    <row r="365">
      <c r="A365" s="233" t="str">
        <f>IFERROR(__xludf.DUMMYFUNCTION("""COMPUTED_VALUE"""),"OLIKE LIGHTING PORT WIRED EARPHONE E20L BLACK")</f>
        <v>OLIKE LIGHTING PORT WIRED EARPHONE E20L BLACK</v>
      </c>
      <c r="F365" s="233" t="str">
        <f>IFERROR(__xludf.DUMMYFUNCTION("""COMPUTED_VALUE"""),"OLIKE LIGHTING PORT WIRED EARPHONE E20L BLACK")</f>
        <v>OLIKE LIGHTING PORT WIRED EARPHONE E20L BLACK</v>
      </c>
    </row>
    <row r="366">
      <c r="A366" s="233" t="str">
        <f>IFERROR(__xludf.DUMMYFUNCTION("""COMPUTED_VALUE"""),"OTG 2IN 1 MICRO DAN TYPE TO USB")</f>
        <v>OTG 2IN 1 MICRO DAN TYPE TO USB</v>
      </c>
      <c r="F366" s="233" t="str">
        <f>IFERROR(__xludf.DUMMYFUNCTION("""COMPUTED_VALUE"""),"OLIKE LIGHTING PORT WIRED EARPHONE E12 WHITE")</f>
        <v>OLIKE LIGHTING PORT WIRED EARPHONE E12 WHITE</v>
      </c>
    </row>
    <row r="367">
      <c r="A367" s="233" t="str">
        <f>IFERROR(__xludf.DUMMYFUNCTION("""COMPUTED_VALUE"""),"OTG MICRO MOBILE PHONE")</f>
        <v>OTG MICRO MOBILE PHONE</v>
      </c>
      <c r="F367" s="233" t="str">
        <f>IFERROR(__xludf.DUMMYFUNCTION("""COMPUTED_VALUE"""),"OTG 2IN 1 MICRO DAN TYPE TO USB")</f>
        <v>OTG 2IN 1 MICRO DAN TYPE TO USB</v>
      </c>
    </row>
    <row r="368">
      <c r="A368" s="233" t="str">
        <f>IFERROR(__xludf.DUMMYFUNCTION("""COMPUTED_VALUE"""),"OTG MICRO TO USB")</f>
        <v>OTG MICRO TO USB</v>
      </c>
      <c r="F368" s="233" t="str">
        <f>IFERROR(__xludf.DUMMYFUNCTION("""COMPUTED_VALUE"""),"OTG MICRO TO USB")</f>
        <v>OTG MICRO TO USB</v>
      </c>
    </row>
    <row r="369">
      <c r="A369" s="233" t="str">
        <f>IFERROR(__xludf.DUMMYFUNCTION("""COMPUTED_VALUE"""),"OTG TYPE C VBOX YHL-19")</f>
        <v>OTG TYPE C VBOX YHL-19</v>
      </c>
      <c r="F369" s="233" t="str">
        <f>IFERROR(__xludf.DUMMYFUNCTION("""COMPUTED_VALUE"""),"OTG MICRO MOBILE PHONE")</f>
        <v>OTG MICRO MOBILE PHONE</v>
      </c>
    </row>
    <row r="370">
      <c r="A370" s="233" t="str">
        <f>IFERROR(__xludf.DUMMYFUNCTION("""COMPUTED_VALUE"""),"PARFUME BESAR")</f>
        <v>PARFUME BESAR</v>
      </c>
      <c r="F370" s="233" t="str">
        <f>IFERROR(__xludf.DUMMYFUNCTION("""COMPUTED_VALUE"""),"OTG TYPE C VBOX YHL-19")</f>
        <v>OTG TYPE C VBOX YHL-19</v>
      </c>
    </row>
    <row r="371">
      <c r="A371" s="233" t="str">
        <f>IFERROR(__xludf.DUMMYFUNCTION("""COMPUTED_VALUE"""),"PARFUME KECIL 10K")</f>
        <v>PARFUME KECIL 10K</v>
      </c>
      <c r="F371" s="233" t="str">
        <f>IFERROR(__xludf.DUMMYFUNCTION("""COMPUTED_VALUE"""),"PARFUME BESAR")</f>
        <v>PARFUME BESAR</v>
      </c>
    </row>
    <row r="372">
      <c r="A372" s="233" t="str">
        <f>IFERROR(__xludf.DUMMYFUNCTION("""COMPUTED_VALUE"""),"PARFUME MEZUKA")</f>
        <v>PARFUME MEZUKA</v>
      </c>
      <c r="F372" s="233" t="str">
        <f>IFERROR(__xludf.DUMMYFUNCTION("""COMPUTED_VALUE"""),"PARFUME KECIL 10K")</f>
        <v>PARFUME KECIL 10K</v>
      </c>
    </row>
    <row r="373">
      <c r="A373" s="233" t="str">
        <f>IFERROR(__xludf.DUMMYFUNCTION("""COMPUTED_VALUE"""),"PARRFUME BENING")</f>
        <v>PARRFUME BENING</v>
      </c>
      <c r="F373" s="233" t="str">
        <f>IFERROR(__xludf.DUMMYFUNCTION("""COMPUTED_VALUE"""),"PARFUME MEZUKA")</f>
        <v>PARFUME MEZUKA</v>
      </c>
    </row>
    <row r="374">
      <c r="A374" s="233" t="str">
        <f>IFERROR(__xludf.DUMMYFUNCTION("""COMPUTED_VALUE"""),"PENGARUK BESI")</f>
        <v>PENGARUK BESI</v>
      </c>
      <c r="F374" s="233" t="str">
        <f>IFERROR(__xludf.DUMMYFUNCTION("""COMPUTED_VALUE"""),"PARRFUME BENING")</f>
        <v>PARRFUME BENING</v>
      </c>
    </row>
    <row r="375">
      <c r="A375" s="233" t="str">
        <f>IFERROR(__xludf.DUMMYFUNCTION("""COMPUTED_VALUE"""),"PENGKILAP KUKU")</f>
        <v>PENGKILAP KUKU</v>
      </c>
      <c r="F375" s="233" t="str">
        <f>IFERROR(__xludf.DUMMYFUNCTION("""COMPUTED_VALUE"""),"PENGKILAP KUKU")</f>
        <v>PENGKILAP KUKU</v>
      </c>
    </row>
    <row r="376">
      <c r="A376" s="233" t="str">
        <f>IFERROR(__xludf.DUMMYFUNCTION("""COMPUTED_VALUE"""),"POWER BANK OLIKE P102 10000 MAH BLACK")</f>
        <v>POWER BANK OLIKE P102 10000 MAH BLACK</v>
      </c>
      <c r="F376" s="233" t="str">
        <f>IFERROR(__xludf.DUMMYFUNCTION("""COMPUTED_VALUE"""),"PENGARUK BESI")</f>
        <v>PENGARUK BESI</v>
      </c>
    </row>
    <row r="377">
      <c r="A377" s="233" t="str">
        <f>IFERROR(__xludf.DUMMYFUNCTION("""COMPUTED_VALUE"""),"Power Bank Solar 5in1 10.000MAH")</f>
        <v>Power Bank Solar 5in1 10.000MAH</v>
      </c>
      <c r="F377" s="233" t="str">
        <f>IFERROR(__xludf.DUMMYFUNCTION("""COMPUTED_VALUE"""),"Power Bank Solar 5in1 10.000MAH")</f>
        <v>Power Bank Solar 5in1 10.000MAH</v>
      </c>
    </row>
    <row r="378">
      <c r="A378" s="233" t="str">
        <f>IFERROR(__xludf.DUMMYFUNCTION("""COMPUTED_VALUE"""),"PROMO PAKET 10K")</f>
        <v>PROMO PAKET 10K</v>
      </c>
      <c r="F378" s="233" t="str">
        <f>IFERROR(__xludf.DUMMYFUNCTION("""COMPUTED_VALUE"""),"POWER BANK OLIKE P102 10000 MAH BLACK")</f>
        <v>POWER BANK OLIKE P102 10000 MAH BLACK</v>
      </c>
    </row>
    <row r="379">
      <c r="A379" s="233" t="str">
        <f>IFERROR(__xludf.DUMMYFUNCTION("""COMPUTED_VALUE"""),"PT06 OLIKE SELFIE STICK (180cm) TRIPOD BLACK")</f>
        <v>PT06 OLIKE SELFIE STICK (180cm) TRIPOD BLACK</v>
      </c>
      <c r="F379" s="233" t="str">
        <f>IFERROR(__xludf.DUMMYFUNCTION("""COMPUTED_VALUE"""),"PROMO PAKET 10K")</f>
        <v>PROMO PAKET 10K</v>
      </c>
    </row>
    <row r="380">
      <c r="A380" s="233" t="str">
        <f>IFERROR(__xludf.DUMMYFUNCTION("""COMPUTED_VALUE"""),"Redskull Charger RSC02 White (SKU RJA-REDS-0758)")</f>
        <v>Redskull Charger RSC02 White (SKU RJA-REDS-0758)</v>
      </c>
      <c r="F380" s="233" t="str">
        <f>IFERROR(__xludf.DUMMYFUNCTION("""COMPUTED_VALUE"""),"PT06 OLIKE SELFIE STICK (180cm) TRIPOD BLACK")</f>
        <v>PT06 OLIKE SELFIE STICK (180cm) TRIPOD BLACK</v>
      </c>
    </row>
    <row r="381">
      <c r="A381" s="233" t="str">
        <f>IFERROR(__xludf.DUMMYFUNCTION("""COMPUTED_VALUE"""),"Redskull Charger RSC02 White (SKU RJA-REDS-0856)")</f>
        <v>Redskull Charger RSC02 White (SKU RJA-REDS-0856)</v>
      </c>
      <c r="F381" s="233" t="str">
        <f>IFERROR(__xludf.DUMMYFUNCTION("""COMPUTED_VALUE"""),"REDSKULL Phone Holder RSPH-02 Rotatable&amp;Foldable&amp;Flexible Black (SKU RJA-REDS-0233)")</f>
        <v>REDSKULL Phone Holder RSPH-02 Rotatable&amp;Foldable&amp;Flexible Black (SKU RJA-REDS-0233)</v>
      </c>
    </row>
    <row r="382">
      <c r="A382" s="233" t="str">
        <f>IFERROR(__xludf.DUMMYFUNCTION("""COMPUTED_VALUE"""),"Redskull Data Cable RSBC100 colorful (SKU RJA-REDS-0320)")</f>
        <v>Redskull Data Cable RSBC100 colorful (SKU RJA-REDS-0320)</v>
      </c>
      <c r="F382" s="233" t="str">
        <f>IFERROR(__xludf.DUMMYFUNCTION("""COMPUTED_VALUE"""),"REDSKULL Phone Holder RSPH-02 Rotatable&amp;Foldable&amp;Flexible Black (SKU RJA-REDS-0279)")</f>
        <v>REDSKULL Phone Holder RSPH-02 Rotatable&amp;Foldable&amp;Flexible Black (SKU RJA-REDS-0279)</v>
      </c>
    </row>
    <row r="383">
      <c r="A383" s="233" t="str">
        <f>IFERROR(__xludf.DUMMYFUNCTION("""COMPUTED_VALUE"""),"Redskull Data Cable RSBC100 colorful (SKU RJA-REDS-0516)")</f>
        <v>Redskull Data Cable RSBC100 colorful (SKU RJA-REDS-0516)</v>
      </c>
      <c r="F383" s="233" t="str">
        <f>IFERROR(__xludf.DUMMYFUNCTION("""COMPUTED_VALUE"""),"Redskull Data Cable RSBC100 colorful (SKU RJA-REDS-0320)")</f>
        <v>Redskull Data Cable RSBC100 colorful (SKU RJA-REDS-0320)</v>
      </c>
    </row>
    <row r="384">
      <c r="A384" s="233" t="str">
        <f>IFERROR(__xludf.DUMMYFUNCTION("""COMPUTED_VALUE"""),"Redskull Data Cable RSBM100 colorful (SKU RJA-REDS-0514)")</f>
        <v>Redskull Data Cable RSBM100 colorful (SKU RJA-REDS-0514)</v>
      </c>
      <c r="F384" s="233" t="str">
        <f>IFERROR(__xludf.DUMMYFUNCTION("""COMPUTED_VALUE"""),"Redskull Data Cable RSBM100 colorful (SKU RJA-REDS-0514)")</f>
        <v>Redskull Data Cable RSBM100 colorful (SKU RJA-REDS-0514)</v>
      </c>
    </row>
    <row r="385">
      <c r="A385" s="233" t="str">
        <f>IFERROR(__xludf.DUMMYFUNCTION("""COMPUTED_VALUE"""),"Redskull Data Cable RSBM100 colorful (SKU RJA-REDS-0515)")</f>
        <v>Redskull Data Cable RSBM100 colorful (SKU RJA-REDS-0515)</v>
      </c>
      <c r="F385" s="233" t="str">
        <f>IFERROR(__xludf.DUMMYFUNCTION("""COMPUTED_VALUE"""),"Redskull Data Cable RSBM100 colorful (SKU RJA-REDS-0515)")</f>
        <v>Redskull Data Cable RSBM100 colorful (SKU RJA-REDS-0515)</v>
      </c>
    </row>
    <row r="386">
      <c r="A386" s="233" t="str">
        <f>IFERROR(__xludf.DUMMYFUNCTION("""COMPUTED_VALUE"""),"REDSKULL Phone Holder RSPH-02 Rotatable&amp;Foldable&amp;Flexible Black (SKU RJA-REDS-0233)")</f>
        <v>REDSKULL Phone Holder RSPH-02 Rotatable&amp;Foldable&amp;Flexible Black (SKU RJA-REDS-0233)</v>
      </c>
      <c r="F386" s="233" t="str">
        <f>IFERROR(__xludf.DUMMYFUNCTION("""COMPUTED_VALUE"""),"Redskull Data Cable RSBC100 colorful (SKU RJA-REDS-0516)")</f>
        <v>Redskull Data Cable RSBC100 colorful (SKU RJA-REDS-0516)</v>
      </c>
    </row>
    <row r="387">
      <c r="A387" s="233" t="str">
        <f>IFERROR(__xludf.DUMMYFUNCTION("""COMPUTED_VALUE"""),"REDSKULL Phone Holder RSPH-02 Rotatable&amp;Foldable&amp;Flexible Black (SKU RJA-REDS-0279)")</f>
        <v>REDSKULL Phone Holder RSPH-02 Rotatable&amp;Foldable&amp;Flexible Black (SKU RJA-REDS-0279)</v>
      </c>
      <c r="F387" s="233" t="str">
        <f>IFERROR(__xludf.DUMMYFUNCTION("""COMPUTED_VALUE"""),"Redskull Charger RSC02 White (SKU RJA-REDS-0758)")</f>
        <v>Redskull Charger RSC02 White (SKU RJA-REDS-0758)</v>
      </c>
    </row>
    <row r="388">
      <c r="A388" s="233" t="str">
        <f>IFERROR(__xludf.DUMMYFUNCTION("""COMPUTED_VALUE"""),"REMOTE BLUETOOTH")</f>
        <v>REMOTE BLUETOOTH</v>
      </c>
      <c r="F388" s="233" t="str">
        <f>IFERROR(__xludf.DUMMYFUNCTION("""COMPUTED_VALUE"""),"Redskull Charger RSC02 White (SKU RJA-REDS-0856)")</f>
        <v>Redskull Charger RSC02 White (SKU RJA-REDS-0856)</v>
      </c>
    </row>
    <row r="389">
      <c r="A389" s="233" t="str">
        <f>IFERROR(__xludf.DUMMYFUNCTION("""COMPUTED_VALUE"""),"RINGLIGHT 45 CM")</f>
        <v>RINGLIGHT 45 CM</v>
      </c>
      <c r="F389" s="233" t="str">
        <f>IFERROR(__xludf.DUMMYFUNCTION("""COMPUTED_VALUE"""),"REMOTE BLUETOOTH")</f>
        <v>REMOTE BLUETOOTH</v>
      </c>
    </row>
    <row r="390">
      <c r="A390" s="233" t="str">
        <f>IFERROR(__xludf.DUMMYFUNCTION("""COMPUTED_VALUE"""),"ROBOT 2in1 Dua Port Type-C Data Cable RYCC150 65W 3A Blue 150CM")</f>
        <v>ROBOT 2in1 Dua Port Type-C Data Cable RYCC150 65W 3A Blue 150CM</v>
      </c>
      <c r="F390" s="233" t="str">
        <f>IFERROR(__xludf.DUMMYFUNCTION("""COMPUTED_VALUE"""),"RINGLIGHT 45 CM")</f>
        <v>RINGLIGHT 45 CM</v>
      </c>
    </row>
    <row r="391">
      <c r="A391" s="233" t="str">
        <f>IFERROR(__xludf.DUMMYFUNCTION("""COMPUTED_VALUE"""),"ROBOT 32GB CLASS 10 TF Card Chip With Package")</f>
        <v>ROBOT 32GB CLASS 10 TF Card Chip With Package</v>
      </c>
      <c r="F391" s="233" t="str">
        <f>IFERROR(__xludf.DUMMYFUNCTION("""COMPUTED_VALUE"""),"ROBOT Wireless Connector RS20 WIRELESS Microphone Black")</f>
        <v>ROBOT Wireless Connector RS20 WIRELESS Microphone Black</v>
      </c>
    </row>
    <row r="392">
      <c r="A392" s="233" t="str">
        <f>IFERROR(__xludf.DUMMYFUNCTION("""COMPUTED_VALUE"""),"ROBOT Advanced Golden Series Data Cable R-LUXCL100 PD30W Type-C To Lightning Black 100CM (SKU RJA-ROBO-0353)")</f>
        <v>ROBOT Advanced Golden Series Data Cable R-LUXCL100 PD30W Type-C To Lightning Black 100CM (SKU RJA-ROBO-0353)</v>
      </c>
      <c r="F392" s="233" t="str">
        <f>IFERROR(__xludf.DUMMYFUNCTION("""COMPUTED_VALUE"""),"ROBOT Smart Phone Charger RT-CC6 Black")</f>
        <v>ROBOT Smart Phone Charger RT-CC6 Black</v>
      </c>
    </row>
    <row r="393">
      <c r="A393" s="233" t="str">
        <f>IFERROR(__xludf.DUMMYFUNCTION("""COMPUTED_VALUE"""),"ROBOT Advanced Golden Series Data Cable R-LUXCL100 PD30W Type-C To Lightning Black 100CM (SKU RJA-ROBO-0434)")</f>
        <v>ROBOT Advanced Golden Series Data Cable R-LUXCL100 PD30W Type-C To Lightning Black 100CM (SKU RJA-ROBO-0434)</v>
      </c>
      <c r="F393" s="233" t="str">
        <f>IFERROR(__xludf.DUMMYFUNCTION("""COMPUTED_VALUE"""),"ROBOT Car Charger RT-C09 White")</f>
        <v>ROBOT Car Charger RT-C09 White</v>
      </c>
    </row>
    <row r="394">
      <c r="A394" s="233" t="str">
        <f>IFERROR(__xludf.DUMMYFUNCTION("""COMPUTED_VALUE"""),"ROBOT Air 10 Open-Ear True Wireless Ear-Clip Earphones，BT5.3，Anti-Hearing Loss， (SKU RJA-ROBO-0960)")</f>
        <v>ROBOT Air 10 Open-Ear True Wireless Ear-Clip Earphones，BT5.3，Anti-Hearing Loss， (SKU RJA-ROBO-0960)</v>
      </c>
      <c r="F394" s="233" t="str">
        <f>IFERROR(__xludf.DUMMYFUNCTION("""COMPUTED_VALUE"""),"ROBOT Car Charger RT-C08 White")</f>
        <v>ROBOT Car Charger RT-C08 White</v>
      </c>
    </row>
    <row r="395">
      <c r="A395" s="233" t="str">
        <f>IFERROR(__xludf.DUMMYFUNCTION("""COMPUTED_VALUE"""),"ROBOT Air 10 Open-Ear True Wireless Ear-Clip Earphones，BT5.3，Anti-Hearing Loss， (SKU RJA-ROBO-0994)")</f>
        <v>ROBOT Air 10 Open-Ear True Wireless Ear-Clip Earphones，BT5.3，Anti-Hearing Loss， (SKU RJA-ROBO-0994)</v>
      </c>
      <c r="F395" s="233" t="str">
        <f>IFERROR(__xludf.DUMMYFUNCTION("""COMPUTED_VALUE"""),"ROBOT Car Charger RT-CC7 Silver+Grey")</f>
        <v>ROBOT Car Charger RT-CC7 Silver+Grey</v>
      </c>
    </row>
    <row r="396">
      <c r="A396" s="233" t="str">
        <f>IFERROR(__xludf.DUMMYFUNCTION("""COMPUTED_VALUE"""),"ROBOT Airbuds T20S TWS Lightweight&amp;Deep Bass Sound Earphones Black")</f>
        <v>ROBOT Airbuds T20S TWS Lightweight&amp;Deep Bass Sound Earphones Black</v>
      </c>
      <c r="F396" s="233" t="str">
        <f>IFERROR(__xludf.DUMMYFUNCTION("""COMPUTED_VALUE"""),"ROBOT Car Charger RT-NP02 Black")</f>
        <v>ROBOT Car Charger RT-NP02 Black</v>
      </c>
    </row>
    <row r="397">
      <c r="A397" s="233" t="str">
        <f>IFERROR(__xludf.DUMMYFUNCTION("""COMPUTED_VALUE"""),"ROBOT Airbuds T40NC In- Ear ENC TWS Bluetooth Earphones Deep Rich Bass Black")</f>
        <v>ROBOT Airbuds T40NC In- Ear ENC TWS Bluetooth Earphones Deep Rich Bass Black</v>
      </c>
      <c r="F397" s="233" t="str">
        <f>IFERROR(__xludf.DUMMYFUNCTION("""COMPUTED_VALUE"""),"ROBOT CR102S Card Reader USB3.0 Black")</f>
        <v>ROBOT CR102S Card Reader USB3.0 Black</v>
      </c>
    </row>
    <row r="398">
      <c r="A398" s="233" t="str">
        <f>IFERROR(__xludf.DUMMYFUNCTION("""COMPUTED_VALUE"""),"ROBOT Bluetooth Headsets Talk10 Black")</f>
        <v>ROBOT Bluetooth Headsets Talk10 Black</v>
      </c>
      <c r="F398" s="233" t="str">
        <f>IFERROR(__xludf.DUMMYFUNCTION("""COMPUTED_VALUE"""),"ROBOT Card Reader CR202S Grey")</f>
        <v>ROBOT Card Reader CR202S Grey</v>
      </c>
    </row>
    <row r="399">
      <c r="A399" s="233" t="str">
        <f>IFERROR(__xludf.DUMMYFUNCTION("""COMPUTED_VALUE"""),"ROBOT Bluetooth Speaker RB570 Green")</f>
        <v>ROBOT Bluetooth Speaker RB570 Green</v>
      </c>
      <c r="F399" s="233" t="str">
        <f>IFERROR(__xludf.DUMMYFUNCTION("""COMPUTED_VALUE"""),"ROBOT Laptop Cooling Pad RCP10 Black (SKU RJA-ROBO-0122)")</f>
        <v>ROBOT Laptop Cooling Pad RCP10 Black (SKU RJA-ROBO-0122)</v>
      </c>
    </row>
    <row r="400">
      <c r="A400" s="233" t="str">
        <f>IFERROR(__xludf.DUMMYFUNCTION("""COMPUTED_VALUE"""),"ROBOT BRACKET DATA CABLE RBKCC100 65W C TO C")</f>
        <v>ROBOT BRACKET DATA CABLE RBKCC100 65W C TO C</v>
      </c>
      <c r="F400" s="233" t="str">
        <f>IFERROR(__xludf.DUMMYFUNCTION("""COMPUTED_VALUE"""),"ROBOT Laptop Cooling Pad RCP10 Black (SKU RJA-ROBO-0123)")</f>
        <v>ROBOT Laptop Cooling Pad RCP10 Black (SKU RJA-ROBO-0123)</v>
      </c>
    </row>
    <row r="401">
      <c r="A401" s="233" t="str">
        <f>IFERROR(__xludf.DUMMYFUNCTION("""COMPUTED_VALUE"""),"ROBOT Car Charger RT-C08 White")</f>
        <v>ROBOT Car Charger RT-C08 White</v>
      </c>
      <c r="F401" s="233" t="str">
        <f>IFERROR(__xludf.DUMMYFUNCTION("""COMPUTED_VALUE"""),"ROBOT Highspeed Handheld Mini Fan RT-HF01 White With 100 Leve&amp;LED Display (SKU RJA-ROBO-0125)")</f>
        <v>ROBOT Highspeed Handheld Mini Fan RT-HF01 White With 100 Leve&amp;LED Display (SKU RJA-ROBO-0125)</v>
      </c>
    </row>
    <row r="402">
      <c r="A402" s="233" t="str">
        <f>IFERROR(__xludf.DUMMYFUNCTION("""COMPUTED_VALUE"""),"ROBOT Car Charger RT-C09 White")</f>
        <v>ROBOT Car Charger RT-C09 White</v>
      </c>
      <c r="F402" s="233" t="str">
        <f>IFERROR(__xludf.DUMMYFUNCTION("""COMPUTED_VALUE"""),"ROBOT RF304 4GB Flashdisk All Metal High-Speed Portable &amp; Lightweight USB Silver")</f>
        <v>ROBOT RF304 4GB Flashdisk All Metal High-Speed Portable &amp; Lightweight USB Silver</v>
      </c>
    </row>
    <row r="403">
      <c r="A403" s="233" t="str">
        <f>IFERROR(__xludf.DUMMYFUNCTION("""COMPUTED_VALUE"""),"ROBOT Car Charger RT-CC7 Silver+Grey")</f>
        <v>ROBOT Car Charger RT-CC7 Silver+Grey</v>
      </c>
      <c r="F403" s="233" t="str">
        <f>IFERROR(__xludf.DUMMYFUNCTION("""COMPUTED_VALUE"""),"Robot RF132 new Rotatable U-disks 32GB USB2.0 with Package Black")</f>
        <v>Robot RF132 new Rotatable U-disks 32GB USB2.0 with Package Black</v>
      </c>
    </row>
    <row r="404">
      <c r="A404" s="233" t="str">
        <f>IFERROR(__xludf.DUMMYFUNCTION("""COMPUTED_VALUE"""),"ROBOT Car Charger RT-NP02 Black")</f>
        <v>ROBOT Car Charger RT-NP02 Black</v>
      </c>
      <c r="F404" s="233" t="str">
        <f>IFERROR(__xludf.DUMMYFUNCTION("""COMPUTED_VALUE"""),"Robot RF108 Rotatable U-disks 8GB with Package Black")</f>
        <v>Robot RF108 Rotatable U-disks 8GB with Package Black</v>
      </c>
    </row>
    <row r="405">
      <c r="A405" s="233" t="str">
        <f>IFERROR(__xludf.DUMMYFUNCTION("""COMPUTED_VALUE"""),"ROBOT Car Holder RT-CH01S Black")</f>
        <v>ROBOT Car Holder RT-CH01S Black</v>
      </c>
      <c r="F405" s="233" t="str">
        <f>IFERROR(__xludf.DUMMYFUNCTION("""COMPUTED_VALUE"""),"ROBOT Flashdisk RF116 new Black")</f>
        <v>ROBOT Flashdisk RF116 new Black</v>
      </c>
    </row>
    <row r="406">
      <c r="A406" s="233" t="str">
        <f>IFERROR(__xludf.DUMMYFUNCTION("""COMPUTED_VALUE"""),"ROBOT Car Holder RT-CH19 Black")</f>
        <v>ROBOT Car Holder RT-CH19 Black</v>
      </c>
      <c r="F406" s="233" t="str">
        <f>IFERROR(__xludf.DUMMYFUNCTION("""COMPUTED_VALUE"""),"ROBOT U-Disks RMF304 Gray")</f>
        <v>ROBOT U-Disks RMF304 Gray</v>
      </c>
    </row>
    <row r="407">
      <c r="A407" s="233" t="str">
        <f>IFERROR(__xludf.DUMMYFUNCTION("""COMPUTED_VALUE"""),"ROBOT Car Holder RT-CH21 Black")</f>
        <v>ROBOT Car Holder RT-CH21 Black</v>
      </c>
      <c r="F407" s="233" t="str">
        <f>IFERROR(__xludf.DUMMYFUNCTION("""COMPUTED_VALUE"""),"ROBOT FLASH DRIVE RF508 8GB")</f>
        <v>ROBOT FLASH DRIVE RF508 8GB</v>
      </c>
    </row>
    <row r="408">
      <c r="A408" s="233" t="str">
        <f>IFERROR(__xludf.DUMMYFUNCTION("""COMPUTED_VALUE"""),"ROBOT Car Holder RT-CH27 Black")</f>
        <v>ROBOT Car Holder RT-CH27 Black</v>
      </c>
      <c r="F408" s="233" t="str">
        <f>IFERROR(__xludf.DUMMYFUNCTION("""COMPUTED_VALUE"""),"ROBOT U-Disks RMF332 Gray")</f>
        <v>ROBOT U-Disks RMF332 Gray</v>
      </c>
    </row>
    <row r="409">
      <c r="A409" s="233" t="str">
        <f>IFERROR(__xludf.DUMMYFUNCTION("""COMPUTED_VALUE"""),"Robot Car Stents RT-CH07 Black+Grey")</f>
        <v>Robot Car Stents RT-CH07 Black+Grey</v>
      </c>
      <c r="F409" s="233" t="str">
        <f>IFERROR(__xludf.DUMMYFUNCTION("""COMPUTED_VALUE"""),"ROBOT Wired Headset RH-P30 Black")</f>
        <v>ROBOT Wired Headset RH-P30 Black</v>
      </c>
    </row>
    <row r="410">
      <c r="A410" s="233" t="str">
        <f>IFERROR(__xludf.DUMMYFUNCTION("""COMPUTED_VALUE"""),"ROBOT Card Reader CR202S Grey")</f>
        <v>ROBOT Card Reader CR202S Grey</v>
      </c>
      <c r="F410" s="233" t="str">
        <f>IFERROR(__xludf.DUMMYFUNCTION("""COMPUTED_VALUE"""),"ROBOT Wired Headset REC 10EBlack")</f>
        <v>ROBOT Wired Headset REC 10EBlack</v>
      </c>
    </row>
    <row r="411">
      <c r="A411" s="233" t="str">
        <f>IFERROR(__xludf.DUMMYFUNCTION("""COMPUTED_VALUE"""),"ROBOT Center Console Car Holder RT-CH03S Black With Extra Large Section Cup(From 65mm to 80mm)")</f>
        <v>ROBOT Center Console Car Holder RT-CH03S Black With Extra Large Section Cup(From 65mm to 80mm)</v>
      </c>
      <c r="F411" s="233" t="str">
        <f>IFERROR(__xludf.DUMMYFUNCTION("""COMPUTED_VALUE"""),"ROBOT Wired Headset RE702 Black")</f>
        <v>ROBOT Wired Headset RE702 Black</v>
      </c>
    </row>
    <row r="412">
      <c r="A412" s="233" t="str">
        <f>IFERROR(__xludf.DUMMYFUNCTION("""COMPUTED_VALUE"""),"ROBOT Center Console Car Holder RT-CH18S Black With Base 360° Rotation")</f>
        <v>ROBOT Center Console Car Holder RT-CH18S Black With Base 360° Rotation</v>
      </c>
      <c r="F412" s="233" t="str">
        <f>IFERROR(__xludf.DUMMYFUNCTION("""COMPUTED_VALUE"""),"ROBOT Earphones RE 20E")</f>
        <v>ROBOT Earphones RE 20E</v>
      </c>
    </row>
    <row r="413">
      <c r="A413" s="233" t="str">
        <f>IFERROR(__xludf.DUMMYFUNCTION("""COMPUTED_VALUE"""),"ROBOT Center Console Car Holder RT-CH20S Black")</f>
        <v>ROBOT Center Console Car Holder RT-CH20S Black</v>
      </c>
      <c r="F413" s="233" t="str">
        <f>IFERROR(__xludf.DUMMYFUNCTION("""COMPUTED_VALUE"""),"ROBOT Wired Headset RE50 Black")</f>
        <v>ROBOT Wired Headset RE50 Black</v>
      </c>
    </row>
    <row r="414">
      <c r="A414" s="233" t="str">
        <f>IFERROR(__xludf.DUMMYFUNCTION("""COMPUTED_VALUE"""),"ROBOT Charger RT-F1 White")</f>
        <v>ROBOT Charger RT-F1 White</v>
      </c>
      <c r="F414" s="233" t="str">
        <f>IFERROR(__xludf.DUMMYFUNCTION("""COMPUTED_VALUE"""),"ROBOT RE20 Oblique In-Ear Deep Bass Ultra Light Wired Earphone Black")</f>
        <v>ROBOT RE20 Oblique In-Ear Deep Bass Ultra Light Wired Earphone Black</v>
      </c>
    </row>
    <row r="415">
      <c r="A415" s="233" t="str">
        <f>IFERROR(__xludf.DUMMYFUNCTION("""COMPUTED_VALUE"""),"ROBOT Charger RT-F2 White (SKU RJA-ROBO-0864)")</f>
        <v>ROBOT Charger RT-F2 White (SKU RJA-ROBO-0864)</v>
      </c>
      <c r="F415" s="233" t="str">
        <f>IFERROR(__xludf.DUMMYFUNCTION("""COMPUTED_VALUE"""),"ROBOT Wired Headset RH-P20 Black")</f>
        <v>ROBOT Wired Headset RH-P20 Black</v>
      </c>
    </row>
    <row r="416">
      <c r="A416" s="233" t="str">
        <f>IFERROR(__xludf.DUMMYFUNCTION("""COMPUTED_VALUE"""),"ROBOT Charger RT-F2 White (SKU RJA-ROBO-0888)")</f>
        <v>ROBOT Charger RT-F2 White (SKU RJA-ROBO-0888)</v>
      </c>
      <c r="F416" s="233" t="str">
        <f>IFERROR(__xludf.DUMMYFUNCTION("""COMPUTED_VALUE"""),"ROBOT REC240S IN Ear Rich Bass Metal Fully compatible Type-C wire Headset")</f>
        <v>ROBOT REC240S IN Ear Rich Bass Metal Fully compatible Type-C wire Headset</v>
      </c>
    </row>
    <row r="417">
      <c r="A417" s="233" t="str">
        <f>IFERROR(__xludf.DUMMYFUNCTION("""COMPUTED_VALUE"""),"ROBOT Charger RT-F3 white (SKU RJA-ROBO-0863)")</f>
        <v>ROBOT Charger RT-F3 white (SKU RJA-ROBO-0863)</v>
      </c>
      <c r="F417" s="233" t="str">
        <f>IFERROR(__xludf.DUMMYFUNCTION("""COMPUTED_VALUE"""),"ROBOT HDMI Cable RFH015 High-Definition BLACK")</f>
        <v>ROBOT HDMI Cable RFH015 High-Definition BLACK</v>
      </c>
    </row>
    <row r="418">
      <c r="A418" s="233" t="str">
        <f>IFERROR(__xludf.DUMMYFUNCTION("""COMPUTED_VALUE"""),"ROBOT Charger RT-F3 white (SKU RJA-ROBO-0887)")</f>
        <v>ROBOT Charger RT-F3 white (SKU RJA-ROBO-0887)</v>
      </c>
      <c r="F418" s="233" t="str">
        <f>IFERROR(__xludf.DUMMYFUNCTION("""COMPUTED_VALUE"""),"ROBOT Headset Bluetooth Spirit H20 White")</f>
        <v>ROBOT Headset Bluetooth Spirit H20 White</v>
      </c>
    </row>
    <row r="419">
      <c r="A419" s="233" t="str">
        <f>IFERROR(__xludf.DUMMYFUNCTION("""COMPUTED_VALUE"""),"ROBOT Charger RT-F4 White")</f>
        <v>ROBOT Charger RT-F4 White</v>
      </c>
      <c r="F419" s="233" t="str">
        <f>IFERROR(__xludf.DUMMYFUNCTION("""COMPUTED_VALUE"""),"ROBOT Ultra-thin And Foldable Phone Holder RT-US12 Black")</f>
        <v>ROBOT Ultra-thin And Foldable Phone Holder RT-US12 Black</v>
      </c>
    </row>
    <row r="420">
      <c r="A420" s="233" t="str">
        <f>IFERROR(__xludf.DUMMYFUNCTION("""COMPUTED_VALUE"""),"ROBOT Charger RT-F5 Black (SKU RJA-ROBO-0884)")</f>
        <v>ROBOT Charger RT-F5 Black (SKU RJA-ROBO-0884)</v>
      </c>
      <c r="F420" s="233" t="str">
        <f>IFERROR(__xludf.DUMMYFUNCTION("""COMPUTED_VALUE"""),"ROBOT Phone&amp;Tablet Holder RT-LS07 Black")</f>
        <v>ROBOT Phone&amp;Tablet Holder RT-LS07 Black</v>
      </c>
    </row>
    <row r="421">
      <c r="A421" s="233" t="str">
        <f>IFERROR(__xludf.DUMMYFUNCTION("""COMPUTED_VALUE"""),"ROBOT Charger RT-F5 Black (SKU RJA-ROBO-0885)")</f>
        <v>ROBOT Charger RT-F5 Black (SKU RJA-ROBO-0885)</v>
      </c>
      <c r="F421" s="233" t="str">
        <f>IFERROR(__xludf.DUMMYFUNCTION("""COMPUTED_VALUE"""),"ROBOT Height And Angle Adjustable Phone Holder For Live Streaming RT-US13 Black")</f>
        <v>ROBOT Height And Angle Adjustable Phone Holder For Live Streaming RT-US13 Black</v>
      </c>
    </row>
    <row r="422">
      <c r="A422" s="233" t="str">
        <f>IFERROR(__xludf.DUMMYFUNCTION("""COMPUTED_VALUE"""),"Robot Charger RT-K5 White")</f>
        <v>Robot Charger RT-K5 White</v>
      </c>
      <c r="F422" s="233" t="str">
        <f>IFERROR(__xludf.DUMMYFUNCTION("""COMPUTED_VALUE"""),"ROBOT RT-MH03 Motorcycle/Bicycle Handle Universal Holder Black+Orange")</f>
        <v>ROBOT RT-MH03 Motorcycle/Bicycle Handle Universal Holder Black+Orange</v>
      </c>
    </row>
    <row r="423">
      <c r="A423" s="233" t="str">
        <f>IFERROR(__xludf.DUMMYFUNCTION("""COMPUTED_VALUE"""),"ROBOT Charger RT-K7 White")</f>
        <v>ROBOT Charger RT-K7 White</v>
      </c>
      <c r="F423" s="233" t="str">
        <f>IFERROR(__xludf.DUMMYFUNCTION("""COMPUTED_VALUE"""),"ROBOT RT-CH14 Dashboard Suction Cup Automatic Lock Car Holder Black")</f>
        <v>ROBOT RT-CH14 Dashboard Suction Cup Automatic Lock Car Holder Black</v>
      </c>
    </row>
    <row r="424">
      <c r="A424" s="233" t="str">
        <f>IFERROR(__xludf.DUMMYFUNCTION("""COMPUTED_VALUE"""),"ROBOT Charger RT-K8 Plus White (SKU RJA-ROBO-0862)")</f>
        <v>ROBOT Charger RT-K8 Plus White (SKU RJA-ROBO-0862)</v>
      </c>
      <c r="F424" s="233" t="str">
        <f>IFERROR(__xludf.DUMMYFUNCTION("""COMPUTED_VALUE"""),"ROBOT RT-CH12 Suction Cup Automatic Lock 360 ° Car Holder Black")</f>
        <v>ROBOT RT-CH12 Suction Cup Automatic Lock 360 ° Car Holder Black</v>
      </c>
    </row>
    <row r="425">
      <c r="A425" s="233" t="str">
        <f>IFERROR(__xludf.DUMMYFUNCTION("""COMPUTED_VALUE"""),"ROBOT Charger RT-K8 Plus White (SKU RJA-ROBO-0881)")</f>
        <v>ROBOT Charger RT-K8 Plus White (SKU RJA-ROBO-0881)</v>
      </c>
      <c r="F425" s="233" t="str">
        <f>IFERROR(__xludf.DUMMYFUNCTION("""COMPUTED_VALUE"""),"ROBOT Motorcycle Phone Holder RT-MH05 Black With Removable Cover (Rainproof and Anti-reflective)")</f>
        <v>ROBOT Motorcycle Phone Holder RT-MH05 Black With Removable Cover (Rainproof and Anti-reflective)</v>
      </c>
    </row>
    <row r="426">
      <c r="A426" s="233" t="str">
        <f>IFERROR(__xludf.DUMMYFUNCTION("""COMPUTED_VALUE"""),"ROBOT Charger RT-K9 White")</f>
        <v>ROBOT Charger RT-K9 White</v>
      </c>
      <c r="F426" s="233" t="str">
        <f>IFERROR(__xludf.DUMMYFUNCTION("""COMPUTED_VALUE"""),"ROBOT Flexible Rearview Mirror Car Holder Black RVH01 With 360° Rotation &amp; Adjustable Height And Length")</f>
        <v>ROBOT Flexible Rearview Mirror Car Holder Black RVH01 With 360° Rotation &amp; Adjustable Height And Length</v>
      </c>
    </row>
    <row r="427">
      <c r="A427" s="233" t="str">
        <f>IFERROR(__xludf.DUMMYFUNCTION("""COMPUTED_VALUE"""),"ROBOT Charger RT-P30 White (SKU RJA-ROBO-0861)")</f>
        <v>ROBOT Charger RT-P30 White (SKU RJA-ROBO-0861)</v>
      </c>
      <c r="F427" s="233" t="str">
        <f>IFERROR(__xludf.DUMMYFUNCTION("""COMPUTED_VALUE"""),"ROBOT Flat&amp;Bendable Car Holder RT-CH14S Black")</f>
        <v>ROBOT Flat&amp;Bendable Car Holder RT-CH14S Black</v>
      </c>
    </row>
    <row r="428">
      <c r="A428" s="233" t="str">
        <f>IFERROR(__xludf.DUMMYFUNCTION("""COMPUTED_VALUE"""),"ROBOT Charger RT-P30 White (SKU RJA-ROBO-0879)")</f>
        <v>ROBOT Charger RT-P30 White (SKU RJA-ROBO-0879)</v>
      </c>
      <c r="F428" s="233" t="str">
        <f>IFERROR(__xludf.DUMMYFUNCTION("""COMPUTED_VALUE"""),"ROBOT Center Console Car Holder RT-CH20S Black")</f>
        <v>ROBOT Center Console Car Holder RT-CH20S Black</v>
      </c>
    </row>
    <row r="429">
      <c r="A429" s="233" t="str">
        <f>IFERROR(__xludf.DUMMYFUNCTION("""COMPUTED_VALUE"""),"ROBOT CR102S Card Reader USB3.0 Black")</f>
        <v>ROBOT CR102S Card Reader USB3.0 Black</v>
      </c>
      <c r="F429" s="233" t="str">
        <f>IFERROR(__xludf.DUMMYFUNCTION("""COMPUTED_VALUE"""),"ROBOT Center Console Car Holder RT-CH18S Black With Base 360° Rotation")</f>
        <v>ROBOT Center Console Car Holder RT-CH18S Black With Base 360° Rotation</v>
      </c>
    </row>
    <row r="430">
      <c r="A430" s="233" t="str">
        <f>IFERROR(__xludf.DUMMYFUNCTION("""COMPUTED_VALUE"""),"ROBOT Data Cable RBC100 II Colorful")</f>
        <v>ROBOT Data Cable RBC100 II Colorful</v>
      </c>
      <c r="F430" s="233" t="str">
        <f>IFERROR(__xludf.DUMMYFUNCTION("""COMPUTED_VALUE"""),"ROBOT Center Console Car Holder RT-CH03S Black With Extra Large Section Cup(From 65mm to 80mm)")</f>
        <v>ROBOT Center Console Car Holder RT-CH03S Black With Extra Large Section Cup(From 65mm to 80mm)</v>
      </c>
    </row>
    <row r="431">
      <c r="A431" s="233" t="str">
        <f>IFERROR(__xludf.DUMMYFUNCTION("""COMPUTED_VALUE"""),"ROBOT Data Cable RBC100S colorful")</f>
        <v>ROBOT Data Cable RBC100S colorful</v>
      </c>
      <c r="F431" s="233" t="str">
        <f>IFERROR(__xludf.DUMMYFUNCTION("""COMPUTED_VALUE"""),"ROBOT Car Holder RT-CH27 Black")</f>
        <v>ROBOT Car Holder RT-CH27 Black</v>
      </c>
    </row>
    <row r="432">
      <c r="A432" s="233" t="str">
        <f>IFERROR(__xludf.DUMMYFUNCTION("""COMPUTED_VALUE"""),"ROBOT Data Cable RBM100 II 1pcs colorful")</f>
        <v>ROBOT Data Cable RBM100 II 1pcs colorful</v>
      </c>
      <c r="F432" s="233" t="str">
        <f>IFERROR(__xludf.DUMMYFUNCTION("""COMPUTED_VALUE"""),"ROBOT Car Holder RT-CH21 Black")</f>
        <v>ROBOT Car Holder RT-CH21 Black</v>
      </c>
    </row>
    <row r="433">
      <c r="A433" s="233" t="str">
        <f>IFERROR(__xludf.DUMMYFUNCTION("""COMPUTED_VALUE"""),"ROBOT Data Cable RBM100S Special Edition colorful")</f>
        <v>ROBOT Data Cable RBM100S Special Edition colorful</v>
      </c>
      <c r="F433" s="233" t="str">
        <f>IFERROR(__xludf.DUMMYFUNCTION("""COMPUTED_VALUE"""),"ROBOT Car Holder RT-CH19 Black")</f>
        <v>ROBOT Car Holder RT-CH19 Black</v>
      </c>
    </row>
    <row r="434">
      <c r="A434" s="233" t="str">
        <f>IFERROR(__xludf.DUMMYFUNCTION("""COMPUTED_VALUE"""),"ROBOT Data Cable RCC240W White")</f>
        <v>ROBOT Data Cable RCC240W White</v>
      </c>
      <c r="F434" s="233" t="str">
        <f>IFERROR(__xludf.DUMMYFUNCTION("""COMPUTED_VALUE"""),"ROBOT Car Holder RT-CH01S Black")</f>
        <v>ROBOT Car Holder RT-CH01S Black</v>
      </c>
    </row>
    <row r="435">
      <c r="A435" s="233" t="str">
        <f>IFERROR(__xludf.DUMMYFUNCTION("""COMPUTED_VALUE"""),"ROBOT Data Cable RCC60W Black")</f>
        <v>ROBOT Data Cable RCC60W Black</v>
      </c>
      <c r="F435" s="233" t="str">
        <f>IFERROR(__xludf.DUMMYFUNCTION("""COMPUTED_VALUE"""),"ROBOT Motorcycle Car Holder RT-MH06 Black With Knob Adjustment Supports Use With Mobile Phone Case (SKU RJA-ROBO-0228)")</f>
        <v>ROBOT Motorcycle Car Holder RT-MH06 Black With Knob Adjustment Supports Use With Mobile Phone Case (SKU RJA-ROBO-0228)</v>
      </c>
    </row>
    <row r="436">
      <c r="A436" s="233" t="str">
        <f>IFERROR(__xludf.DUMMYFUNCTION("""COMPUTED_VALUE"""),"ROBOT Data Cable RCOC100 3A colorful (SKU RJA-ROBO-0332)")</f>
        <v>ROBOT Data Cable RCOC100 3A colorful (SKU RJA-ROBO-0332)</v>
      </c>
      <c r="F436" s="233" t="str">
        <f>IFERROR(__xludf.DUMMYFUNCTION("""COMPUTED_VALUE"""),"ROBOT Phone Holder RT-LH01 Black")</f>
        <v>ROBOT Phone Holder RT-LH01 Black</v>
      </c>
    </row>
    <row r="437">
      <c r="A437" s="233" t="str">
        <f>IFERROR(__xludf.DUMMYFUNCTION("""COMPUTED_VALUE"""),"ROBOT Data Cable RCOC100 3A colorful (SKU RJA-ROBO-0422)")</f>
        <v>ROBOT Data Cable RCOC100 3A colorful (SKU RJA-ROBO-0422)</v>
      </c>
      <c r="F437" s="233" t="str">
        <f>IFERROR(__xludf.DUMMYFUNCTION("""COMPUTED_VALUE"""),"ROBOT Motorcycle Car Holder RT-MH06 Black With Knob Adjustment Supports Use With Mobile Phone Case (SKU RJA-ROBO-0230)")</f>
        <v>ROBOT Motorcycle Car Holder RT-MH06 Black With Knob Adjustment Supports Use With Mobile Phone Case (SKU RJA-ROBO-0230)</v>
      </c>
    </row>
    <row r="438">
      <c r="A438" s="233" t="str">
        <f>IFERROR(__xludf.DUMMYFUNCTION("""COMPUTED_VALUE"""),"ROBOT Data Cable RCOM100 2.4A colorful (SKU RJA-ROBO-0352)")</f>
        <v>ROBOT Data Cable RCOM100 2.4A colorful (SKU RJA-ROBO-0352)</v>
      </c>
      <c r="F438" s="233" t="str">
        <f>IFERROR(__xludf.DUMMYFUNCTION("""COMPUTED_VALUE"""),"Robot Car Stents RT-CH07 Black+Grey")</f>
        <v>Robot Car Stents RT-CH07 Black+Grey</v>
      </c>
    </row>
    <row r="439">
      <c r="A439" s="233" t="str">
        <f>IFERROR(__xludf.DUMMYFUNCTION("""COMPUTED_VALUE"""),"ROBOT Data Cable RCOM100 2.4A colorful (SKU RJA-ROBO-0421)")</f>
        <v>ROBOT Data Cable RCOM100 2.4A colorful (SKU RJA-ROBO-0421)</v>
      </c>
      <c r="F439" s="233" t="str">
        <f>IFERROR(__xludf.DUMMYFUNCTION("""COMPUTED_VALUE"""),"ROBOT Ultra-thin And Foldable Phone Holder RT-US12 Dark Grey")</f>
        <v>ROBOT Ultra-thin And Foldable Phone Holder RT-US12 Dark Grey</v>
      </c>
    </row>
    <row r="440">
      <c r="A440" s="233" t="str">
        <f>IFERROR(__xludf.DUMMYFUNCTION("""COMPUTED_VALUE"""),"ROBOT Data Cable RDY120 White (SKU RJA-ROBO-0331)")</f>
        <v>ROBOT Data Cable RDY120 White (SKU RJA-ROBO-0331)</v>
      </c>
      <c r="F440" s="233" t="str">
        <f>IFERROR(__xludf.DUMMYFUNCTION("""COMPUTED_VALUE"""),"ROBOT Hub&amp;Convertor HEA200C Gray (SKU RJA-ROBO-0284)")</f>
        <v>ROBOT Hub&amp;Convertor HEA200C Gray (SKU RJA-ROBO-0284)</v>
      </c>
    </row>
    <row r="441">
      <c r="A441" s="233" t="str">
        <f>IFERROR(__xludf.DUMMYFUNCTION("""COMPUTED_VALUE"""),"ROBOT Data Cable RDY120 White (SKU RJA-ROBO-0420)")</f>
        <v>ROBOT Data Cable RDY120 White (SKU RJA-ROBO-0420)</v>
      </c>
      <c r="F441" s="233" t="str">
        <f>IFERROR(__xludf.DUMMYFUNCTION("""COMPUTED_VALUE"""),"robot H340C HUB (SKU RJA-ROBO-0285)")</f>
        <v>robot H340C HUB (SKU RJA-ROBO-0285)</v>
      </c>
    </row>
    <row r="442">
      <c r="A442" s="233" t="str">
        <f>IFERROR(__xludf.DUMMYFUNCTION("""COMPUTED_VALUE"""),"ROBOT Data Cable RFL100 White (SKU RJA-ROBO-0351)")</f>
        <v>ROBOT Data Cable RFL100 White (SKU RJA-ROBO-0351)</v>
      </c>
      <c r="F442" s="233" t="str">
        <f>IFERROR(__xludf.DUMMYFUNCTION("""COMPUTED_VALUE"""),"ROBOT H160 4-PORT USB HUB(USB3.0+USB2.0）Black (SKU RJA-ROBO-0286)")</f>
        <v>ROBOT H160 4-PORT USB HUB(USB3.0+USB2.0）Black (SKU RJA-ROBO-0286)</v>
      </c>
    </row>
    <row r="443">
      <c r="A443" s="233" t="str">
        <f>IFERROR(__xludf.DUMMYFUNCTION("""COMPUTED_VALUE"""),"ROBOT Data Cable RFL100 White (SKU RJA-ROBO-0419)")</f>
        <v>ROBOT Data Cable RFL100 White (SKU RJA-ROBO-0419)</v>
      </c>
      <c r="F443" s="233" t="str">
        <f>IFERROR(__xludf.DUMMYFUNCTION("""COMPUTED_VALUE"""),"Robot H140-80 HUB Black (SKU RJA-ROBO-0287)")</f>
        <v>Robot H140-80 HUB Black (SKU RJA-ROBO-0287)</v>
      </c>
    </row>
    <row r="444">
      <c r="A444" s="233" t="str">
        <f>IFERROR(__xludf.DUMMYFUNCTION("""COMPUTED_VALUE"""),"ROBOT Data Cable RGC100S colorful")</f>
        <v>ROBOT Data Cable RGC100S colorful</v>
      </c>
      <c r="F444" s="233" t="str">
        <f>IFERROR(__xludf.DUMMYFUNCTION("""COMPUTED_VALUE"""),"ROBOT Hub&amp;Convertor HEA200C Gray (SKU RJA-ROBO-0288)")</f>
        <v>ROBOT Hub&amp;Convertor HEA200C Gray (SKU RJA-ROBO-0288)</v>
      </c>
    </row>
    <row r="445">
      <c r="A445" s="233" t="str">
        <f>IFERROR(__xludf.DUMMYFUNCTION("""COMPUTED_VALUE"""),"ROBOT Data Cable RGL100S colorful (SKU RJA-ROBO-0330)")</f>
        <v>ROBOT Data Cable RGL100S colorful (SKU RJA-ROBO-0330)</v>
      </c>
      <c r="F445" s="233" t="str">
        <f>IFERROR(__xludf.DUMMYFUNCTION("""COMPUTED_VALUE"""),"ROBOT HT200 Type-C TO HDMI Adapter 4K")</f>
        <v>ROBOT HT200 Type-C TO HDMI Adapter 4K</v>
      </c>
    </row>
    <row r="446">
      <c r="A446" s="233" t="str">
        <f>IFERROR(__xludf.DUMMYFUNCTION("""COMPUTED_VALUE"""),"ROBOT Data Cable RGL100S colorful (SKU RJA-ROBO-0408)")</f>
        <v>ROBOT Data Cable RGL100S colorful (SKU RJA-ROBO-0408)</v>
      </c>
      <c r="F446" s="233" t="str">
        <f>IFERROR(__xludf.DUMMYFUNCTION("""COMPUTED_VALUE"""),"ROBOT H340C HUB (SKU RJA-ROBO-0290)")</f>
        <v>ROBOT H340C HUB (SKU RJA-ROBO-0290)</v>
      </c>
    </row>
    <row r="447">
      <c r="A447" s="233" t="str">
        <f>IFERROR(__xludf.DUMMYFUNCTION("""COMPUTED_VALUE"""),"ROBOT Data Cable RGM100S colorful (SKU RJA-ROBO-0329)")</f>
        <v>ROBOT Data Cable RGM100S colorful (SKU RJA-ROBO-0329)</v>
      </c>
      <c r="F447" s="233" t="str">
        <f>IFERROR(__xludf.DUMMYFUNCTION("""COMPUTED_VALUE"""),"ROBOT H160 4-PORT USB HUB(USB3.0+USB2.0）Black (SKU RJA-ROBO-0291)")</f>
        <v>ROBOT H160 4-PORT USB HUB(USB3.0+USB2.0）Black (SKU RJA-ROBO-0291)</v>
      </c>
    </row>
    <row r="448">
      <c r="A448" s="233" t="str">
        <f>IFERROR(__xludf.DUMMYFUNCTION("""COMPUTED_VALUE"""),"ROBOT Data Cable RGM100S colorful (SKU RJA-ROBO-0407)")</f>
        <v>ROBOT Data Cable RGM100S colorful (SKU RJA-ROBO-0407)</v>
      </c>
      <c r="F448" s="233" t="str">
        <f>IFERROR(__xludf.DUMMYFUNCTION("""COMPUTED_VALUE"""),"Robot H140-80 HUB Black (SKU RJA-ROBO-0292)")</f>
        <v>Robot H140-80 HUB Black (SKU RJA-ROBO-0292)</v>
      </c>
    </row>
    <row r="449">
      <c r="A449" s="233" t="str">
        <f>IFERROR(__xludf.DUMMYFUNCTION("""COMPUTED_VALUE"""),"ROBOT Data Cable RGXCC100 3A 65W Type-C TO Type-C White 100CM (SKU RJA-ROBO-0339)")</f>
        <v>ROBOT Data Cable RGXCC100 3A 65W Type-C TO Type-C White 100CM (SKU RJA-ROBO-0339)</v>
      </c>
      <c r="F449" s="233" t="str">
        <f>IFERROR(__xludf.DUMMYFUNCTION("""COMPUTED_VALUE"""),"ROBOT RSPD120 FAST CHARGING 5A 100W")</f>
        <v>ROBOT RSPD120 FAST CHARGING 5A 100W</v>
      </c>
    </row>
    <row r="450">
      <c r="A450" s="233" t="str">
        <f>IFERROR(__xludf.DUMMYFUNCTION("""COMPUTED_VALUE"""),"ROBOT Data Cable RGXCC100 3A 65W Type-C TO Type-C White 100CM (SKU RJA-ROBO-0458)")</f>
        <v>ROBOT Data Cable RGXCC100 3A 65W Type-C TO Type-C White 100CM (SKU RJA-ROBO-0458)</v>
      </c>
      <c r="F450" s="233" t="str">
        <f>IFERROR(__xludf.DUMMYFUNCTION("""COMPUTED_VALUE"""),"ROBOT RDC100S 2.4A Type-C Quick Charging 100cm Data Cable White (SKU RJA-ROBO-0321)")</f>
        <v>ROBOT RDC100S 2.4A Type-C Quick Charging 100cm Data Cable White (SKU RJA-ROBO-0321)</v>
      </c>
    </row>
    <row r="451">
      <c r="A451" s="233" t="str">
        <f>IFERROR(__xludf.DUMMYFUNCTION("""COMPUTED_VALUE"""),"ROBOT Data Cable RPC100-Rabbit White (SKU RJA-ROBO-0333)")</f>
        <v>ROBOT Data Cable RPC100-Rabbit White (SKU RJA-ROBO-0333)</v>
      </c>
      <c r="F451" s="233" t="str">
        <f>IFERROR(__xludf.DUMMYFUNCTION("""COMPUTED_VALUE"""),"ROBOT Data Cable RZC100 Black (SKU RJA-ROBO-0322)")</f>
        <v>ROBOT Data Cable RZC100 Black (SKU RJA-ROBO-0322)</v>
      </c>
    </row>
    <row r="452">
      <c r="A452" s="233" t="str">
        <f>IFERROR(__xludf.DUMMYFUNCTION("""COMPUTED_VALUE"""),"ROBOT Data Cable RPC100-Rabbit White (SKU RJA-ROBO-0433)")</f>
        <v>ROBOT Data Cable RPC100-Rabbit White (SKU RJA-ROBO-0433)</v>
      </c>
      <c r="F452" s="233" t="str">
        <f>IFERROR(__xludf.DUMMYFUNCTION("""COMPUTED_VALUE"""),"ROBOT Data Cable RUL01 White (SKU RJA-ROBO-0323)")</f>
        <v>ROBOT Data Cable RUL01 White (SKU RJA-ROBO-0323)</v>
      </c>
    </row>
    <row r="453">
      <c r="A453" s="233" t="str">
        <f>IFERROR(__xludf.DUMMYFUNCTION("""COMPUTED_VALUE"""),"ROBOT Data Cable RQC100 White (SKU RJA-ROBO-0328)")</f>
        <v>ROBOT Data Cable RQC100 White (SKU RJA-ROBO-0328)</v>
      </c>
      <c r="F453" s="233" t="str">
        <f>IFERROR(__xludf.DUMMYFUNCTION("""COMPUTED_VALUE"""),"ROBOT Data Cable RSQC100 White (SKU RJA-ROBO-0325)")</f>
        <v>ROBOT Data Cable RSQC100 White (SKU RJA-ROBO-0325)</v>
      </c>
    </row>
    <row r="454">
      <c r="A454" s="233" t="str">
        <f>IFERROR(__xludf.DUMMYFUNCTION("""COMPUTED_VALUE"""),"ROBOT Data Cable RQC100 White (SKU RJA-ROBO-0406)")</f>
        <v>ROBOT Data Cable RQC100 White (SKU RJA-ROBO-0406)</v>
      </c>
      <c r="F454" s="233" t="str">
        <f>IFERROR(__xludf.DUMMYFUNCTION("""COMPUTED_VALUE"""),"ROBOT Data Cable RSQC100 Black (SKU RJA-ROBO-0326)")</f>
        <v>ROBOT Data Cable RSQC100 Black (SKU RJA-ROBO-0326)</v>
      </c>
    </row>
    <row r="455">
      <c r="A455" s="233" t="str">
        <f>IFERROR(__xludf.DUMMYFUNCTION("""COMPUTED_VALUE"""),"ROBOT Data Cable RSCC120 White (SKU RJA-ROBO-0327)")</f>
        <v>ROBOT Data Cable RSCC120 White (SKU RJA-ROBO-0327)</v>
      </c>
      <c r="F455" s="233" t="str">
        <f>IFERROR(__xludf.DUMMYFUNCTION("""COMPUTED_VALUE"""),"ROBOT Data Cable RSCC120 White (SKU RJA-ROBO-0327)")</f>
        <v>ROBOT Data Cable RSCC120 White (SKU RJA-ROBO-0327)</v>
      </c>
    </row>
    <row r="456">
      <c r="A456" s="233" t="str">
        <f>IFERROR(__xludf.DUMMYFUNCTION("""COMPUTED_VALUE"""),"ROBOT Data Cable RSCC120 White (SKU RJA-ROBO-0405)")</f>
        <v>ROBOT Data Cable RSCC120 White (SKU RJA-ROBO-0405)</v>
      </c>
      <c r="F456" s="233" t="str">
        <f>IFERROR(__xludf.DUMMYFUNCTION("""COMPUTED_VALUE"""),"ROBOT Data Cable RQC100 White (SKU RJA-ROBO-0328)")</f>
        <v>ROBOT Data Cable RQC100 White (SKU RJA-ROBO-0328)</v>
      </c>
    </row>
    <row r="457">
      <c r="A457" s="233" t="str">
        <f>IFERROR(__xludf.DUMMYFUNCTION("""COMPUTED_VALUE"""),"ROBOT Data Cable RSQC100 Black (SKU RJA-ROBO-0326)")</f>
        <v>ROBOT Data Cable RSQC100 Black (SKU RJA-ROBO-0326)</v>
      </c>
      <c r="F457" s="233" t="str">
        <f>IFERROR(__xludf.DUMMYFUNCTION("""COMPUTED_VALUE"""),"ROBOT Data Cable RGM100S colorful (SKU RJA-ROBO-0329)")</f>
        <v>ROBOT Data Cable RGM100S colorful (SKU RJA-ROBO-0329)</v>
      </c>
    </row>
    <row r="458">
      <c r="A458" s="233" t="str">
        <f>IFERROR(__xludf.DUMMYFUNCTION("""COMPUTED_VALUE"""),"ROBOT Data Cable RSQC100 Black (SKU RJA-ROBO-0398)")</f>
        <v>ROBOT Data Cable RSQC100 Black (SKU RJA-ROBO-0398)</v>
      </c>
      <c r="F458" s="233" t="str">
        <f>IFERROR(__xludf.DUMMYFUNCTION("""COMPUTED_VALUE"""),"ROBOT Data Cable RGL100S colorful (SKU RJA-ROBO-0330)")</f>
        <v>ROBOT Data Cable RGL100S colorful (SKU RJA-ROBO-0330)</v>
      </c>
    </row>
    <row r="459">
      <c r="A459" s="233" t="str">
        <f>IFERROR(__xludf.DUMMYFUNCTION("""COMPUTED_VALUE"""),"ROBOT Data Cable RSQC100 White (SKU RJA-ROBO-0325)")</f>
        <v>ROBOT Data Cable RSQC100 White (SKU RJA-ROBO-0325)</v>
      </c>
      <c r="F459" s="233" t="str">
        <f>IFERROR(__xludf.DUMMYFUNCTION("""COMPUTED_VALUE"""),"ROBOT Data Cable RDY120 White (SKU RJA-ROBO-0331)")</f>
        <v>ROBOT Data Cable RDY120 White (SKU RJA-ROBO-0331)</v>
      </c>
    </row>
    <row r="460">
      <c r="A460" s="233" t="str">
        <f>IFERROR(__xludf.DUMMYFUNCTION("""COMPUTED_VALUE"""),"ROBOT Data Cable RSQC100 White (SKU RJA-ROBO-0397)")</f>
        <v>ROBOT Data Cable RSQC100 White (SKU RJA-ROBO-0397)</v>
      </c>
      <c r="F460" s="233" t="str">
        <f>IFERROR(__xludf.DUMMYFUNCTION("""COMPUTED_VALUE"""),"ROBOT Data Cable RCOC100 3A colorful (SKU RJA-ROBO-0332)")</f>
        <v>ROBOT Data Cable RCOC100 3A colorful (SKU RJA-ROBO-0332)</v>
      </c>
    </row>
    <row r="461">
      <c r="A461" s="233" t="str">
        <f>IFERROR(__xludf.DUMMYFUNCTION("""COMPUTED_VALUE"""),"ROBOT Data Cable RUL01 White (SKU RJA-ROBO-0323)")</f>
        <v>ROBOT Data Cable RUL01 White (SKU RJA-ROBO-0323)</v>
      </c>
      <c r="F461" s="233" t="str">
        <f>IFERROR(__xludf.DUMMYFUNCTION("""COMPUTED_VALUE"""),"ROBOT Data Cable RPC100-Rabbit White (SKU RJA-ROBO-0333)")</f>
        <v>ROBOT Data Cable RPC100-Rabbit White (SKU RJA-ROBO-0333)</v>
      </c>
    </row>
    <row r="462">
      <c r="A462" s="233" t="str">
        <f>IFERROR(__xludf.DUMMYFUNCTION("""COMPUTED_VALUE"""),"ROBOT Data Cable RUL01 White (SKU RJA-ROBO-0396)")</f>
        <v>ROBOT Data Cable RUL01 White (SKU RJA-ROBO-0396)</v>
      </c>
      <c r="F462" s="233" t="str">
        <f>IFERROR(__xludf.DUMMYFUNCTION("""COMPUTED_VALUE"""),"ROBOT Warna Lava Data Cable RNQC100 6A 67W SUPPORT FAST CHARGING (SKU RJA-ROBO-0334)")</f>
        <v>ROBOT Warna Lava Data Cable RNQC100 6A 67W SUPPORT FAST CHARGING (SKU RJA-ROBO-0334)</v>
      </c>
    </row>
    <row r="463">
      <c r="A463" s="233" t="str">
        <f>IFERROR(__xludf.DUMMYFUNCTION("""COMPUTED_VALUE"""),"ROBOT Data Cable RUL02 White")</f>
        <v>ROBOT Data Cable RUL02 White</v>
      </c>
      <c r="F463" s="233" t="str">
        <f>IFERROR(__xludf.DUMMYFUNCTION("""COMPUTED_VALUE"""),"ROBOT Warna Lava Data Cable RNC200 3A Type-C 200CM")</f>
        <v>ROBOT Warna Lava Data Cable RNC200 3A Type-C 200CM</v>
      </c>
    </row>
    <row r="464">
      <c r="A464" s="233" t="str">
        <f>IFERROR(__xludf.DUMMYFUNCTION("""COMPUTED_VALUE"""),"ROBOT Data Cable RWL100 Blue")</f>
        <v>ROBOT Data Cable RWL100 Blue</v>
      </c>
      <c r="F464" s="233" t="str">
        <f>IFERROR(__xludf.DUMMYFUNCTION("""COMPUTED_VALUE"""),"ROBOT Warna Lava Data Cable RNC100S 3A Type-C Gray 100CM (SKU RJA-ROBO-0336)")</f>
        <v>ROBOT Warna Lava Data Cable RNC100S 3A Type-C Gray 100CM (SKU RJA-ROBO-0336)</v>
      </c>
    </row>
    <row r="465">
      <c r="A465" s="233" t="str">
        <f>IFERROR(__xludf.DUMMYFUNCTION("""COMPUTED_VALUE"""),"ROBOT Data Cable RWM100 Black")</f>
        <v>ROBOT Data Cable RWM100 Black</v>
      </c>
      <c r="F465" s="233" t="str">
        <f>IFERROR(__xludf.DUMMYFUNCTION("""COMPUTED_VALUE"""),"ROBOT RTF01 4IN1 RGB Colorful LED 65W Data Cable Black 100CM (SKU RJA-ROBO-0337)")</f>
        <v>ROBOT RTF01 4IN1 RGB Colorful LED 65W Data Cable Black 100CM (SKU RJA-ROBO-0337)</v>
      </c>
    </row>
    <row r="466">
      <c r="A466" s="233" t="str">
        <f>IFERROR(__xludf.DUMMYFUNCTION("""COMPUTED_VALUE"""),"ROBOT Data Cable RZC100 Black (SKU RJA-ROBO-0322)")</f>
        <v>ROBOT Data Cable RZC100 Black (SKU RJA-ROBO-0322)</v>
      </c>
      <c r="F466" s="233" t="str">
        <f>IFERROR(__xludf.DUMMYFUNCTION("""COMPUTED_VALUE"""),"ROBOT Foam Silicone Data Cable RFSCL100 3A 30W Type-C To Lightning Gray 100CM (SKU RJA-ROBO-0338)")</f>
        <v>ROBOT Foam Silicone Data Cable RFSCL100 3A 30W Type-C To Lightning Gray 100CM (SKU RJA-ROBO-0338)</v>
      </c>
    </row>
    <row r="467">
      <c r="A467" s="233" t="str">
        <f>IFERROR(__xludf.DUMMYFUNCTION("""COMPUTED_VALUE"""),"ROBOT Data Cable RZC100 Black (SKU RJA-ROBO-0393)")</f>
        <v>ROBOT Data Cable RZC100 Black (SKU RJA-ROBO-0393)</v>
      </c>
      <c r="F467" s="233" t="str">
        <f>IFERROR(__xludf.DUMMYFUNCTION("""COMPUTED_VALUE"""),"ROBOT Data Cable RGXCC100 3A 65W Type-C TO Type-C White 100CM (SKU RJA-ROBO-0339)")</f>
        <v>ROBOT Data Cable RGXCC100 3A 65W Type-C TO Type-C White 100CM (SKU RJA-ROBO-0339)</v>
      </c>
    </row>
    <row r="468">
      <c r="A468" s="233" t="str">
        <f>IFERROR(__xludf.DUMMYFUNCTION("""COMPUTED_VALUE"""),"ROBOT Data Cable RZCC100 Black")</f>
        <v>ROBOT Data Cable RZCC100 Black</v>
      </c>
      <c r="F468" s="233" t="str">
        <f>IFERROR(__xludf.DUMMYFUNCTION("""COMPUTED_VALUE"""),"ROBOT Warna Lava Data Cable RNPD100 5A 240W Type-C TO Type-C Gray 100CM (SKU RJA-ROBO-0348)")</f>
        <v>ROBOT Warna Lava Data Cable RNPD100 5A 240W Type-C TO Type-C Gray 100CM (SKU RJA-ROBO-0348)</v>
      </c>
    </row>
    <row r="469">
      <c r="A469" s="233" t="str">
        <f>IFERROR(__xludf.DUMMYFUNCTION("""COMPUTED_VALUE"""),"ROBOT Data Cable RZCL100 Black")</f>
        <v>ROBOT Data Cable RZCL100 Black</v>
      </c>
      <c r="F469" s="233" t="str">
        <f>IFERROR(__xludf.DUMMYFUNCTION("""COMPUTED_VALUE"""),"ROBOT Warna Lava Data Cable RNC200 3A Type-C Gray 200CM")</f>
        <v>ROBOT Warna Lava Data Cable RNC200 3A Type-C Gray 200CM</v>
      </c>
    </row>
    <row r="470">
      <c r="A470" s="233" t="str">
        <f>IFERROR(__xludf.DUMMYFUNCTION("""COMPUTED_VALUE"""),"ROBOT Data Cable RZL100 Black")</f>
        <v>ROBOT Data Cable RZL100 Black</v>
      </c>
      <c r="F470" s="233" t="str">
        <f>IFERROR(__xludf.DUMMYFUNCTION("""COMPUTED_VALUE"""),"ROBOT Data Cable RFL100 White (SKU RJA-ROBO-0351)")</f>
        <v>ROBOT Data Cable RFL100 White (SKU RJA-ROBO-0351)</v>
      </c>
    </row>
    <row r="471">
      <c r="A471" s="233" t="str">
        <f>IFERROR(__xludf.DUMMYFUNCTION("""COMPUTED_VALUE"""),"ROBOT Earphones RE 20E")</f>
        <v>ROBOT Earphones RE 20E</v>
      </c>
      <c r="F471" s="233" t="str">
        <f>IFERROR(__xludf.DUMMYFUNCTION("""COMPUTED_VALUE"""),"ROBOT Data Cable RCOM100 2.4A colorful (SKU RJA-ROBO-0352)")</f>
        <v>ROBOT Data Cable RCOM100 2.4A colorful (SKU RJA-ROBO-0352)</v>
      </c>
    </row>
    <row r="472">
      <c r="A472" s="233" t="str">
        <f>IFERROR(__xludf.DUMMYFUNCTION("""COMPUTED_VALUE"""),"ROBOT FLASH DRIVE RF508 8GB")</f>
        <v>ROBOT FLASH DRIVE RF508 8GB</v>
      </c>
      <c r="F472" s="233" t="str">
        <f>IFERROR(__xludf.DUMMYFUNCTION("""COMPUTED_VALUE"""),"ROBOT Advanced Golden Series Data Cable R-LUXCL100 PD30W Type-C To Lightning Black 100CM (SKU RJA-ROBO-0353)")</f>
        <v>ROBOT Advanced Golden Series Data Cable R-LUXCL100 PD30W Type-C To Lightning Black 100CM (SKU RJA-ROBO-0353)</v>
      </c>
    </row>
    <row r="473">
      <c r="A473" s="233" t="str">
        <f>IFERROR(__xludf.DUMMYFUNCTION("""COMPUTED_VALUE"""),"ROBOT Flashdisk RF116 new Black")</f>
        <v>ROBOT Flashdisk RF116 new Black</v>
      </c>
      <c r="F473" s="233" t="str">
        <f>IFERROR(__xludf.DUMMYFUNCTION("""COMPUTED_VALUE"""),"ROBOT Warna Lava Data Cable RNPD100 5A 240W Type-C TO Type-C Gray 100CM (SKU RJA-ROBO-0354)")</f>
        <v>ROBOT Warna Lava Data Cable RNPD100 5A 240W Type-C TO Type-C Gray 100CM (SKU RJA-ROBO-0354)</v>
      </c>
    </row>
    <row r="474">
      <c r="A474" s="233" t="str">
        <f>IFERROR(__xludf.DUMMYFUNCTION("""COMPUTED_VALUE"""),"ROBOT Flat&amp;Bendable Car Holder RT-CH14S Black")</f>
        <v>ROBOT Flat&amp;Bendable Car Holder RT-CH14S Black</v>
      </c>
      <c r="F474" s="233" t="str">
        <f>IFERROR(__xludf.DUMMYFUNCTION("""COMPUTED_VALUE"""),"ROBOT Warna Lava Data Cable RNCL200 30W Type-C TO Lightning Gray 200CM (SKU RJA-ROBO-0355)")</f>
        <v>ROBOT Warna Lava Data Cable RNCL200 30W Type-C TO Lightning Gray 200CM (SKU RJA-ROBO-0355)</v>
      </c>
    </row>
    <row r="475">
      <c r="A475" s="233" t="str">
        <f>IFERROR(__xludf.DUMMYFUNCTION("""COMPUTED_VALUE"""),"ROBOT Flexible Rearview Mirror Car Holder Black RVH01 With 360° Rotation &amp; Adjustable Height And Length")</f>
        <v>ROBOT Flexible Rearview Mirror Car Holder Black RVH01 With 360° Rotation &amp; Adjustable Height And Length</v>
      </c>
      <c r="F475" s="233" t="str">
        <f>IFERROR(__xludf.DUMMYFUNCTION("""COMPUTED_VALUE"""),"ROBOT Warna Lava Data Cable RNCL100 30W Type-C TO Lightning Gray 100CM (SKU RJA-ROBO-0356)")</f>
        <v>ROBOT Warna Lava Data Cable RNCL100 30W Type-C TO Lightning Gray 100CM (SKU RJA-ROBO-0356)</v>
      </c>
    </row>
    <row r="476">
      <c r="A476" s="233" t="str">
        <f>IFERROR(__xludf.DUMMYFUNCTION("""COMPUTED_VALUE"""),"ROBOT Foam Silicone Data Cable RFSC100 3A Type-C Gray 100CM")</f>
        <v>ROBOT Foam Silicone Data Cable RFSC100 3A Type-C Gray 100CM</v>
      </c>
      <c r="F476" s="233" t="str">
        <f>IFERROR(__xludf.DUMMYFUNCTION("""COMPUTED_VALUE"""),"ROBOT RVM100 4A Micro 7 Pin 100cm VOOC Flash ChargingData Cable with Velcro Strap White")</f>
        <v>ROBOT RVM100 4A Micro 7 Pin 100cm VOOC Flash ChargingData Cable with Velcro Strap White</v>
      </c>
    </row>
    <row r="477">
      <c r="A477" s="233" t="str">
        <f>IFERROR(__xludf.DUMMYFUNCTION("""COMPUTED_VALUE"""),"ROBOT Foam Silicone Data Cable RFSCC100 3A 65W Type-C To Type-C Gray 100CM")</f>
        <v>ROBOT Foam Silicone Data Cable RFSCC100 3A 65W Type-C To Type-C Gray 100CM</v>
      </c>
      <c r="F477" s="233" t="str">
        <f>IFERROR(__xludf.DUMMYFUNCTION("""COMPUTED_VALUE"""),"ROBOT RSC100 3A 100cm Type-C Aluminium Colourful Braided Data Cable Blue (SKU RJA-ROBO-0361)")</f>
        <v>ROBOT RSC100 3A 100cm Type-C Aluminium Colourful Braided Data Cable Blue (SKU RJA-ROBO-0361)</v>
      </c>
    </row>
    <row r="478">
      <c r="A478" s="233" t="str">
        <f>IFERROR(__xludf.DUMMYFUNCTION("""COMPUTED_VALUE"""),"ROBOT Foam Silicone Data Cable RFSCL100 3A 30W Type-C To Lightning Gray 100CM (SKU RJA-ROBO-0338)")</f>
        <v>ROBOT Foam Silicone Data Cable RFSCL100 3A 30W Type-C To Lightning Gray 100CM (SKU RJA-ROBO-0338)</v>
      </c>
      <c r="F478" s="233" t="str">
        <f>IFERROR(__xludf.DUMMYFUNCTION("""COMPUTED_VALUE"""),"ROBOT RSC100 3A 100cm Type-C Aluminium Colourful Braided Data Cable Blue (SKU RJA-ROBO-0362)")</f>
        <v>ROBOT RSC100 3A 100cm Type-C Aluminium Colourful Braided Data Cable Blue (SKU RJA-ROBO-0362)</v>
      </c>
    </row>
    <row r="479">
      <c r="A479" s="233" t="str">
        <f>IFERROR(__xludf.DUMMYFUNCTION("""COMPUTED_VALUE"""),"ROBOT Foam Silicone Data Cable RFSCL100 3A 30W Type-C To Lightning Gray 100CM (SKU RJA-ROBO-0452)")</f>
        <v>ROBOT Foam Silicone Data Cable RFSCL100 3A 30W Type-C To Lightning Gray 100CM (SKU RJA-ROBO-0452)</v>
      </c>
      <c r="F479" s="233" t="str">
        <f>IFERROR(__xludf.DUMMYFUNCTION("""COMPUTED_VALUE"""),"ROBOT RGM100 Data Cable Colorful")</f>
        <v>ROBOT RGM100 Data Cable Colorful</v>
      </c>
    </row>
    <row r="480">
      <c r="A480" s="233" t="str">
        <f>IFERROR(__xludf.DUMMYFUNCTION("""COMPUTED_VALUE"""),"ROBOT Foam Silicone Data Cable RFSL100 2.4A Lightning Black 100CM")</f>
        <v>ROBOT Foam Silicone Data Cable RFSL100 2.4A Lightning Black 100CM</v>
      </c>
      <c r="F480" s="233" t="str">
        <f>IFERROR(__xludf.DUMMYFUNCTION("""COMPUTED_VALUE"""),"ROBOT RGL100 Data Cable Colorful")</f>
        <v>ROBOT RGL100 Data Cable Colorful</v>
      </c>
    </row>
    <row r="481">
      <c r="A481" s="233" t="str">
        <f>IFERROR(__xludf.DUMMYFUNCTION("""COMPUTED_VALUE"""),"ROBOT Foam Silicone Data Cable RFSM100 2.4A Micro Black 100CM")</f>
        <v>ROBOT Foam Silicone Data Cable RFSM100 2.4A Micro Black 100CM</v>
      </c>
      <c r="F481" s="233" t="str">
        <f>IFERROR(__xludf.DUMMYFUNCTION("""COMPUTED_VALUE"""),"ROBOT RGC100 Type-C Data Cable Colorful")</f>
        <v>ROBOT RGC100 Type-C Data Cable Colorful</v>
      </c>
    </row>
    <row r="482">
      <c r="A482" s="233" t="str">
        <f>IFERROR(__xludf.DUMMYFUNCTION("""COMPUTED_VALUE"""),"Robot H140-80 HUB Black (SKU RJA-ROBO-0287)")</f>
        <v>Robot H140-80 HUB Black (SKU RJA-ROBO-0287)</v>
      </c>
      <c r="F482" s="233" t="str">
        <f>IFERROR(__xludf.DUMMYFUNCTION("""COMPUTED_VALUE"""),"ROBOT RDC100S 2.4A Type-C Quick Charging 100cm Data Cable White (SKU RJA-ROBO-0366)")</f>
        <v>ROBOT RDC100S 2.4A Type-C Quick Charging 100cm Data Cable White (SKU RJA-ROBO-0366)</v>
      </c>
    </row>
    <row r="483">
      <c r="A483" s="233" t="str">
        <f>IFERROR(__xludf.DUMMYFUNCTION("""COMPUTED_VALUE"""),"Robot H140-80 HUB Black (SKU RJA-ROBO-0292)")</f>
        <v>Robot H140-80 HUB Black (SKU RJA-ROBO-0292)</v>
      </c>
      <c r="F483" s="233" t="str">
        <f>IFERROR(__xludf.DUMMYFUNCTION("""COMPUTED_VALUE"""),"ROBOT RBM100S Data Cable Colorful")</f>
        <v>ROBOT RBM100S Data Cable Colorful</v>
      </c>
    </row>
    <row r="484">
      <c r="A484" s="233" t="str">
        <f>IFERROR(__xludf.DUMMYFUNCTION("""COMPUTED_VALUE"""),"ROBOT H160 4-PORT USB HUB(USB3.0+USB2.0）Black (SKU RJA-ROBO-0286)")</f>
        <v>ROBOT H160 4-PORT USB HUB(USB3.0+USB2.0）Black (SKU RJA-ROBO-0286)</v>
      </c>
      <c r="F484" s="233" t="str">
        <f>IFERROR(__xludf.DUMMYFUNCTION("""COMPUTED_VALUE"""),"ROBOT Data Cable RZL100 Black")</f>
        <v>ROBOT Data Cable RZL100 Black</v>
      </c>
    </row>
    <row r="485">
      <c r="A485" s="233" t="str">
        <f>IFERROR(__xludf.DUMMYFUNCTION("""COMPUTED_VALUE"""),"ROBOT H160 4-PORT USB HUB(USB3.0+USB2.0）Black (SKU RJA-ROBO-0291)")</f>
        <v>ROBOT H160 4-PORT USB HUB(USB3.0+USB2.0）Black (SKU RJA-ROBO-0291)</v>
      </c>
      <c r="F485" s="233" t="str">
        <f>IFERROR(__xludf.DUMMYFUNCTION("""COMPUTED_VALUE"""),"ROBOT Data Cable RZCL100 Black")</f>
        <v>ROBOT Data Cable RZCL100 Black</v>
      </c>
    </row>
    <row r="486">
      <c r="A486" s="233" t="str">
        <f>IFERROR(__xludf.DUMMYFUNCTION("""COMPUTED_VALUE"""),"robot H340C HUB (SKU RJA-ROBO-0285)")</f>
        <v>robot H340C HUB (SKU RJA-ROBO-0285)</v>
      </c>
      <c r="F486" s="233" t="str">
        <f>IFERROR(__xludf.DUMMYFUNCTION("""COMPUTED_VALUE"""),"ROBOT Data Cable RZCC100 Black")</f>
        <v>ROBOT Data Cable RZCC100 Black</v>
      </c>
    </row>
    <row r="487">
      <c r="A487" s="233" t="str">
        <f>IFERROR(__xludf.DUMMYFUNCTION("""COMPUTED_VALUE"""),"ROBOT H340C HUB (SKU RJA-ROBO-0290)")</f>
        <v>ROBOT H340C HUB (SKU RJA-ROBO-0290)</v>
      </c>
      <c r="F487" s="233" t="str">
        <f>IFERROR(__xludf.DUMMYFUNCTION("""COMPUTED_VALUE"""),"ROBOT Data Cable RZC100 Black (SKU RJA-ROBO-0393)")</f>
        <v>ROBOT Data Cable RZC100 Black (SKU RJA-ROBO-0393)</v>
      </c>
    </row>
    <row r="488">
      <c r="A488" s="233" t="str">
        <f>IFERROR(__xludf.DUMMYFUNCTION("""COMPUTED_VALUE"""),"ROBOT HDMI Cable RFH015 High-Definition BLACK")</f>
        <v>ROBOT HDMI Cable RFH015 High-Definition BLACK</v>
      </c>
      <c r="F488" s="233" t="str">
        <f>IFERROR(__xludf.DUMMYFUNCTION("""COMPUTED_VALUE"""),"ROBOT Data Cable RUL02 White")</f>
        <v>ROBOT Data Cable RUL02 White</v>
      </c>
    </row>
    <row r="489">
      <c r="A489" s="233" t="str">
        <f>IFERROR(__xludf.DUMMYFUNCTION("""COMPUTED_VALUE"""),"ROBOT Headset Bluetooth Spirit H20 White")</f>
        <v>ROBOT Headset Bluetooth Spirit H20 White</v>
      </c>
      <c r="F489" s="233" t="str">
        <f>IFERROR(__xludf.DUMMYFUNCTION("""COMPUTED_VALUE"""),"ROBOT Data Cable RUL01 White (SKU RJA-ROBO-0396)")</f>
        <v>ROBOT Data Cable RUL01 White (SKU RJA-ROBO-0396)</v>
      </c>
    </row>
    <row r="490">
      <c r="A490" s="233" t="str">
        <f>IFERROR(__xludf.DUMMYFUNCTION("""COMPUTED_VALUE"""),"ROBOT Height And Angle Adjustable Phone Holder For Live Streaming RT-US13 Black")</f>
        <v>ROBOT Height And Angle Adjustable Phone Holder For Live Streaming RT-US13 Black</v>
      </c>
      <c r="F490" s="233" t="str">
        <f>IFERROR(__xludf.DUMMYFUNCTION("""COMPUTED_VALUE"""),"ROBOT Data Cable RSQC100 White (SKU RJA-ROBO-0397)")</f>
        <v>ROBOT Data Cable RSQC100 White (SKU RJA-ROBO-0397)</v>
      </c>
    </row>
    <row r="491">
      <c r="A491" s="233" t="str">
        <f>IFERROR(__xludf.DUMMYFUNCTION("""COMPUTED_VALUE"""),"ROBOT Highspeed Handheld Mini Fan RT-HF01 White With 100 Leve&amp;LED Display (SKU RJA-ROBO-0125)")</f>
        <v>ROBOT Highspeed Handheld Mini Fan RT-HF01 White With 100 Leve&amp;LED Display (SKU RJA-ROBO-0125)</v>
      </c>
      <c r="F491" s="233" t="str">
        <f>IFERROR(__xludf.DUMMYFUNCTION("""COMPUTED_VALUE"""),"ROBOT Data Cable RSQC100 Black (SKU RJA-ROBO-0398)")</f>
        <v>ROBOT Data Cable RSQC100 Black (SKU RJA-ROBO-0398)</v>
      </c>
    </row>
    <row r="492">
      <c r="A492" s="233" t="str">
        <f>IFERROR(__xludf.DUMMYFUNCTION("""COMPUTED_VALUE"""),"ROBOT Highspeed Handheld Mini Fan RT-HF01 White With 100 Leve&amp;LED Display (SKU RJA-ROBO-0542)")</f>
        <v>ROBOT Highspeed Handheld Mini Fan RT-HF01 White With 100 Leve&amp;LED Display (SKU RJA-ROBO-0542)</v>
      </c>
      <c r="F492" s="233" t="str">
        <f>IFERROR(__xludf.DUMMYFUNCTION("""COMPUTED_VALUE"""),"ROBOT Data Cable RSCC120 White (SKU RJA-ROBO-0405)")</f>
        <v>ROBOT Data Cable RSCC120 White (SKU RJA-ROBO-0405)</v>
      </c>
    </row>
    <row r="493">
      <c r="A493" s="233" t="str">
        <f>IFERROR(__xludf.DUMMYFUNCTION("""COMPUTED_VALUE"""),"ROBOT HM103 HDMI switch and Splitter 2in 1out / 1in 2out Bi-Direction 4k Black")</f>
        <v>ROBOT HM103 HDMI switch and Splitter 2in 1out / 1in 2out Bi-Direction 4k Black</v>
      </c>
      <c r="F493" s="233" t="str">
        <f>IFERROR(__xludf.DUMMYFUNCTION("""COMPUTED_VALUE"""),"ROBOT Data Cable RQC100 White (SKU RJA-ROBO-0406)")</f>
        <v>ROBOT Data Cable RQC100 White (SKU RJA-ROBO-0406)</v>
      </c>
    </row>
    <row r="494">
      <c r="A494" s="233" t="str">
        <f>IFERROR(__xludf.DUMMYFUNCTION("""COMPUTED_VALUE"""),"ROBOT HORIZONTAL DIGITAL data CABLE RHCL100 27W TYPE C")</f>
        <v>ROBOT HORIZONTAL DIGITAL data CABLE RHCL100 27W TYPE C</v>
      </c>
      <c r="F494" s="233" t="str">
        <f>IFERROR(__xludf.DUMMYFUNCTION("""COMPUTED_VALUE"""),"ROBOT Data Cable RGM100S colorful (SKU RJA-ROBO-0407)")</f>
        <v>ROBOT Data Cable RGM100S colorful (SKU RJA-ROBO-0407)</v>
      </c>
    </row>
    <row r="495">
      <c r="A495" s="233" t="str">
        <f>IFERROR(__xludf.DUMMYFUNCTION("""COMPUTED_VALUE"""),"ROBOT HT200 Type-C TO HDMI Adapter 4K")</f>
        <v>ROBOT HT200 Type-C TO HDMI Adapter 4K</v>
      </c>
      <c r="F495" s="233" t="str">
        <f>IFERROR(__xludf.DUMMYFUNCTION("""COMPUTED_VALUE"""),"ROBOT Data Cable RGL100S colorful (SKU RJA-ROBO-0408)")</f>
        <v>ROBOT Data Cable RGL100S colorful (SKU RJA-ROBO-0408)</v>
      </c>
    </row>
    <row r="496">
      <c r="A496" s="233" t="str">
        <f>IFERROR(__xludf.DUMMYFUNCTION("""COMPUTED_VALUE"""),"ROBOT Hub&amp;Convertor HEA200C Gray (SKU RJA-ROBO-0284)")</f>
        <v>ROBOT Hub&amp;Convertor HEA200C Gray (SKU RJA-ROBO-0284)</v>
      </c>
      <c r="F496" s="233" t="str">
        <f>IFERROR(__xludf.DUMMYFUNCTION("""COMPUTED_VALUE"""),"ROBOT Data Cable RGC100S colorful")</f>
        <v>ROBOT Data Cable RGC100S colorful</v>
      </c>
    </row>
    <row r="497">
      <c r="A497" s="233" t="str">
        <f>IFERROR(__xludf.DUMMYFUNCTION("""COMPUTED_VALUE"""),"ROBOT Hub&amp;Convertor HEA200C Gray (SKU RJA-ROBO-0288)")</f>
        <v>ROBOT Hub&amp;Convertor HEA200C Gray (SKU RJA-ROBO-0288)</v>
      </c>
      <c r="F497" s="233" t="str">
        <f>IFERROR(__xludf.DUMMYFUNCTION("""COMPUTED_VALUE"""),"ROBOT Data Cable RFL100 White (SKU RJA-ROBO-0419)")</f>
        <v>ROBOT Data Cable RFL100 White (SKU RJA-ROBO-0419)</v>
      </c>
    </row>
    <row r="498">
      <c r="A498" s="233" t="str">
        <f>IFERROR(__xludf.DUMMYFUNCTION("""COMPUTED_VALUE"""),"ROBOT KM3500 (SKU RJA-ROBO-0538)")</f>
        <v>ROBOT KM3500 (SKU RJA-ROBO-0538)</v>
      </c>
      <c r="F498" s="233" t="str">
        <f>IFERROR(__xludf.DUMMYFUNCTION("""COMPUTED_VALUE"""),"ROBOT Data Cable RDY120 White (SKU RJA-ROBO-0420)")</f>
        <v>ROBOT Data Cable RDY120 White (SKU RJA-ROBO-0420)</v>
      </c>
    </row>
    <row r="499">
      <c r="A499" s="233" t="str">
        <f>IFERROR(__xludf.DUMMYFUNCTION("""COMPUTED_VALUE"""),"ROBOT KM3500 (SKU RJA-ROBO-0540)")</f>
        <v>ROBOT KM3500 (SKU RJA-ROBO-0540)</v>
      </c>
      <c r="F499" s="233" t="str">
        <f>IFERROR(__xludf.DUMMYFUNCTION("""COMPUTED_VALUE"""),"ROBOT Data Cable RCOM100 2.4A colorful (SKU RJA-ROBO-0421)")</f>
        <v>ROBOT Data Cable RCOM100 2.4A colorful (SKU RJA-ROBO-0421)</v>
      </c>
    </row>
    <row r="500">
      <c r="A500" s="233" t="str">
        <f>IFERROR(__xludf.DUMMYFUNCTION("""COMPUTED_VALUE"""),"ROBOT Laptop Cooling Pad RCP10 Black (SKU RJA-ROBO-0122)")</f>
        <v>ROBOT Laptop Cooling Pad RCP10 Black (SKU RJA-ROBO-0122)</v>
      </c>
      <c r="F500" s="233" t="str">
        <f>IFERROR(__xludf.DUMMYFUNCTION("""COMPUTED_VALUE"""),"ROBOT Data Cable RCOC100 3A colorful (SKU RJA-ROBO-0422)")</f>
        <v>ROBOT Data Cable RCOC100 3A colorful (SKU RJA-ROBO-0422)</v>
      </c>
    </row>
    <row r="501">
      <c r="A501" s="233" t="str">
        <f>IFERROR(__xludf.DUMMYFUNCTION("""COMPUTED_VALUE"""),"ROBOT Laptop Cooling Pad RCP10 Black (SKU RJA-ROBO-0123)")</f>
        <v>ROBOT Laptop Cooling Pad RCP10 Black (SKU RJA-ROBO-0123)</v>
      </c>
      <c r="F501" s="233" t="str">
        <f>IFERROR(__xludf.DUMMYFUNCTION("""COMPUTED_VALUE"""),"ROBOT Data Cable RCC60W Black")</f>
        <v>ROBOT Data Cable RCC60W Black</v>
      </c>
    </row>
    <row r="502">
      <c r="A502" s="233" t="str">
        <f>IFERROR(__xludf.DUMMYFUNCTION("""COMPUTED_VALUE"""),"ROBOT M130 Wired Mouse Colorful LED 800-1200-1600DPI Black (SKU RJA-ROBO-0573)")</f>
        <v>ROBOT M130 Wired Mouse Colorful LED 800-1200-1600DPI Black (SKU RJA-ROBO-0573)</v>
      </c>
      <c r="F502" s="233" t="str">
        <f>IFERROR(__xludf.DUMMYFUNCTION("""COMPUTED_VALUE"""),"ROBOT Data Cable RCC240W White")</f>
        <v>ROBOT Data Cable RCC240W White</v>
      </c>
    </row>
    <row r="503">
      <c r="A503" s="233" t="str">
        <f>IFERROR(__xludf.DUMMYFUNCTION("""COMPUTED_VALUE"""),"ROBOT M130 Wired Mouse Colorful LED 800-1200-1600DPI Black (SKU RJA-ROBO-0587)")</f>
        <v>ROBOT M130 Wired Mouse Colorful LED 800-1200-1600DPI Black (SKU RJA-ROBO-0587)</v>
      </c>
      <c r="F503" s="233" t="str">
        <f>IFERROR(__xludf.DUMMYFUNCTION("""COMPUTED_VALUE"""),"ROBOT Data Cable RBM100S Special Edition colorful")</f>
        <v>ROBOT Data Cable RBM100S Special Edition colorful</v>
      </c>
    </row>
    <row r="504">
      <c r="A504" s="233" t="str">
        <f>IFERROR(__xludf.DUMMYFUNCTION("""COMPUTED_VALUE"""),"ROBOT M205 Wireless Mouse 800-1200-1600 DPI Black (without battery)")</f>
        <v>ROBOT M205 Wireless Mouse 800-1200-1600 DPI Black (without battery)</v>
      </c>
      <c r="F504" s="233" t="str">
        <f>IFERROR(__xludf.DUMMYFUNCTION("""COMPUTED_VALUE"""),"ROBOT Data Cable RBM100 II 1pcs colorful")</f>
        <v>ROBOT Data Cable RBM100 II 1pcs colorful</v>
      </c>
    </row>
    <row r="505">
      <c r="A505" s="233" t="str">
        <f>IFERROR(__xludf.DUMMYFUNCTION("""COMPUTED_VALUE"""),"ROBOT M207 Wireless MOUSE Silent 800-1200-1600 DPI Black ( Without Battery)")</f>
        <v>ROBOT M207 Wireless MOUSE Silent 800-1200-1600 DPI Black ( Without Battery)</v>
      </c>
      <c r="F505" s="233" t="str">
        <f>IFERROR(__xludf.DUMMYFUNCTION("""COMPUTED_VALUE"""),"ROBOT Data Cable RBC100S colorful")</f>
        <v>ROBOT Data Cable RBC100S colorful</v>
      </c>
    </row>
    <row r="506">
      <c r="A506" s="233" t="str">
        <f>IFERROR(__xludf.DUMMYFUNCTION("""COMPUTED_VALUE"""),"Robot M210 2.4G Wireless Optical Black USB Mouse")</f>
        <v>Robot M210 2.4G Wireless Optical Black USB Mouse</v>
      </c>
      <c r="F506" s="233" t="str">
        <f>IFERROR(__xludf.DUMMYFUNCTION("""COMPUTED_VALUE"""),"ROBOT Data Cable RBC100 II Colorful")</f>
        <v>ROBOT Data Cable RBC100 II Colorful</v>
      </c>
    </row>
    <row r="507">
      <c r="A507" s="233" t="str">
        <f>IFERROR(__xludf.DUMMYFUNCTION("""COMPUTED_VALUE"""),"ROBOT M260 2.4G Wireless Mouse 1600 DPI Black (SKU RJA-ROBO-0571)")</f>
        <v>ROBOT M260 2.4G Wireless Mouse 1600 DPI Black (SKU RJA-ROBO-0571)</v>
      </c>
      <c r="F507" s="233" t="str">
        <f>IFERROR(__xludf.DUMMYFUNCTION("""COMPUTED_VALUE"""),"ROBOT Data Cable RPC100-Rabbit White (SKU RJA-ROBO-0433)")</f>
        <v>ROBOT Data Cable RPC100-Rabbit White (SKU RJA-ROBO-0433)</v>
      </c>
    </row>
    <row r="508">
      <c r="A508" s="233" t="str">
        <f>IFERROR(__xludf.DUMMYFUNCTION("""COMPUTED_VALUE"""),"ROBOT M260 2.4G Wireless Mouse 1600 DPI Black (SKU RJA-ROBO-0583)")</f>
        <v>ROBOT M260 2.4G Wireless Mouse 1600 DPI Black (SKU RJA-ROBO-0583)</v>
      </c>
      <c r="F508" s="233" t="str">
        <f>IFERROR(__xludf.DUMMYFUNCTION("""COMPUTED_VALUE"""),"ROBOT Advanced Golden Series Data Cable R-LUXCL100 PD30W Type-C To Lightning Black 100CM (SKU RJA-ROBO-0434)")</f>
        <v>ROBOT Advanced Golden Series Data Cable R-LUXCL100 PD30W Type-C To Lightning Black 100CM (SKU RJA-ROBO-0434)</v>
      </c>
    </row>
    <row r="509">
      <c r="A509" s="233" t="str">
        <f>IFERROR(__xludf.DUMMYFUNCTION("""COMPUTED_VALUE"""),"Robot M310 Wireless Mouse Silent Key Black (SKU RJA-ROBO-0570)")</f>
        <v>Robot M310 Wireless Mouse Silent Key Black (SKU RJA-ROBO-0570)</v>
      </c>
      <c r="F509" s="233" t="str">
        <f>IFERROR(__xludf.DUMMYFUNCTION("""COMPUTED_VALUE"""),"ROBOT 2in1 Dua Port Type-C Data Cable RYCC150 65W 3A Blue 150CM")</f>
        <v>ROBOT 2in1 Dua Port Type-C Data Cable RYCC150 65W 3A Blue 150CM</v>
      </c>
    </row>
    <row r="510">
      <c r="A510" s="233" t="str">
        <f>IFERROR(__xludf.DUMMYFUNCTION("""COMPUTED_VALUE"""),"Robot M310 Wireless Mouse Silent Key Black (SKU RJA-ROBO-0582)")</f>
        <v>Robot M310 Wireless Mouse Silent Key Black (SKU RJA-ROBO-0582)</v>
      </c>
      <c r="F510" s="233" t="str">
        <f>IFERROR(__xludf.DUMMYFUNCTION("""COMPUTED_VALUE"""),"ROBOT Warna Lava Data Cable RNQC100 6A 67W SUPPORT FAST CHARGING (SKU RJA-ROBO-0436)")</f>
        <v>ROBOT Warna Lava Data Cable RNQC100 6A 67W SUPPORT FAST CHARGING (SKU RJA-ROBO-0436)</v>
      </c>
    </row>
    <row r="511">
      <c r="A511" s="233" t="str">
        <f>IFERROR(__xludf.DUMMYFUNCTION("""COMPUTED_VALUE"""),"ROBOT M316 Wireless Mouse Silent 800-1200-1600-2400 DPI Grey")</f>
        <v>ROBOT M316 Wireless Mouse Silent 800-1200-1600-2400 DPI Grey</v>
      </c>
      <c r="F511" s="233" t="str">
        <f>IFERROR(__xludf.DUMMYFUNCTION("""COMPUTED_VALUE"""),"ROBOT Warna Lava Data Cable RNCL200 30W Type-C TO Lightning Gray 200CM (SKU RJA-ROBO-0437)")</f>
        <v>ROBOT Warna Lava Data Cable RNCL200 30W Type-C TO Lightning Gray 200CM (SKU RJA-ROBO-0437)</v>
      </c>
    </row>
    <row r="512">
      <c r="A512" s="233" t="str">
        <f>IFERROR(__xludf.DUMMYFUNCTION("""COMPUTED_VALUE"""),"ROBOT M355 Bluetooth+2.4G Dual Mode Wireless Mouse Silent Key Grey")</f>
        <v>ROBOT M355 Bluetooth+2.4G Dual Mode Wireless Mouse Silent Key Grey</v>
      </c>
      <c r="F512" s="233" t="str">
        <f>IFERROR(__xludf.DUMMYFUNCTION("""COMPUTED_VALUE"""),"ROBOT Warna Lava Data Cable RNCL100 30W Type-C TO Lightning Gray 100CM (SKU RJA-ROBO-0446)")</f>
        <v>ROBOT Warna Lava Data Cable RNCL100 30W Type-C TO Lightning Gray 100CM (SKU RJA-ROBO-0446)</v>
      </c>
    </row>
    <row r="513">
      <c r="A513" s="233" t="str">
        <f>IFERROR(__xludf.DUMMYFUNCTION("""COMPUTED_VALUE"""),"ROBOT M360 Bluetooth+2.4G Dual Mode Mouse Slient Key Black (SKU RJA-ROBO-0569)")</f>
        <v>ROBOT M360 Bluetooth+2.4G Dual Mode Mouse Slient Key Black (SKU RJA-ROBO-0569)</v>
      </c>
      <c r="F513" s="233" t="str">
        <f>IFERROR(__xludf.DUMMYFUNCTION("""COMPUTED_VALUE"""),"ROBOT Warna Lava Data Cable RNC200 3A Type-C Blue 200CM")</f>
        <v>ROBOT Warna Lava Data Cable RNC200 3A Type-C Blue 200CM</v>
      </c>
    </row>
    <row r="514">
      <c r="A514" s="233" t="str">
        <f>IFERROR(__xludf.DUMMYFUNCTION("""COMPUTED_VALUE"""),"ROBOT M360 Bluetooth+2.4G Dual Mode Mouse Slient Key Black (SKU RJA-ROBO-0579)")</f>
        <v>ROBOT M360 Bluetooth+2.4G Dual Mode Mouse Slient Key Black (SKU RJA-ROBO-0579)</v>
      </c>
      <c r="F514" s="233" t="str">
        <f>IFERROR(__xludf.DUMMYFUNCTION("""COMPUTED_VALUE"""),"ROBOT Warna Lava Data Cable RNC100S 3A Type-C Gray 100CM (SKU RJA-ROBO-0448)")</f>
        <v>ROBOT Warna Lava Data Cable RNC100S 3A Type-C Gray 100CM (SKU RJA-ROBO-0448)</v>
      </c>
    </row>
    <row r="515">
      <c r="A515" s="233" t="str">
        <f>IFERROR(__xludf.DUMMYFUNCTION("""COMPUTED_VALUE"""),"ROBOT M370 Wireless Mouse Silent Key 800-1200-2400-3200 DPI 6D Black (SKU RJA-ROBO-0568)")</f>
        <v>ROBOT M370 Wireless Mouse Silent Key 800-1200-2400-3200 DPI 6D Black (SKU RJA-ROBO-0568)</v>
      </c>
      <c r="F515" s="233" t="str">
        <f>IFERROR(__xludf.DUMMYFUNCTION("""COMPUTED_VALUE"""),"ROBOT RTF01 4IN1 RGB Colorful LED 65W Data Cable Black 100CM (SKU RJA-ROBO-0449)")</f>
        <v>ROBOT RTF01 4IN1 RGB Colorful LED 65W Data Cable Black 100CM (SKU RJA-ROBO-0449)</v>
      </c>
    </row>
    <row r="516">
      <c r="A516" s="233" t="str">
        <f>IFERROR(__xludf.DUMMYFUNCTION("""COMPUTED_VALUE"""),"ROBOT M370 Wireless Mouse Silent Key 800-1200-2400-3200 DPI 6D Black (SKU RJA-ROBO-0578)")</f>
        <v>ROBOT M370 Wireless Mouse Silent Key 800-1200-2400-3200 DPI 6D Black (SKU RJA-ROBO-0578)</v>
      </c>
      <c r="F516" s="233" t="str">
        <f>IFERROR(__xludf.DUMMYFUNCTION("""COMPUTED_VALUE"""),"ROBOT Foam Silicone Data Cable RFSM100 2.4A Micro Black 100CM")</f>
        <v>ROBOT Foam Silicone Data Cable RFSM100 2.4A Micro Black 100CM</v>
      </c>
    </row>
    <row r="517">
      <c r="A517" s="233" t="str">
        <f>IFERROR(__xludf.DUMMYFUNCTION("""COMPUTED_VALUE"""),"ROBOT M390 Bluetooth+2.4G Dual Mode Wireless Mouse Slient Key black")</f>
        <v>ROBOT M390 Bluetooth+2.4G Dual Mode Wireless Mouse Slient Key black</v>
      </c>
      <c r="F517" s="233" t="str">
        <f>IFERROR(__xludf.DUMMYFUNCTION("""COMPUTED_VALUE"""),"ROBOT Foam Silicone Data Cable RFSL100 2.4A Lightning Black 100CM")</f>
        <v>ROBOT Foam Silicone Data Cable RFSL100 2.4A Lightning Black 100CM</v>
      </c>
    </row>
    <row r="518">
      <c r="A518" s="233" t="str">
        <f>IFERROR(__xludf.DUMMYFUNCTION("""COMPUTED_VALUE"""),"ROBOT M390 Bluetooth+2.4G Dual Mode Wireless Mouse Slient Key Grey")</f>
        <v>ROBOT M390 Bluetooth+2.4G Dual Mode Wireless Mouse Slient Key Grey</v>
      </c>
      <c r="F518" s="233" t="str">
        <f>IFERROR(__xludf.DUMMYFUNCTION("""COMPUTED_VALUE"""),"ROBOT Foam Silicone Data Cable RFSCL100 3A 30W Type-C To Lightning Gray 100CM (SKU RJA-ROBO-0452)")</f>
        <v>ROBOT Foam Silicone Data Cable RFSCL100 3A 30W Type-C To Lightning Gray 100CM (SKU RJA-ROBO-0452)</v>
      </c>
    </row>
    <row r="519">
      <c r="A519" s="233" t="str">
        <f>IFERROR(__xludf.DUMMYFUNCTION("""COMPUTED_VALUE"""),"ROBOT M500 Rechargeable USB 2.4G Wireless Mouse Silent Key Black (SKU RJA-ROBO-0567)")</f>
        <v>ROBOT M500 Rechargeable USB 2.4G Wireless Mouse Silent Key Black (SKU RJA-ROBO-0567)</v>
      </c>
      <c r="F519" s="233" t="str">
        <f>IFERROR(__xludf.DUMMYFUNCTION("""COMPUTED_VALUE"""),"ROBOT Foam Silicone Data Cable RFSCC100 3A 65W Type-C To Type-C Gray 100CM")</f>
        <v>ROBOT Foam Silicone Data Cable RFSCC100 3A 65W Type-C To Type-C Gray 100CM</v>
      </c>
    </row>
    <row r="520">
      <c r="A520" s="233" t="str">
        <f>IFERROR(__xludf.DUMMYFUNCTION("""COMPUTED_VALUE"""),"ROBOT M500 Rechargeable USB 2.4G Wireless Mouse Silent Key Black (SKU RJA-ROBO-0575)")</f>
        <v>ROBOT M500 Rechargeable USB 2.4G Wireless Mouse Silent Key Black (SKU RJA-ROBO-0575)</v>
      </c>
      <c r="F520" s="233" t="str">
        <f>IFERROR(__xludf.DUMMYFUNCTION("""COMPUTED_VALUE"""),"ROBOT Foam Silicone Data Cable RFSC100 3A Type-C Gray 100CM")</f>
        <v>ROBOT Foam Silicone Data Cable RFSC100 3A Type-C Gray 100CM</v>
      </c>
    </row>
    <row r="521">
      <c r="A521" s="233" t="str">
        <f>IFERROR(__xludf.DUMMYFUNCTION("""COMPUTED_VALUE"""),"ROBOT Motorcycle Car Holder RT-MH06 Black With Knob Adjustment Supports Use With Mobile Phone Case (SKU RJA-ROBO-0228)")</f>
        <v>ROBOT Motorcycle Car Holder RT-MH06 Black With Knob Adjustment Supports Use With Mobile Phone Case (SKU RJA-ROBO-0228)</v>
      </c>
      <c r="F521" s="233" t="str">
        <f>IFERROR(__xludf.DUMMYFUNCTION("""COMPUTED_VALUE"""),"ROBOT Data Cable RWM100 Black")</f>
        <v>ROBOT Data Cable RWM100 Black</v>
      </c>
    </row>
    <row r="522">
      <c r="A522" s="233" t="str">
        <f>IFERROR(__xludf.DUMMYFUNCTION("""COMPUTED_VALUE"""),"ROBOT Motorcycle Car Holder RT-MH06 Black With Knob Adjustment Supports Use With Mobile Phone Case (SKU RJA-ROBO-0230)")</f>
        <v>ROBOT Motorcycle Car Holder RT-MH06 Black With Knob Adjustment Supports Use With Mobile Phone Case (SKU RJA-ROBO-0230)</v>
      </c>
      <c r="F522" s="233" t="str">
        <f>IFERROR(__xludf.DUMMYFUNCTION("""COMPUTED_VALUE"""),"ROBOT Data Cable RWL100 Blue")</f>
        <v>ROBOT Data Cable RWL100 Blue</v>
      </c>
    </row>
    <row r="523">
      <c r="A523" s="233" t="str">
        <f>IFERROR(__xludf.DUMMYFUNCTION("""COMPUTED_VALUE"""),"ROBOT Motorcycle Phone Holder RT-MH05 Black With Removable Cover (Rainproof and Anti-reflective)")</f>
        <v>ROBOT Motorcycle Phone Holder RT-MH05 Black With Removable Cover (Rainproof and Anti-reflective)</v>
      </c>
      <c r="F523" s="233" t="str">
        <f>IFERROR(__xludf.DUMMYFUNCTION("""COMPUTED_VALUE"""),"ROBOT Data Cable RGXCC100 3A 65W Type-C TO Type-C White 100CM (SKU RJA-ROBO-0458)")</f>
        <v>ROBOT Data Cable RGXCC100 3A 65W Type-C TO Type-C White 100CM (SKU RJA-ROBO-0458)</v>
      </c>
    </row>
    <row r="524">
      <c r="A524" s="233" t="str">
        <f>IFERROR(__xludf.DUMMYFUNCTION("""COMPUTED_VALUE"""),"Robot Mousepad RP05-L Black Gaming Mouse Pad (SKU RJA-ROBO-0591)")</f>
        <v>Robot Mousepad RP05-L Black Gaming Mouse Pad (SKU RJA-ROBO-0591)</v>
      </c>
      <c r="F524" s="233" t="str">
        <f>IFERROR(__xludf.DUMMYFUNCTION("""COMPUTED_VALUE"""),"ROBOT KM3500 (SKU RJA-ROBO-0538)")</f>
        <v>ROBOT KM3500 (SKU RJA-ROBO-0538)</v>
      </c>
    </row>
    <row r="525">
      <c r="A525" s="233" t="str">
        <f>IFERROR(__xludf.DUMMYFUNCTION("""COMPUTED_VALUE"""),"Robot Mousepad RP05-L Black Gaming Mouse Pad (SKU RJA-ROBO-0594)")</f>
        <v>Robot Mousepad RP05-L Black Gaming Mouse Pad (SKU RJA-ROBO-0594)</v>
      </c>
      <c r="F525" s="233" t="str">
        <f>IFERROR(__xludf.DUMMYFUNCTION("""COMPUTED_VALUE"""),"ROBOT Wired Keyboard &amp; Mouse Combo KM2600 Black")</f>
        <v>ROBOT Wired Keyboard &amp; Mouse Combo KM2600 Black</v>
      </c>
    </row>
    <row r="526">
      <c r="A526" s="233" t="str">
        <f>IFERROR(__xludf.DUMMYFUNCTION("""COMPUTED_VALUE"""),"ROBOT Mousepad RP05-XL Black")</f>
        <v>ROBOT Mousepad RP05-XL Black</v>
      </c>
      <c r="F526" s="233" t="str">
        <f>IFERROR(__xludf.DUMMYFUNCTION("""COMPUTED_VALUE"""),"ROBOT KM3500 (SKU RJA-ROBO-0540)")</f>
        <v>ROBOT KM3500 (SKU RJA-ROBO-0540)</v>
      </c>
    </row>
    <row r="527">
      <c r="A527" s="233" t="str">
        <f>IFERROR(__xludf.DUMMYFUNCTION("""COMPUTED_VALUE"""),"ROBOT Multifunctional Cleaning Pen RMC10")</f>
        <v>ROBOT Multifunctional Cleaning Pen RMC10</v>
      </c>
      <c r="F527" s="233" t="str">
        <f>IFERROR(__xludf.DUMMYFUNCTION("""COMPUTED_VALUE"""),"ROBOT Highspeed Handheld Mini Fan RT-HF01 White With 100 Leve&amp;LED Display (SKU RJA-ROBO-0542)")</f>
        <v>ROBOT Highspeed Handheld Mini Fan RT-HF01 White With 100 Leve&amp;LED Display (SKU RJA-ROBO-0542)</v>
      </c>
    </row>
    <row r="528">
      <c r="A528" s="233" t="str">
        <f>IFERROR(__xludf.DUMMYFUNCTION("""COMPUTED_VALUE"""),"ROBOT Multimedia Speaker RS190 Black")</f>
        <v>ROBOT Multimedia Speaker RS190 Black</v>
      </c>
      <c r="F528" s="233" t="str">
        <f>IFERROR(__xludf.DUMMYFUNCTION("""COMPUTED_VALUE"""),"ROBOT USB Mini Fan RT-BF18S White")</f>
        <v>ROBOT USB Mini Fan RT-BF18S White</v>
      </c>
    </row>
    <row r="529">
      <c r="A529" s="233" t="str">
        <f>IFERROR(__xludf.DUMMYFUNCTION("""COMPUTED_VALUE"""),"ROBOT Multimedia Speaker RS260 Black (SKU RJA-ROBO-0695)")</f>
        <v>ROBOT Multimedia Speaker RS260 Black (SKU RJA-ROBO-0695)</v>
      </c>
      <c r="F529" s="233" t="str">
        <f>IFERROR(__xludf.DUMMYFUNCTION("""COMPUTED_VALUE"""),"ROBOT RT-BF19 1200mAh 3 Level Wind Speed USB Portable Mini Fan Green")</f>
        <v>ROBOT RT-BF19 1200mAh 3 Level Wind Speed USB Portable Mini Fan Green</v>
      </c>
    </row>
    <row r="530">
      <c r="A530" s="233" t="str">
        <f>IFERROR(__xludf.DUMMYFUNCTION("""COMPUTED_VALUE"""),"ROBOT Multimedia Speaker RS260 Black (SKU RJA-ROBO-0702)")</f>
        <v>ROBOT Multimedia Speaker RS260 Black (SKU RJA-ROBO-0702)</v>
      </c>
      <c r="F530" s="233" t="str">
        <f>IFERROR(__xludf.DUMMYFUNCTION("""COMPUTED_VALUE"""),"ROBOT RGB Pocket Fill Light RFL01 Black (SKU RJA-ROBO-0552)")</f>
        <v>ROBOT RGB Pocket Fill Light RFL01 Black (SKU RJA-ROBO-0552)</v>
      </c>
    </row>
    <row r="531">
      <c r="A531" s="233" t="str">
        <f>IFERROR(__xludf.DUMMYFUNCTION("""COMPUTED_VALUE"""),"ROBOT OWS Earphone OpenRun 1 Black (SKU RJA-ROBO-0959)")</f>
        <v>ROBOT OWS Earphone OpenRun 1 Black (SKU RJA-ROBO-0959)</v>
      </c>
      <c r="F531" s="233" t="str">
        <f>IFERROR(__xludf.DUMMYFUNCTION("""COMPUTED_VALUE"""),"ROBOT Portable&amp;Hangable Camping Lamp RT-CL01 White With Solar Charging Port (SKU RJA-ROBO-0553)")</f>
        <v>ROBOT Portable&amp;Hangable Camping Lamp RT-CL01 White With Solar Charging Port (SKU RJA-ROBO-0553)</v>
      </c>
    </row>
    <row r="532">
      <c r="A532" s="233" t="str">
        <f>IFERROR(__xludf.DUMMYFUNCTION("""COMPUTED_VALUE"""),"ROBOT OWS Earphone OpenRun 1 Black (SKU RJA-ROBO-0991)")</f>
        <v>ROBOT OWS Earphone OpenRun 1 Black (SKU RJA-ROBO-0991)</v>
      </c>
      <c r="F532" s="233" t="str">
        <f>IFERROR(__xludf.DUMMYFUNCTION("""COMPUTED_VALUE"""),"ROBOT RGB Pocket Fill Light RFL01 Black (SKU RJA-ROBO-0555)")</f>
        <v>ROBOT RGB Pocket Fill Light RFL01 Black (SKU RJA-ROBO-0555)</v>
      </c>
    </row>
    <row r="533">
      <c r="A533" s="233" t="str">
        <f>IFERROR(__xludf.DUMMYFUNCTION("""COMPUTED_VALUE"""),"ROBOT Phone Holder RT-LH01 Black")</f>
        <v>ROBOT Phone Holder RT-LH01 Black</v>
      </c>
      <c r="F533" s="233" t="str">
        <f>IFERROR(__xludf.DUMMYFUNCTION("""COMPUTED_VALUE"""),"ROBOT Portable&amp;Hangable Camping Lamp RT-CL01 White With Solar Charging Port (SKU RJA-ROBO-0556)")</f>
        <v>ROBOT Portable&amp;Hangable Camping Lamp RT-CL01 White With Solar Charging Port (SKU RJA-ROBO-0556)</v>
      </c>
    </row>
    <row r="534">
      <c r="A534" s="233" t="str">
        <f>IFERROR(__xludf.DUMMYFUNCTION("""COMPUTED_VALUE"""),"ROBOT Phone&amp;Tablet Holder RT-LS07 Black")</f>
        <v>ROBOT Phone&amp;Tablet Holder RT-LS07 Black</v>
      </c>
      <c r="F534" s="233" t="str">
        <f>IFERROR(__xludf.DUMMYFUNCTION("""COMPUTED_VALUE"""),"Robot TF Cards 8GB TF with Package Black")</f>
        <v>Robot TF Cards 8GB TF with Package Black</v>
      </c>
    </row>
    <row r="535">
      <c r="A535" s="233" t="str">
        <f>IFERROR(__xludf.DUMMYFUNCTION("""COMPUTED_VALUE"""),"ROBOT Portable&amp;Hangable Camping Lamp RT-CL01 White With Solar Charging Port (SKU RJA-ROBO-0553)")</f>
        <v>ROBOT Portable&amp;Hangable Camping Lamp RT-CL01 White With Solar Charging Port (SKU RJA-ROBO-0553)</v>
      </c>
      <c r="F535" s="233" t="str">
        <f>IFERROR(__xludf.DUMMYFUNCTION("""COMPUTED_VALUE"""),"ROBOT TF card 4G TF WITH Package black")</f>
        <v>ROBOT TF card 4G TF WITH Package black</v>
      </c>
    </row>
    <row r="536">
      <c r="A536" s="233" t="str">
        <f>IFERROR(__xludf.DUMMYFUNCTION("""COMPUTED_VALUE"""),"ROBOT Portable&amp;Hangable Camping Lamp RT-CL01 White With Solar Charging Port (SKU RJA-ROBO-0556)")</f>
        <v>ROBOT Portable&amp;Hangable Camping Lamp RT-CL01 White With Solar Charging Port (SKU RJA-ROBO-0556)</v>
      </c>
      <c r="F536" s="233" t="str">
        <f>IFERROR(__xludf.DUMMYFUNCTION("""COMPUTED_VALUE"""),"ROBOT 32GB CLASS 10 TF Card Chip With Package")</f>
        <v>ROBOT 32GB CLASS 10 TF Card Chip With Package</v>
      </c>
    </row>
    <row r="537">
      <c r="A537" s="233" t="str">
        <f>IFERROR(__xludf.DUMMYFUNCTION("""COMPUTED_VALUE"""),"ROBOT Power Bank ROBOT POWER BANK RT12Q White (SKU RJA-ROBO-0613)")</f>
        <v>ROBOT Power Bank ROBOT POWER BANK RT12Q White (SKU RJA-ROBO-0613)</v>
      </c>
      <c r="F537" s="233" t="str">
        <f>IFERROR(__xludf.DUMMYFUNCTION("""COMPUTED_VALUE"""),"ROBOT M500 Rechargeable USB 2.4G Wireless Mouse Silent Key Black (SKU RJA-ROBO-0567)")</f>
        <v>ROBOT M500 Rechargeable USB 2.4G Wireless Mouse Silent Key Black (SKU RJA-ROBO-0567)</v>
      </c>
    </row>
    <row r="538">
      <c r="A538" s="233" t="str">
        <f>IFERROR(__xludf.DUMMYFUNCTION("""COMPUTED_VALUE"""),"ROBOT Power Bank RT11")</f>
        <v>ROBOT Power Bank RT11</v>
      </c>
      <c r="F538" s="233" t="str">
        <f>IFERROR(__xludf.DUMMYFUNCTION("""COMPUTED_VALUE"""),"ROBOT M370 Wireless Mouse Silent Key 800-1200-2400-3200 DPI 6D Black (SKU RJA-ROBO-0568)")</f>
        <v>ROBOT M370 Wireless Mouse Silent Key 800-1200-2400-3200 DPI 6D Black (SKU RJA-ROBO-0568)</v>
      </c>
    </row>
    <row r="539">
      <c r="A539" s="233" t="str">
        <f>IFERROR(__xludf.DUMMYFUNCTION("""COMPUTED_VALUE"""),"ROBOT Powerbank RT051-L 5000mAh 12W Black (SKU RJA-ROBO-0614)")</f>
        <v>ROBOT Powerbank RT051-L 5000mAh 12W Black (SKU RJA-ROBO-0614)</v>
      </c>
      <c r="F539" s="233" t="str">
        <f>IFERROR(__xludf.DUMMYFUNCTION("""COMPUTED_VALUE"""),"ROBOT M360 Bluetooth+2.4G Dual Mode Mouse Slient Key Black (SKU RJA-ROBO-0569)")</f>
        <v>ROBOT M360 Bluetooth+2.4G Dual Mode Mouse Slient Key Black (SKU RJA-ROBO-0569)</v>
      </c>
    </row>
    <row r="540">
      <c r="A540" s="233" t="str">
        <f>IFERROR(__xludf.DUMMYFUNCTION("""COMPUTED_VALUE"""),"ROBOT Powerbank RT051-L 5000mAh 12W WHITE")</f>
        <v>ROBOT Powerbank RT051-L 5000mAh 12W WHITE</v>
      </c>
      <c r="F540" s="233" t="str">
        <f>IFERROR(__xludf.DUMMYFUNCTION("""COMPUTED_VALUE"""),"Robot M310 Wireless Mouse Silent Key Black (SKU RJA-ROBO-0570)")</f>
        <v>Robot M310 Wireless Mouse Silent Key Black (SKU RJA-ROBO-0570)</v>
      </c>
    </row>
    <row r="541">
      <c r="A541" s="233" t="str">
        <f>IFERROR(__xludf.DUMMYFUNCTION("""COMPUTED_VALUE"""),"ROBOT RB200 Bluetooth Speaker with Number Keys &amp; LED Display Gold (SKU RJA-ROBO-0696)")</f>
        <v>ROBOT RB200 Bluetooth Speaker with Number Keys &amp; LED Display Gold (SKU RJA-ROBO-0696)</v>
      </c>
      <c r="F541" s="233" t="str">
        <f>IFERROR(__xludf.DUMMYFUNCTION("""COMPUTED_VALUE"""),"ROBOT M260 2.4G Wireless Mouse 1600 DPI Black (SKU RJA-ROBO-0571)")</f>
        <v>ROBOT M260 2.4G Wireless Mouse 1600 DPI Black (SKU RJA-ROBO-0571)</v>
      </c>
    </row>
    <row r="542">
      <c r="A542" s="233" t="str">
        <f>IFERROR(__xludf.DUMMYFUNCTION("""COMPUTED_VALUE"""),"ROBOT RB200 Bluetooth Speaker with Number Keys &amp; LED Display Gold (SKU RJA-ROBO-0700)")</f>
        <v>ROBOT RB200 Bluetooth Speaker with Number Keys &amp; LED Display Gold (SKU RJA-ROBO-0700)</v>
      </c>
      <c r="F542" s="233" t="str">
        <f>IFERROR(__xludf.DUMMYFUNCTION("""COMPUTED_VALUE"""),"ROBOT Wireless Mouse M205 Black (SKU RJA-ROBO-0572)")</f>
        <v>ROBOT Wireless Mouse M205 Black (SKU RJA-ROBO-0572)</v>
      </c>
    </row>
    <row r="543">
      <c r="A543" s="233" t="str">
        <f>IFERROR(__xludf.DUMMYFUNCTION("""COMPUTED_VALUE"""),"ROBOT RB290 Stereo Soundbar Bluetooth5.3 Speaker")</f>
        <v>ROBOT RB290 Stereo Soundbar Bluetooth5.3 Speaker</v>
      </c>
      <c r="F543" s="233" t="str">
        <f>IFERROR(__xludf.DUMMYFUNCTION("""COMPUTED_VALUE"""),"ROBOT M130 Wired Mouse Colorful LED 800-1200-1600DPI Black (SKU RJA-ROBO-0573)")</f>
        <v>ROBOT M130 Wired Mouse Colorful LED 800-1200-1600DPI Black (SKU RJA-ROBO-0573)</v>
      </c>
    </row>
    <row r="544">
      <c r="A544" s="233" t="str">
        <f>IFERROR(__xludf.DUMMYFUNCTION("""COMPUTED_VALUE"""),"ROBOT RB30 Bluetooth 5.1 Speaker Portable TWS")</f>
        <v>ROBOT RB30 Bluetooth 5.1 Speaker Portable TWS</v>
      </c>
      <c r="F544" s="233" t="str">
        <f>IFERROR(__xludf.DUMMYFUNCTION("""COMPUTED_VALUE"""),"ROBOT Wireless Mouse M205 Black (SKU RJA-ROBO-0574)")</f>
        <v>ROBOT Wireless Mouse M205 Black (SKU RJA-ROBO-0574)</v>
      </c>
    </row>
    <row r="545">
      <c r="A545" s="233" t="str">
        <f>IFERROR(__xludf.DUMMYFUNCTION("""COMPUTED_VALUE"""),"ROBOT RB350 Karaoke Speaker with Microphone Bluetooth5.1")</f>
        <v>ROBOT RB350 Karaoke Speaker with Microphone Bluetooth5.1</v>
      </c>
      <c r="F545" s="233" t="str">
        <f>IFERROR(__xludf.DUMMYFUNCTION("""COMPUTED_VALUE"""),"ROBOT M500 Rechargeable USB 2.4G Wireless Mouse Silent Key Black (SKU RJA-ROBO-0575)")</f>
        <v>ROBOT M500 Rechargeable USB 2.4G Wireless Mouse Silent Key Black (SKU RJA-ROBO-0575)</v>
      </c>
    </row>
    <row r="546">
      <c r="A546" s="233" t="str">
        <f>IFERROR(__xludf.DUMMYFUNCTION("""COMPUTED_VALUE"""),"ROBOT RBM100S Data Cable Colorful")</f>
        <v>ROBOT RBM100S Data Cable Colorful</v>
      </c>
      <c r="F546" s="233" t="str">
        <f>IFERROR(__xludf.DUMMYFUNCTION("""COMPUTED_VALUE"""),"ROBOT M390 Bluetooth+2.4G Dual Mode Wireless Mouse Slient Key Grey")</f>
        <v>ROBOT M390 Bluetooth+2.4G Dual Mode Wireless Mouse Slient Key Grey</v>
      </c>
    </row>
    <row r="547">
      <c r="A547" s="233" t="str">
        <f>IFERROR(__xludf.DUMMYFUNCTION("""COMPUTED_VALUE"""),"ROBOT RDC100S 2.4A Type-C Quick Charging 100cm Data Cable White (SKU RJA-ROBO-0321)")</f>
        <v>ROBOT RDC100S 2.4A Type-C Quick Charging 100cm Data Cable White (SKU RJA-ROBO-0321)</v>
      </c>
      <c r="F547" s="233" t="str">
        <f>IFERROR(__xludf.DUMMYFUNCTION("""COMPUTED_VALUE"""),"ROBOT M390 Bluetooth+2.4G Dual Mode Wireless Mouse Slient Key black")</f>
        <v>ROBOT M390 Bluetooth+2.4G Dual Mode Wireless Mouse Slient Key black</v>
      </c>
    </row>
    <row r="548">
      <c r="A548" s="233" t="str">
        <f>IFERROR(__xludf.DUMMYFUNCTION("""COMPUTED_VALUE"""),"ROBOT RDC100S 2.4A Type-C Quick Charging 100cm Data Cable White (SKU RJA-ROBO-0366)")</f>
        <v>ROBOT RDC100S 2.4A Type-C Quick Charging 100cm Data Cable White (SKU RJA-ROBO-0366)</v>
      </c>
      <c r="F548" s="233" t="str">
        <f>IFERROR(__xludf.DUMMYFUNCTION("""COMPUTED_VALUE"""),"ROBOT M370 Wireless Mouse Silent Key 800-1200-2400-3200 DPI 6D Black (SKU RJA-ROBO-0578)")</f>
        <v>ROBOT M370 Wireless Mouse Silent Key 800-1200-2400-3200 DPI 6D Black (SKU RJA-ROBO-0578)</v>
      </c>
    </row>
    <row r="549">
      <c r="A549" s="233" t="str">
        <f>IFERROR(__xludf.DUMMYFUNCTION("""COMPUTED_VALUE"""),"ROBOT RE20 Oblique In-Ear Deep Bass Ultra Light Wired Earphone Black")</f>
        <v>ROBOT RE20 Oblique In-Ear Deep Bass Ultra Light Wired Earphone Black</v>
      </c>
      <c r="F549" s="233" t="str">
        <f>IFERROR(__xludf.DUMMYFUNCTION("""COMPUTED_VALUE"""),"ROBOT M360 Bluetooth+2.4G Dual Mode Mouse Slient Key Black (SKU RJA-ROBO-0579)")</f>
        <v>ROBOT M360 Bluetooth+2.4G Dual Mode Mouse Slient Key Black (SKU RJA-ROBO-0579)</v>
      </c>
    </row>
    <row r="550">
      <c r="A550" s="233" t="str">
        <f>IFERROR(__xludf.DUMMYFUNCTION("""COMPUTED_VALUE"""),"ROBOT REC240S IN Ear Rich Bass Metal Fully compatible Type-C wire Headset")</f>
        <v>ROBOT REC240S IN Ear Rich Bass Metal Fully compatible Type-C wire Headset</v>
      </c>
      <c r="F550" s="233" t="str">
        <f>IFERROR(__xludf.DUMMYFUNCTION("""COMPUTED_VALUE"""),"ROBOT M355 Bluetooth+2.4G Dual Mode Wireless Mouse Silent Key Grey")</f>
        <v>ROBOT M355 Bluetooth+2.4G Dual Mode Wireless Mouse Silent Key Grey</v>
      </c>
    </row>
    <row r="551">
      <c r="A551" s="233" t="str">
        <f>IFERROR(__xludf.DUMMYFUNCTION("""COMPUTED_VALUE"""),"Robot RF108 Rotatable U-disks 8GB with Package Black")</f>
        <v>Robot RF108 Rotatable U-disks 8GB with Package Black</v>
      </c>
      <c r="F551" s="233" t="str">
        <f>IFERROR(__xludf.DUMMYFUNCTION("""COMPUTED_VALUE"""),"ROBOT M316 Wireless Mouse Silent 800-1200-1600-2400 DPI Grey")</f>
        <v>ROBOT M316 Wireless Mouse Silent 800-1200-1600-2400 DPI Grey</v>
      </c>
    </row>
    <row r="552">
      <c r="A552" s="233" t="str">
        <f>IFERROR(__xludf.DUMMYFUNCTION("""COMPUTED_VALUE"""),"Robot RF132 new Rotatable U-disks 32GB USB2.0 with Package Black")</f>
        <v>Robot RF132 new Rotatable U-disks 32GB USB2.0 with Package Black</v>
      </c>
      <c r="F552" s="233" t="str">
        <f>IFERROR(__xludf.DUMMYFUNCTION("""COMPUTED_VALUE"""),"Robot M310 Wireless Mouse Silent Key Black (SKU RJA-ROBO-0582)")</f>
        <v>Robot M310 Wireless Mouse Silent Key Black (SKU RJA-ROBO-0582)</v>
      </c>
    </row>
    <row r="553">
      <c r="A553" s="233" t="str">
        <f>IFERROR(__xludf.DUMMYFUNCTION("""COMPUTED_VALUE"""),"ROBOT RF304 4GB Flashdisk All Metal High-Speed Portable &amp; Lightweight USB Silver")</f>
        <v>ROBOT RF304 4GB Flashdisk All Metal High-Speed Portable &amp; Lightweight USB Silver</v>
      </c>
      <c r="F553" s="233" t="str">
        <f>IFERROR(__xludf.DUMMYFUNCTION("""COMPUTED_VALUE"""),"ROBOT M260 2.4G Wireless Mouse 1600 DPI Black (SKU RJA-ROBO-0583)")</f>
        <v>ROBOT M260 2.4G Wireless Mouse 1600 DPI Black (SKU RJA-ROBO-0583)</v>
      </c>
    </row>
    <row r="554">
      <c r="A554" s="233" t="str">
        <f>IFERROR(__xludf.DUMMYFUNCTION("""COMPUTED_VALUE"""),"ROBOT RGB Pocket Fill Light RFL01 Black (SKU RJA-ROBO-0552)")</f>
        <v>ROBOT RGB Pocket Fill Light RFL01 Black (SKU RJA-ROBO-0552)</v>
      </c>
      <c r="F554" s="233" t="str">
        <f>IFERROR(__xludf.DUMMYFUNCTION("""COMPUTED_VALUE"""),"Robot M210 2.4G Wireless Optical Black USB Mouse")</f>
        <v>Robot M210 2.4G Wireless Optical Black USB Mouse</v>
      </c>
    </row>
    <row r="555">
      <c r="A555" s="233" t="str">
        <f>IFERROR(__xludf.DUMMYFUNCTION("""COMPUTED_VALUE"""),"ROBOT RGB Pocket Fill Light RFL01 Black (SKU RJA-ROBO-0555)")</f>
        <v>ROBOT RGB Pocket Fill Light RFL01 Black (SKU RJA-ROBO-0555)</v>
      </c>
      <c r="F555" s="233" t="str">
        <f>IFERROR(__xludf.DUMMYFUNCTION("""COMPUTED_VALUE"""),"ROBOT M207 Wireless MOUSE Silent 800-1200-1600 DPI Black ( Without Battery)")</f>
        <v>ROBOT M207 Wireless MOUSE Silent 800-1200-1600 DPI Black ( Without Battery)</v>
      </c>
    </row>
    <row r="556">
      <c r="A556" s="233" t="str">
        <f>IFERROR(__xludf.DUMMYFUNCTION("""COMPUTED_VALUE"""),"ROBOT RGC100 Type-C Data Cable Colorful")</f>
        <v>ROBOT RGC100 Type-C Data Cable Colorful</v>
      </c>
      <c r="F556" s="233" t="str">
        <f>IFERROR(__xludf.DUMMYFUNCTION("""COMPUTED_VALUE"""),"ROBOT M205 Wireless Mouse 800-1200-1600 DPI Black (without battery)")</f>
        <v>ROBOT M205 Wireless Mouse 800-1200-1600 DPI Black (without battery)</v>
      </c>
    </row>
    <row r="557">
      <c r="A557" s="233" t="str">
        <f>IFERROR(__xludf.DUMMYFUNCTION("""COMPUTED_VALUE"""),"ROBOT RGL100 Data Cable Colorful")</f>
        <v>ROBOT RGL100 Data Cable Colorful</v>
      </c>
      <c r="F557" s="233" t="str">
        <f>IFERROR(__xludf.DUMMYFUNCTION("""COMPUTED_VALUE"""),"ROBOT M130 Wired Mouse Colorful LED 800-1200-1600DPI Black (SKU RJA-ROBO-0587)")</f>
        <v>ROBOT M130 Wired Mouse Colorful LED 800-1200-1600DPI Black (SKU RJA-ROBO-0587)</v>
      </c>
    </row>
    <row r="558">
      <c r="A558" s="233" t="str">
        <f>IFERROR(__xludf.DUMMYFUNCTION("""COMPUTED_VALUE"""),"ROBOT RGM100 Data Cable Colorful")</f>
        <v>ROBOT RGM100 Data Cable Colorful</v>
      </c>
      <c r="F558" s="233" t="str">
        <f>IFERROR(__xludf.DUMMYFUNCTION("""COMPUTED_VALUE"""),"Robot Mousepad RP05-L Black Gaming Mouse Pad (SKU RJA-ROBO-0591)")</f>
        <v>Robot Mousepad RP05-L Black Gaming Mouse Pad (SKU RJA-ROBO-0591)</v>
      </c>
    </row>
    <row r="559">
      <c r="A559" s="233" t="str">
        <f>IFERROR(__xludf.DUMMYFUNCTION("""COMPUTED_VALUE"""),"ROBOT RLP01 Laser PAGE Turning Pen/Pointer Presentasion (without battery) (SKU RJA-ROBO-0604)")</f>
        <v>ROBOT RLP01 Laser PAGE Turning Pen/Pointer Presentasion (without battery) (SKU RJA-ROBO-0604)</v>
      </c>
      <c r="F559" s="233" t="str">
        <f>IFERROR(__xludf.DUMMYFUNCTION("""COMPUTED_VALUE"""),"ROBOT RP01 Anti-slip with Soft Surface Mousepad Black")</f>
        <v>ROBOT RP01 Anti-slip with Soft Surface Mousepad Black</v>
      </c>
    </row>
    <row r="560">
      <c r="A560" s="233" t="str">
        <f>IFERROR(__xludf.DUMMYFUNCTION("""COMPUTED_VALUE"""),"ROBOT RLP01 Laser PAGE Turning Pen/Pointer Presentasion (without battery) (SKU RJA-ROBO-0605)")</f>
        <v>ROBOT RLP01 Laser PAGE Turning Pen/Pointer Presentasion (without battery) (SKU RJA-ROBO-0605)</v>
      </c>
      <c r="F560" s="233" t="str">
        <f>IFERROR(__xludf.DUMMYFUNCTION("""COMPUTED_VALUE"""),"ROBOT Mousepad RP05-XL Black")</f>
        <v>ROBOT Mousepad RP05-XL Black</v>
      </c>
    </row>
    <row r="561">
      <c r="A561" s="233" t="str">
        <f>IFERROR(__xludf.DUMMYFUNCTION("""COMPUTED_VALUE"""),"ROBOT RP01 Anti-slip with Soft Surface Mousepad Black")</f>
        <v>ROBOT RP01 Anti-slip with Soft Surface Mousepad Black</v>
      </c>
      <c r="F561" s="233" t="str">
        <f>IFERROR(__xludf.DUMMYFUNCTION("""COMPUTED_VALUE"""),"Robot Mousepad RP05-L Black Gaming Mouse Pad (SKU RJA-ROBO-0594)")</f>
        <v>Robot Mousepad RP05-L Black Gaming Mouse Pad (SKU RJA-ROBO-0594)</v>
      </c>
    </row>
    <row r="562">
      <c r="A562" s="233" t="str">
        <f>IFERROR(__xludf.DUMMYFUNCTION("""COMPUTED_VALUE"""),"ROBOT RSC100 3A 100cm Type-C Aluminium Colourful Braided Data Cable Blue (SKU RJA-ROBO-0361)")</f>
        <v>ROBOT RSC100 3A 100cm Type-C Aluminium Colourful Braided Data Cable Blue (SKU RJA-ROBO-0361)</v>
      </c>
      <c r="F562" s="233" t="str">
        <f>IFERROR(__xludf.DUMMYFUNCTION("""COMPUTED_VALUE"""),"ROBOT RT-OTG02 Type-C To Micro Small &amp; Portable Aluminium Case Cable Adapter Silver")</f>
        <v>ROBOT RT-OTG02 Type-C To Micro Small &amp; Portable Aluminium Case Cable Adapter Silver</v>
      </c>
    </row>
    <row r="563">
      <c r="A563" s="233" t="str">
        <f>IFERROR(__xludf.DUMMYFUNCTION("""COMPUTED_VALUE"""),"ROBOT RSC100 3A 100cm Type-C Aluminium Colourful Braided Data Cable Blue (SKU RJA-ROBO-0362)")</f>
        <v>ROBOT RSC100 3A 100cm Type-C Aluminium Colourful Braided Data Cable Blue (SKU RJA-ROBO-0362)</v>
      </c>
      <c r="F563" s="233" t="str">
        <f>IFERROR(__xludf.DUMMYFUNCTION("""COMPUTED_VALUE"""),"ROBOT RLP01 Laser PAGE Turning Pen/Pointer Presentasion (without battery) (SKU RJA-ROBO-0604)")</f>
        <v>ROBOT RLP01 Laser PAGE Turning Pen/Pointer Presentasion (without battery) (SKU RJA-ROBO-0604)</v>
      </c>
    </row>
    <row r="564">
      <c r="A564" s="233" t="str">
        <f>IFERROR(__xludf.DUMMYFUNCTION("""COMPUTED_VALUE"""),"ROBOT RSP01 Universal 2 in 1 Capacitive Stylus Pen Purple (SKU RJA-ROBO-0707)")</f>
        <v>ROBOT RSP01 Universal 2 in 1 Capacitive Stylus Pen Purple (SKU RJA-ROBO-0707)</v>
      </c>
      <c r="F564" s="233" t="str">
        <f>IFERROR(__xludf.DUMMYFUNCTION("""COMPUTED_VALUE"""),"ROBOT RLP01 Laser PAGE Turning Pen/Pointer Presentasion (without battery) (SKU RJA-ROBO-0605)")</f>
        <v>ROBOT RLP01 Laser PAGE Turning Pen/Pointer Presentasion (without battery) (SKU RJA-ROBO-0605)</v>
      </c>
    </row>
    <row r="565">
      <c r="A565" s="233" t="str">
        <f>IFERROR(__xludf.DUMMYFUNCTION("""COMPUTED_VALUE"""),"ROBOT RSP01 Universal 2 in 1 Capacitive Stylus Pen Purple (SKU RJA-ROBO-0711)")</f>
        <v>ROBOT RSP01 Universal 2 in 1 Capacitive Stylus Pen Purple (SKU RJA-ROBO-0711)</v>
      </c>
      <c r="F565" s="233" t="str">
        <f>IFERROR(__xludf.DUMMYFUNCTION("""COMPUTED_VALUE"""),"ROBOT Smart Powerbank RT051-C Black (SKU RJA-ROBO-0610)")</f>
        <v>ROBOT Smart Powerbank RT051-C Black (SKU RJA-ROBO-0610)</v>
      </c>
    </row>
    <row r="566">
      <c r="A566" s="233" t="str">
        <f>IFERROR(__xludf.DUMMYFUNCTION("""COMPUTED_VALUE"""),"ROBOT RSP02 Universal Capacitive Stylus Pen Black")</f>
        <v>ROBOT RSP02 Universal Capacitive Stylus Pen Black</v>
      </c>
      <c r="F566" s="233" t="str">
        <f>IFERROR(__xludf.DUMMYFUNCTION("""COMPUTED_VALUE"""),"ROBOT Powerbank RT051-L 5000mAh 12W WHITE")</f>
        <v>ROBOT Powerbank RT051-L 5000mAh 12W WHITE</v>
      </c>
    </row>
    <row r="567">
      <c r="A567" s="233" t="str">
        <f>IFERROR(__xludf.DUMMYFUNCTION("""COMPUTED_VALUE"""),"ROBOT RSP03 Universal 3 in 1 Capacitive Stylus Pen (SKU RJA-ROBO-0706)")</f>
        <v>ROBOT RSP03 Universal 3 in 1 Capacitive Stylus Pen (SKU RJA-ROBO-0706)</v>
      </c>
      <c r="F567" s="233" t="str">
        <f>IFERROR(__xludf.DUMMYFUNCTION("""COMPUTED_VALUE"""),"ROBOT Power Bank RT11")</f>
        <v>ROBOT Power Bank RT11</v>
      </c>
    </row>
    <row r="568">
      <c r="A568" s="233" t="str">
        <f>IFERROR(__xludf.DUMMYFUNCTION("""COMPUTED_VALUE"""),"ROBOT RSP03 Universal 3 in 1 Capacitive Stylus Pen (SKU RJA-ROBO-0709)")</f>
        <v>ROBOT RSP03 Universal 3 in 1 Capacitive Stylus Pen (SKU RJA-ROBO-0709)</v>
      </c>
      <c r="F568" s="233" t="str">
        <f>IFERROR(__xludf.DUMMYFUNCTION("""COMPUTED_VALUE"""),"ROBOT Power Bank ROBOT POWER BANK RT12Q White (SKU RJA-ROBO-0613)")</f>
        <v>ROBOT Power Bank ROBOT POWER BANK RT12Q White (SKU RJA-ROBO-0613)</v>
      </c>
    </row>
    <row r="569">
      <c r="A569" s="233" t="str">
        <f>IFERROR(__xludf.DUMMYFUNCTION("""COMPUTED_VALUE"""),"ROBOT RSPD120 FAST CHARGING 5A 100W")</f>
        <v>ROBOT RSPD120 FAST CHARGING 5A 100W</v>
      </c>
      <c r="F569" s="233" t="str">
        <f>IFERROR(__xludf.DUMMYFUNCTION("""COMPUTED_VALUE"""),"ROBOT Powerbank RT051-L 5000mAh 12W Black (SKU RJA-ROBO-0614)")</f>
        <v>ROBOT Powerbank RT051-L 5000mAh 12W Black (SKU RJA-ROBO-0614)</v>
      </c>
    </row>
    <row r="570">
      <c r="A570" s="233" t="str">
        <f>IFERROR(__xludf.DUMMYFUNCTION("""COMPUTED_VALUE"""),"ROBOT RT-BF19 1200mAh 3 Level Wind Speed USB Portable Mini Fan Green")</f>
        <v>ROBOT RT-BF19 1200mAh 3 Level Wind Speed USB Portable Mini Fan Green</v>
      </c>
      <c r="F570" s="233" t="str">
        <f>IFERROR(__xludf.DUMMYFUNCTION("""COMPUTED_VALUE"""),"ROBOT Multimedia Speaker RS260 Black (SKU RJA-ROBO-0695)")</f>
        <v>ROBOT Multimedia Speaker RS260 Black (SKU RJA-ROBO-0695)</v>
      </c>
    </row>
    <row r="571">
      <c r="A571" s="233" t="str">
        <f>IFERROR(__xludf.DUMMYFUNCTION("""COMPUTED_VALUE"""),"ROBOT RT-CH12 Suction Cup Automatic Lock 360 ° Car Holder Black")</f>
        <v>ROBOT RT-CH12 Suction Cup Automatic Lock 360 ° Car Holder Black</v>
      </c>
      <c r="F571" s="233" t="str">
        <f>IFERROR(__xludf.DUMMYFUNCTION("""COMPUTED_VALUE"""),"ROBOT RB200 Bluetooth Speaker with Number Keys &amp; LED Display Gold (SKU RJA-ROBO-0696)")</f>
        <v>ROBOT RB200 Bluetooth Speaker with Number Keys &amp; LED Display Gold (SKU RJA-ROBO-0696)</v>
      </c>
    </row>
    <row r="572">
      <c r="A572" s="233" t="str">
        <f>IFERROR(__xludf.DUMMYFUNCTION("""COMPUTED_VALUE"""),"ROBOT RT-CH14 Dashboard Suction Cup Automatic Lock Car Holder Black")</f>
        <v>ROBOT RT-CH14 Dashboard Suction Cup Automatic Lock Car Holder Black</v>
      </c>
      <c r="F572" s="233" t="str">
        <f>IFERROR(__xludf.DUMMYFUNCTION("""COMPUTED_VALUE"""),"ROBOT Bluetooth Speaker RB570 Green")</f>
        <v>ROBOT Bluetooth Speaker RB570 Green</v>
      </c>
    </row>
    <row r="573">
      <c r="A573" s="233" t="str">
        <f>IFERROR(__xludf.DUMMYFUNCTION("""COMPUTED_VALUE"""),"Robot RT-K6 2.4A Dual Output Charger White")</f>
        <v>Robot RT-K6 2.4A Dual Output Charger White</v>
      </c>
      <c r="F573" s="233" t="str">
        <f>IFERROR(__xludf.DUMMYFUNCTION("""COMPUTED_VALUE"""),"ROBOT RB30 Bluetooth 5.1 Speaker Portable TWS")</f>
        <v>ROBOT RB30 Bluetooth 5.1 Speaker Portable TWS</v>
      </c>
    </row>
    <row r="574">
      <c r="A574" s="233" t="str">
        <f>IFERROR(__xludf.DUMMYFUNCTION("""COMPUTED_VALUE"""),"ROBOT RT-K8 Charger White")</f>
        <v>ROBOT RT-K8 Charger White</v>
      </c>
      <c r="F574" s="233" t="str">
        <f>IFERROR(__xludf.DUMMYFUNCTION("""COMPUTED_VALUE"""),"ROBOT RB290 Stereo Soundbar Bluetooth5.3 Speaker")</f>
        <v>ROBOT RB290 Stereo Soundbar Bluetooth5.3 Speaker</v>
      </c>
    </row>
    <row r="575">
      <c r="A575" s="233" t="str">
        <f>IFERROR(__xludf.DUMMYFUNCTION("""COMPUTED_VALUE"""),"ROBOT RT-MH03 Motorcycle/Bicycle Handle Universal Holder Black+Orange")</f>
        <v>ROBOT RT-MH03 Motorcycle/Bicycle Handle Universal Holder Black+Orange</v>
      </c>
      <c r="F575" s="233" t="str">
        <f>IFERROR(__xludf.DUMMYFUNCTION("""COMPUTED_VALUE"""),"ROBOT RB200 Bluetooth Speaker with Number Keys &amp; LED Display Gold (SKU RJA-ROBO-0700)")</f>
        <v>ROBOT RB200 Bluetooth Speaker with Number Keys &amp; LED Display Gold (SKU RJA-ROBO-0700)</v>
      </c>
    </row>
    <row r="576">
      <c r="A576" s="233" t="str">
        <f>IFERROR(__xludf.DUMMYFUNCTION("""COMPUTED_VALUE"""),"ROBOT RT-OTG02 Type-C To Micro Small &amp; Portable Aluminium Case Cable Adapter Silver")</f>
        <v>ROBOT RT-OTG02 Type-C To Micro Small &amp; Portable Aluminium Case Cable Adapter Silver</v>
      </c>
      <c r="F576" s="233" t="str">
        <f>IFERROR(__xludf.DUMMYFUNCTION("""COMPUTED_VALUE"""),"ROBOT RB350 Karaoke Speaker with Microphone Bluetooth5.1")</f>
        <v>ROBOT RB350 Karaoke Speaker with Microphone Bluetooth5.1</v>
      </c>
    </row>
    <row r="577">
      <c r="A577" s="233" t="str">
        <f>IFERROR(__xludf.DUMMYFUNCTION("""COMPUTED_VALUE"""),"ROBOT RTF01 4IN1 RGB Colorful LED 65W Data Cable Black 100CM (SKU RJA-ROBO-0337)")</f>
        <v>ROBOT RTF01 4IN1 RGB Colorful LED 65W Data Cable Black 100CM (SKU RJA-ROBO-0337)</v>
      </c>
      <c r="F577" s="233" t="str">
        <f>IFERROR(__xludf.DUMMYFUNCTION("""COMPUTED_VALUE"""),"ROBOT Multimedia Speaker RS260 Black (SKU RJA-ROBO-0702)")</f>
        <v>ROBOT Multimedia Speaker RS260 Black (SKU RJA-ROBO-0702)</v>
      </c>
    </row>
    <row r="578">
      <c r="A578" s="233" t="str">
        <f>IFERROR(__xludf.DUMMYFUNCTION("""COMPUTED_VALUE"""),"ROBOT RTF01 4IN1 RGB Colorful LED 65W Data Cable Black 100CM (SKU RJA-ROBO-0449)")</f>
        <v>ROBOT RTF01 4IN1 RGB Colorful LED 65W Data Cable Black 100CM (SKU RJA-ROBO-0449)</v>
      </c>
      <c r="F578" s="233" t="str">
        <f>IFERROR(__xludf.DUMMYFUNCTION("""COMPUTED_VALUE"""),"ROBOT Multimedia Speaker RS190 Black")</f>
        <v>ROBOT Multimedia Speaker RS190 Black</v>
      </c>
    </row>
    <row r="579">
      <c r="A579" s="233" t="str">
        <f>IFERROR(__xludf.DUMMYFUNCTION("""COMPUTED_VALUE"""),"ROBOT RVM100 4A Micro 7 Pin 100cm VOOC Flash ChargingData Cable with Velcro Strap White")</f>
        <v>ROBOT RVM100 4A Micro 7 Pin 100cm VOOC Flash ChargingData Cable with Velcro Strap White</v>
      </c>
      <c r="F579" s="233" t="str">
        <f>IFERROR(__xludf.DUMMYFUNCTION("""COMPUTED_VALUE"""),"ROBOT HM103 HDMI switch and Splitter 2in 1out / 1in 2out Bi-Direction 4k Black")</f>
        <v>ROBOT HM103 HDMI switch and Splitter 2in 1out / 1in 2out Bi-Direction 4k Black</v>
      </c>
    </row>
    <row r="580">
      <c r="A580" s="233" t="str">
        <f>IFERROR(__xludf.DUMMYFUNCTION("""COMPUTED_VALUE"""),"ROBOT Smart Phone Charger RT-CC6 Black")</f>
        <v>ROBOT Smart Phone Charger RT-CC6 Black</v>
      </c>
      <c r="F580" s="233" t="str">
        <f>IFERROR(__xludf.DUMMYFUNCTION("""COMPUTED_VALUE"""),"ROBOT RSP03 Universal 3 in 1 Capacitive Stylus Pen (SKU RJA-ROBO-0706)")</f>
        <v>ROBOT RSP03 Universal 3 in 1 Capacitive Stylus Pen (SKU RJA-ROBO-0706)</v>
      </c>
    </row>
    <row r="581">
      <c r="A581" s="233" t="str">
        <f>IFERROR(__xludf.DUMMYFUNCTION("""COMPUTED_VALUE"""),"ROBOT SMART PHONE CHARGER RT-F6 PD 20W")</f>
        <v>ROBOT SMART PHONE CHARGER RT-F6 PD 20W</v>
      </c>
      <c r="F581" s="233" t="str">
        <f>IFERROR(__xludf.DUMMYFUNCTION("""COMPUTED_VALUE"""),"ROBOT RSP01 Universal 2 in 1 Capacitive Stylus Pen Purple (SKU RJA-ROBO-0707)")</f>
        <v>ROBOT RSP01 Universal 2 in 1 Capacitive Stylus Pen Purple (SKU RJA-ROBO-0707)</v>
      </c>
    </row>
    <row r="582">
      <c r="A582" s="233" t="str">
        <f>IFERROR(__xludf.DUMMYFUNCTION("""COMPUTED_VALUE"""),"ROBOT Smart Phone Charger RT-K11 White (SKU RJA-ROBO-0860)")</f>
        <v>ROBOT Smart Phone Charger RT-K11 White (SKU RJA-ROBO-0860)</v>
      </c>
      <c r="F582" s="233" t="str">
        <f>IFERROR(__xludf.DUMMYFUNCTION("""COMPUTED_VALUE"""),"ROBOT Multifunctional Cleaning Pen RMC10")</f>
        <v>ROBOT Multifunctional Cleaning Pen RMC10</v>
      </c>
    </row>
    <row r="583">
      <c r="A583" s="233" t="str">
        <f>IFERROR(__xludf.DUMMYFUNCTION("""COMPUTED_VALUE"""),"ROBOT Smart Phone Charger RT-K11 White (SKU RJA-ROBO-0876)")</f>
        <v>ROBOT Smart Phone Charger RT-K11 White (SKU RJA-ROBO-0876)</v>
      </c>
      <c r="F583" s="233" t="str">
        <f>IFERROR(__xludf.DUMMYFUNCTION("""COMPUTED_VALUE"""),"ROBOT RSP03 Universal 3 in 1 Capacitive Stylus Pen (SKU RJA-ROBO-0709)")</f>
        <v>ROBOT RSP03 Universal 3 in 1 Capacitive Stylus Pen (SKU RJA-ROBO-0709)</v>
      </c>
    </row>
    <row r="584">
      <c r="A584" s="233" t="str">
        <f>IFERROR(__xludf.DUMMYFUNCTION("""COMPUTED_VALUE"""),"ROBOT Smart Phone Charger RT-K6S White")</f>
        <v>ROBOT Smart Phone Charger RT-K6S White</v>
      </c>
      <c r="F584" s="233" t="str">
        <f>IFERROR(__xludf.DUMMYFUNCTION("""COMPUTED_VALUE"""),"ROBOT RSP02 Universal Capacitive Stylus Pen Black")</f>
        <v>ROBOT RSP02 Universal Capacitive Stylus Pen Black</v>
      </c>
    </row>
    <row r="585">
      <c r="A585" s="233" t="str">
        <f>IFERROR(__xludf.DUMMYFUNCTION("""COMPUTED_VALUE"""),"ROBOT Smart Phone Charger RT-K7SC White")</f>
        <v>ROBOT Smart Phone Charger RT-K7SC White</v>
      </c>
      <c r="F585" s="233" t="str">
        <f>IFERROR(__xludf.DUMMYFUNCTION("""COMPUTED_VALUE"""),"ROBOT RSP01 Universal 2 in 1 Capacitive Stylus Pen Purple (SKU RJA-ROBO-0711)")</f>
        <v>ROBOT RSP01 Universal 2 in 1 Capacitive Stylus Pen Purple (SKU RJA-ROBO-0711)</v>
      </c>
    </row>
    <row r="586">
      <c r="A586" s="233" t="str">
        <f>IFERROR(__xludf.DUMMYFUNCTION("""COMPUTED_VALUE"""),"ROBOT Smart Phone Charger RT-P18 White (SKU RJA-ROBO-0859)")</f>
        <v>ROBOT Smart Phone Charger RT-P18 White (SKU RJA-ROBO-0859)</v>
      </c>
      <c r="F586" s="233" t="str">
        <f>IFERROR(__xludf.DUMMYFUNCTION("""COMPUTED_VALUE"""),"ROBOT Smart Phone Charger RT-P7 White (SKU RJA-ROBO-0857)")</f>
        <v>ROBOT Smart Phone Charger RT-P7 White (SKU RJA-ROBO-0857)</v>
      </c>
    </row>
    <row r="587">
      <c r="A587" s="233" t="str">
        <f>IFERROR(__xludf.DUMMYFUNCTION("""COMPUTED_VALUE"""),"ROBOT Smart Phone Charger RT-P18 White (SKU RJA-ROBO-0874)")</f>
        <v>ROBOT Smart Phone Charger RT-P18 White (SKU RJA-ROBO-0874)</v>
      </c>
      <c r="F587" s="233" t="str">
        <f>IFERROR(__xludf.DUMMYFUNCTION("""COMPUTED_VALUE"""),"ROBOT Smart Phone Charger RT-P20 White (SKU RJA-ROBO-0858)")</f>
        <v>ROBOT Smart Phone Charger RT-P20 White (SKU RJA-ROBO-0858)</v>
      </c>
    </row>
    <row r="588">
      <c r="A588" s="233" t="str">
        <f>IFERROR(__xludf.DUMMYFUNCTION("""COMPUTED_VALUE"""),"ROBOT Smart Phone Charger RT-P2 White (SKU RJA-ROBO-0868)")</f>
        <v>ROBOT Smart Phone Charger RT-P2 White (SKU RJA-ROBO-0868)</v>
      </c>
      <c r="F588" s="233" t="str">
        <f>IFERROR(__xludf.DUMMYFUNCTION("""COMPUTED_VALUE"""),"ROBOT Smart Phone Charger RT-P18 White (SKU RJA-ROBO-0859)")</f>
        <v>ROBOT Smart Phone Charger RT-P18 White (SKU RJA-ROBO-0859)</v>
      </c>
    </row>
    <row r="589">
      <c r="A589" s="233" t="str">
        <f>IFERROR(__xludf.DUMMYFUNCTION("""COMPUTED_VALUE"""),"ROBOT Smart Phone Charger RT-P2 White (SKU RJA-ROBO-0873)")</f>
        <v>ROBOT Smart Phone Charger RT-P2 White (SKU RJA-ROBO-0873)</v>
      </c>
      <c r="F589" s="233" t="str">
        <f>IFERROR(__xludf.DUMMYFUNCTION("""COMPUTED_VALUE"""),"ROBOT Smart Phone Charger RT-K11 White (SKU RJA-ROBO-0860)")</f>
        <v>ROBOT Smart Phone Charger RT-K11 White (SKU RJA-ROBO-0860)</v>
      </c>
    </row>
    <row r="590">
      <c r="A590" s="233" t="str">
        <f>IFERROR(__xludf.DUMMYFUNCTION("""COMPUTED_VALUE"""),"ROBOT Smart Phone Charger RT-P20 White (SKU RJA-ROBO-0858)")</f>
        <v>ROBOT Smart Phone Charger RT-P20 White (SKU RJA-ROBO-0858)</v>
      </c>
      <c r="F590" s="233" t="str">
        <f>IFERROR(__xludf.DUMMYFUNCTION("""COMPUTED_VALUE"""),"ROBOT Charger RT-P30 White (SKU RJA-ROBO-0861)")</f>
        <v>ROBOT Charger RT-P30 White (SKU RJA-ROBO-0861)</v>
      </c>
    </row>
    <row r="591">
      <c r="A591" s="233" t="str">
        <f>IFERROR(__xludf.DUMMYFUNCTION("""COMPUTED_VALUE"""),"ROBOT Smart Phone Charger RT-P20 White (SKU RJA-ROBO-0872)")</f>
        <v>ROBOT Smart Phone Charger RT-P20 White (SKU RJA-ROBO-0872)</v>
      </c>
      <c r="F591" s="233" t="str">
        <f>IFERROR(__xludf.DUMMYFUNCTION("""COMPUTED_VALUE"""),"ROBOT Charger RT-K8 Plus White (SKU RJA-ROBO-0862)")</f>
        <v>ROBOT Charger RT-K8 Plus White (SKU RJA-ROBO-0862)</v>
      </c>
    </row>
    <row r="592">
      <c r="A592" s="233" t="str">
        <f>IFERROR(__xludf.DUMMYFUNCTION("""COMPUTED_VALUE"""),"ROBOT Smart Phone Charger RT-P7 White (SKU RJA-ROBO-0857)")</f>
        <v>ROBOT Smart Phone Charger RT-P7 White (SKU RJA-ROBO-0857)</v>
      </c>
      <c r="F592" s="233" t="str">
        <f>IFERROR(__xludf.DUMMYFUNCTION("""COMPUTED_VALUE"""),"ROBOT Charger RT-F3 white (SKU RJA-ROBO-0863)")</f>
        <v>ROBOT Charger RT-F3 white (SKU RJA-ROBO-0863)</v>
      </c>
    </row>
    <row r="593">
      <c r="A593" s="233" t="str">
        <f>IFERROR(__xludf.DUMMYFUNCTION("""COMPUTED_VALUE"""),"ROBOT Smart Phone Charger RT-P7 White (SKU RJA-ROBO-0871)")</f>
        <v>ROBOT Smart Phone Charger RT-P7 White (SKU RJA-ROBO-0871)</v>
      </c>
      <c r="F593" s="233" t="str">
        <f>IFERROR(__xludf.DUMMYFUNCTION("""COMPUTED_VALUE"""),"ROBOT Charger RT-F2 White (SKU RJA-ROBO-0864)")</f>
        <v>ROBOT Charger RT-F2 White (SKU RJA-ROBO-0864)</v>
      </c>
    </row>
    <row r="594">
      <c r="A594" s="233" t="str">
        <f>IFERROR(__xludf.DUMMYFUNCTION("""COMPUTED_VALUE"""),"ROBOT Smart Phone Charger RT-P8 Black (SKU RJA-ROBO-0867)")</f>
        <v>ROBOT Smart Phone Charger RT-P8 Black (SKU RJA-ROBO-0867)</v>
      </c>
      <c r="F594" s="233" t="str">
        <f>IFERROR(__xludf.DUMMYFUNCTION("""COMPUTED_VALUE"""),"ROBOT Smart Phone Charger RT-K6S White")</f>
        <v>ROBOT Smart Phone Charger RT-K6S White</v>
      </c>
    </row>
    <row r="595">
      <c r="A595" s="233" t="str">
        <f>IFERROR(__xludf.DUMMYFUNCTION("""COMPUTED_VALUE"""),"ROBOT Smart Phone Charger RT-P8 Black (SKU RJA-ROBO-0870)")</f>
        <v>ROBOT Smart Phone Charger RT-P8 Black (SKU RJA-ROBO-0870)</v>
      </c>
      <c r="F595" s="233" t="str">
        <f>IFERROR(__xludf.DUMMYFUNCTION("""COMPUTED_VALUE"""),"ROBOT Smart Phone Charger RT-P8 Black (SKU RJA-ROBO-0867)")</f>
        <v>ROBOT Smart Phone Charger RT-P8 Black (SKU RJA-ROBO-0867)</v>
      </c>
    </row>
    <row r="596">
      <c r="A596" s="233" t="str">
        <f>IFERROR(__xludf.DUMMYFUNCTION("""COMPUTED_VALUE"""),"ROBOT Smart Powerbank RT051-C Black (SKU RJA-ROBO-0610)")</f>
        <v>ROBOT Smart Powerbank RT051-C Black (SKU RJA-ROBO-0610)</v>
      </c>
      <c r="F596" s="233" t="str">
        <f>IFERROR(__xludf.DUMMYFUNCTION("""COMPUTED_VALUE"""),"ROBOT Smart Phone Charger RT-P2 White (SKU RJA-ROBO-0868)")</f>
        <v>ROBOT Smart Phone Charger RT-P2 White (SKU RJA-ROBO-0868)</v>
      </c>
    </row>
    <row r="597">
      <c r="A597" s="233" t="str">
        <f>IFERROR(__xludf.DUMMYFUNCTION("""COMPUTED_VALUE"""),"ROBOT TF card 4G TF WITH Package black")</f>
        <v>ROBOT TF card 4G TF WITH Package black</v>
      </c>
      <c r="F597" s="233" t="str">
        <f>IFERROR(__xludf.DUMMYFUNCTION("""COMPUTED_VALUE"""),"ROBOT SMART PHONE CHARGER RT-F6 PD 20W")</f>
        <v>ROBOT SMART PHONE CHARGER RT-F6 PD 20W</v>
      </c>
    </row>
    <row r="598">
      <c r="A598" s="233" t="str">
        <f>IFERROR(__xludf.DUMMYFUNCTION("""COMPUTED_VALUE"""),"Robot TF Cards 8GB TF with Package Black")</f>
        <v>Robot TF Cards 8GB TF with Package Black</v>
      </c>
      <c r="F598" s="233" t="str">
        <f>IFERROR(__xludf.DUMMYFUNCTION("""COMPUTED_VALUE"""),"ROBOT Smart Phone Charger RT-P8 Black (SKU RJA-ROBO-0870)")</f>
        <v>ROBOT Smart Phone Charger RT-P8 Black (SKU RJA-ROBO-0870)</v>
      </c>
    </row>
    <row r="599">
      <c r="A599" s="233" t="str">
        <f>IFERROR(__xludf.DUMMYFUNCTION("""COMPUTED_VALUE"""),"ROBOT TRANSPARANT CABLE RECL100 30W C TO L")</f>
        <v>ROBOT TRANSPARANT CABLE RECL100 30W C TO L</v>
      </c>
      <c r="F599" s="233" t="str">
        <f>IFERROR(__xludf.DUMMYFUNCTION("""COMPUTED_VALUE"""),"ROBOT Smart Phone Charger RT-P7 White (SKU RJA-ROBO-0871)")</f>
        <v>ROBOT Smart Phone Charger RT-P7 White (SKU RJA-ROBO-0871)</v>
      </c>
    </row>
    <row r="600">
      <c r="A600" s="233" t="str">
        <f>IFERROR(__xludf.DUMMYFUNCTION("""COMPUTED_VALUE"""),"ROBOT True Wireless Stereo Airbuds EncoBuds 2 Black (SKU RJA-ROBO-0962)")</f>
        <v>ROBOT True Wireless Stereo Airbuds EncoBuds 2 Black (SKU RJA-ROBO-0962)</v>
      </c>
      <c r="F600" s="233" t="str">
        <f>IFERROR(__xludf.DUMMYFUNCTION("""COMPUTED_VALUE"""),"ROBOT Smart Phone Charger RT-P20 White (SKU RJA-ROBO-0872)")</f>
        <v>ROBOT Smart Phone Charger RT-P20 White (SKU RJA-ROBO-0872)</v>
      </c>
    </row>
    <row r="601">
      <c r="A601" s="233" t="str">
        <f>IFERROR(__xludf.DUMMYFUNCTION("""COMPUTED_VALUE"""),"ROBOT True Wireless Stereo Airbuds EncoBuds 2 Black (SKU RJA-ROBO-0990)")</f>
        <v>ROBOT True Wireless Stereo Airbuds EncoBuds 2 Black (SKU RJA-ROBO-0990)</v>
      </c>
      <c r="F601" s="233" t="str">
        <f>IFERROR(__xludf.DUMMYFUNCTION("""COMPUTED_VALUE"""),"ROBOT Smart Phone Charger RT-P2 White (SKU RJA-ROBO-0873)")</f>
        <v>ROBOT Smart Phone Charger RT-P2 White (SKU RJA-ROBO-0873)</v>
      </c>
    </row>
    <row r="602">
      <c r="A602" s="233" t="str">
        <f>IFERROR(__xludf.DUMMYFUNCTION("""COMPUTED_VALUE"""),"ROBOT True Wireless Stereo Airbuds EncoBuds 2 Black (SKU RJA-ROBO-1007)")</f>
        <v>ROBOT True Wireless Stereo Airbuds EncoBuds 2 Black (SKU RJA-ROBO-1007)</v>
      </c>
      <c r="F602" s="233" t="str">
        <f>IFERROR(__xludf.DUMMYFUNCTION("""COMPUTED_VALUE"""),"ROBOT Smart Phone Charger RT-P18 White (SKU RJA-ROBO-0874)")</f>
        <v>ROBOT Smart Phone Charger RT-P18 White (SKU RJA-ROBO-0874)</v>
      </c>
    </row>
    <row r="603">
      <c r="A603" s="233" t="str">
        <f>IFERROR(__xludf.DUMMYFUNCTION("""COMPUTED_VALUE"""),"ROBOT True Wireless Stereo Airbuds EncoBuds 2 White")</f>
        <v>ROBOT True Wireless Stereo Airbuds EncoBuds 2 White</v>
      </c>
      <c r="F603" s="233" t="str">
        <f>IFERROR(__xludf.DUMMYFUNCTION("""COMPUTED_VALUE"""),"ROBOT Smart Phone Charger RT-K7SC White")</f>
        <v>ROBOT Smart Phone Charger RT-K7SC White</v>
      </c>
    </row>
    <row r="604">
      <c r="A604" s="233" t="str">
        <f>IFERROR(__xludf.DUMMYFUNCTION("""COMPUTED_VALUE"""),"ROBOT True Wireless Stereo Airbuds Encobuds 3 Black (SKU RJA-ROBO-0951)")</f>
        <v>ROBOT True Wireless Stereo Airbuds Encobuds 3 Black (SKU RJA-ROBO-0951)</v>
      </c>
      <c r="F604" s="233" t="str">
        <f>IFERROR(__xludf.DUMMYFUNCTION("""COMPUTED_VALUE"""),"ROBOT Smart Phone Charger RT-K11 White (SKU RJA-ROBO-0876)")</f>
        <v>ROBOT Smart Phone Charger RT-K11 White (SKU RJA-ROBO-0876)</v>
      </c>
    </row>
    <row r="605">
      <c r="A605" s="233" t="str">
        <f>IFERROR(__xludf.DUMMYFUNCTION("""COMPUTED_VALUE"""),"ROBOT True Wireless Stereo Airbuds Encobuds 3 Black (SKU RJA-ROBO-0989)")</f>
        <v>ROBOT True Wireless Stereo Airbuds Encobuds 3 Black (SKU RJA-ROBO-0989)</v>
      </c>
      <c r="F605" s="233" t="str">
        <f>IFERROR(__xludf.DUMMYFUNCTION("""COMPUTED_VALUE"""),"ROBOT RT-K8 Charger White")</f>
        <v>ROBOT RT-K8 Charger White</v>
      </c>
    </row>
    <row r="606">
      <c r="A606" s="233" t="str">
        <f>IFERROR(__xludf.DUMMYFUNCTION("""COMPUTED_VALUE"""),"ROBOT True Wireless Stereo Airbuds Encobuds 3 Blue")</f>
        <v>ROBOT True Wireless Stereo Airbuds Encobuds 3 Blue</v>
      </c>
      <c r="F606" s="233" t="str">
        <f>IFERROR(__xludf.DUMMYFUNCTION("""COMPUTED_VALUE"""),"Robot RT-K6 2.4A Dual Output Charger White")</f>
        <v>Robot RT-K6 2.4A Dual Output Charger White</v>
      </c>
    </row>
    <row r="607">
      <c r="A607" s="233" t="str">
        <f>IFERROR(__xludf.DUMMYFUNCTION("""COMPUTED_VALUE"""),"ROBOT True Wireless Stereo Airbuds Encobuds 4 BLUE")</f>
        <v>ROBOT True Wireless Stereo Airbuds Encobuds 4 BLUE</v>
      </c>
      <c r="F607" s="233" t="str">
        <f>IFERROR(__xludf.DUMMYFUNCTION("""COMPUTED_VALUE"""),"ROBOT Charger RT-P30 White (SKU RJA-ROBO-0879)")</f>
        <v>ROBOT Charger RT-P30 White (SKU RJA-ROBO-0879)</v>
      </c>
    </row>
    <row r="608">
      <c r="A608" s="233" t="str">
        <f>IFERROR(__xludf.DUMMYFUNCTION("""COMPUTED_VALUE"""),"ROBOT True Wireless Stereo Airbuds Encobuds 4 WHITE")</f>
        <v>ROBOT True Wireless Stereo Airbuds Encobuds 4 WHITE</v>
      </c>
      <c r="F608" s="233" t="str">
        <f>IFERROR(__xludf.DUMMYFUNCTION("""COMPUTED_VALUE"""),"ROBOT Charger RT-K9 White")</f>
        <v>ROBOT Charger RT-K9 White</v>
      </c>
    </row>
    <row r="609">
      <c r="A609" s="233" t="str">
        <f>IFERROR(__xludf.DUMMYFUNCTION("""COMPUTED_VALUE"""),"ROBOT True Wireless Stereo Airbuds Flybuds T22 Black")</f>
        <v>ROBOT True Wireless Stereo Airbuds Flybuds T22 Black</v>
      </c>
      <c r="F609" s="233" t="str">
        <f>IFERROR(__xludf.DUMMYFUNCTION("""COMPUTED_VALUE"""),"ROBOT Charger RT-K8 Plus White (SKU RJA-ROBO-0881)")</f>
        <v>ROBOT Charger RT-K8 Plus White (SKU RJA-ROBO-0881)</v>
      </c>
    </row>
    <row r="610">
      <c r="A610" s="233" t="str">
        <f>IFERROR(__xludf.DUMMYFUNCTION("""COMPUTED_VALUE"""),"ROBOT True Wireless Stereo Airbuds Quiet E2 White")</f>
        <v>ROBOT True Wireless Stereo Airbuds Quiet E2 White</v>
      </c>
      <c r="F610" s="233" t="str">
        <f>IFERROR(__xludf.DUMMYFUNCTION("""COMPUTED_VALUE"""),"ROBOT Charger RT-K7 White")</f>
        <v>ROBOT Charger RT-K7 White</v>
      </c>
    </row>
    <row r="611">
      <c r="A611" s="233" t="str">
        <f>IFERROR(__xludf.DUMMYFUNCTION("""COMPUTED_VALUE"""),"ROBOT True Wireless Stereo Airbuds Quite E1 Black")</f>
        <v>ROBOT True Wireless Stereo Airbuds Quite E1 Black</v>
      </c>
      <c r="F611" s="233" t="str">
        <f>IFERROR(__xludf.DUMMYFUNCTION("""COMPUTED_VALUE"""),"Robot Charger RT-K5 White")</f>
        <v>Robot Charger RT-K5 White</v>
      </c>
    </row>
    <row r="612">
      <c r="A612" s="233" t="str">
        <f>IFERROR(__xludf.DUMMYFUNCTION("""COMPUTED_VALUE"""),"ROBOT TWS Airbuds T60 Black")</f>
        <v>ROBOT TWS Airbuds T60 Black</v>
      </c>
      <c r="F612" s="233" t="str">
        <f>IFERROR(__xludf.DUMMYFUNCTION("""COMPUTED_VALUE"""),"ROBOT Charger RT-F5 Black (SKU RJA-ROBO-0884)")</f>
        <v>ROBOT Charger RT-F5 Black (SKU RJA-ROBO-0884)</v>
      </c>
    </row>
    <row r="613">
      <c r="A613" s="233" t="str">
        <f>IFERROR(__xludf.DUMMYFUNCTION("""COMPUTED_VALUE"""),"ROBOT TWS Airbuds T60 Light Blue")</f>
        <v>ROBOT TWS Airbuds T60 Light Blue</v>
      </c>
      <c r="F613" s="233" t="str">
        <f>IFERROR(__xludf.DUMMYFUNCTION("""COMPUTED_VALUE"""),"ROBOT Charger RT-F5 Black (SKU RJA-ROBO-0885)")</f>
        <v>ROBOT Charger RT-F5 Black (SKU RJA-ROBO-0885)</v>
      </c>
    </row>
    <row r="614">
      <c r="A614" s="233" t="str">
        <f>IFERROR(__xludf.DUMMYFUNCTION("""COMPUTED_VALUE"""),"ROBOT TWS Airbuds T60 Light Purple")</f>
        <v>ROBOT TWS Airbuds T60 Light Purple</v>
      </c>
      <c r="F614" s="233" t="str">
        <f>IFERROR(__xludf.DUMMYFUNCTION("""COMPUTED_VALUE"""),"ROBOT Charger RT-F4 White")</f>
        <v>ROBOT Charger RT-F4 White</v>
      </c>
    </row>
    <row r="615">
      <c r="A615" s="233" t="str">
        <f>IFERROR(__xludf.DUMMYFUNCTION("""COMPUTED_VALUE"""),"ROBOT TWS Airbuds T60 White")</f>
        <v>ROBOT TWS Airbuds T60 White</v>
      </c>
      <c r="F615" s="233" t="str">
        <f>IFERROR(__xludf.DUMMYFUNCTION("""COMPUTED_VALUE"""),"ROBOT Charger RT-F3 white (SKU RJA-ROBO-0887)")</f>
        <v>ROBOT Charger RT-F3 white (SKU RJA-ROBO-0887)</v>
      </c>
    </row>
    <row r="616">
      <c r="A616" s="233" t="str">
        <f>IFERROR(__xludf.DUMMYFUNCTION("""COMPUTED_VALUE"""),"ROBOT TWS Airbuds T70 Black (SKU RJA-ROBO-0980)")</f>
        <v>ROBOT TWS Airbuds T70 Black (SKU RJA-ROBO-0980)</v>
      </c>
      <c r="F616" s="233" t="str">
        <f>IFERROR(__xludf.DUMMYFUNCTION("""COMPUTED_VALUE"""),"ROBOT Charger RT-F2 White (SKU RJA-ROBO-0888)")</f>
        <v>ROBOT Charger RT-F2 White (SKU RJA-ROBO-0888)</v>
      </c>
    </row>
    <row r="617">
      <c r="A617" s="233" t="str">
        <f>IFERROR(__xludf.DUMMYFUNCTION("""COMPUTED_VALUE"""),"ROBOT TWS Airbuds T70 Black (SKU RJA-ROBO-0981)")</f>
        <v>ROBOT TWS Airbuds T70 Black (SKU RJA-ROBO-0981)</v>
      </c>
      <c r="F617" s="233" t="str">
        <f>IFERROR(__xludf.DUMMYFUNCTION("""COMPUTED_VALUE"""),"ROBOT Charger RT-F1 White")</f>
        <v>ROBOT Charger RT-F1 White</v>
      </c>
    </row>
    <row r="618">
      <c r="A618" s="233" t="str">
        <f>IFERROR(__xludf.DUMMYFUNCTION("""COMPUTED_VALUE"""),"ROBOT TWS Airbuds T70 White")</f>
        <v>ROBOT TWS Airbuds T70 White</v>
      </c>
      <c r="F618" s="233" t="str">
        <f>IFERROR(__xludf.DUMMYFUNCTION("""COMPUTED_VALUE"""),"ROBOT TWS T60 Case Black (SKU RJA-ROBO-0945)")</f>
        <v>ROBOT TWS T60 Case Black (SKU RJA-ROBO-0945)</v>
      </c>
    </row>
    <row r="619">
      <c r="A619" s="233" t="str">
        <f>IFERROR(__xludf.DUMMYFUNCTION("""COMPUTED_VALUE"""),"ROBOT TWS Airbuds T70E Black")</f>
        <v>ROBOT TWS Airbuds T70E Black</v>
      </c>
      <c r="F619" s="233" t="str">
        <f>IFERROR(__xludf.DUMMYFUNCTION("""COMPUTED_VALUE"""),"ROBOT TWS Nova T1 White")</f>
        <v>ROBOT TWS Nova T1 White</v>
      </c>
    </row>
    <row r="620">
      <c r="A620" s="233" t="str">
        <f>IFERROR(__xludf.DUMMYFUNCTION("""COMPUTED_VALUE"""),"ROBOT TWS Airbuds T70E Green")</f>
        <v>ROBOT TWS Airbuds T70E Green</v>
      </c>
      <c r="F620" s="233" t="str">
        <f>IFERROR(__xludf.DUMMYFUNCTION("""COMPUTED_VALUE"""),"ROBOT TWS Flybuds T22 Black (SKU RJA-ROBO-0947)")</f>
        <v>ROBOT TWS Flybuds T22 Black (SKU RJA-ROBO-0947)</v>
      </c>
    </row>
    <row r="621">
      <c r="A621" s="233" t="str">
        <f>IFERROR(__xludf.DUMMYFUNCTION("""COMPUTED_VALUE"""),"ROBOT TWS Airbuds T70E White")</f>
        <v>ROBOT TWS Airbuds T70E White</v>
      </c>
      <c r="F621" s="233" t="str">
        <f>IFERROR(__xludf.DUMMYFUNCTION("""COMPUTED_VALUE"""),"ROBOT TWS Flybuds T10S White")</f>
        <v>ROBOT TWS Flybuds T10S White</v>
      </c>
    </row>
    <row r="622">
      <c r="A622" s="233" t="str">
        <f>IFERROR(__xludf.DUMMYFUNCTION("""COMPUTED_VALUE"""),"ROBOT TWS Dots 2 Black")</f>
        <v>ROBOT TWS Dots 2 Black</v>
      </c>
      <c r="F622" s="233" t="str">
        <f>IFERROR(__xludf.DUMMYFUNCTION("""COMPUTED_VALUE"""),"ROBOT TWS Encobuds 3 White")</f>
        <v>ROBOT TWS Encobuds 3 White</v>
      </c>
    </row>
    <row r="623">
      <c r="A623" s="233" t="str">
        <f>IFERROR(__xludf.DUMMYFUNCTION("""COMPUTED_VALUE"""),"ROBOT Tws Earphone Flybuds T30 Black")</f>
        <v>ROBOT Tws Earphone Flybuds T30 Black</v>
      </c>
      <c r="F623" s="233" t="str">
        <f>IFERROR(__xludf.DUMMYFUNCTION("""COMPUTED_VALUE"""),"ROBOT True Wireless Stereo Airbuds Encobuds 4 BLUE")</f>
        <v>ROBOT True Wireless Stereo Airbuds Encobuds 4 BLUE</v>
      </c>
    </row>
    <row r="624">
      <c r="A624" s="233" t="str">
        <f>IFERROR(__xludf.DUMMYFUNCTION("""COMPUTED_VALUE"""),"ROBOT TWS EncoBuds 2 Black")</f>
        <v>ROBOT TWS EncoBuds 2 Black</v>
      </c>
      <c r="F624" s="233" t="str">
        <f>IFERROR(__xludf.DUMMYFUNCTION("""COMPUTED_VALUE"""),"ROBOT True Wireless Stereo Airbuds Encobuds 3 Black (SKU RJA-ROBO-0951)")</f>
        <v>ROBOT True Wireless Stereo Airbuds Encobuds 3 Black (SKU RJA-ROBO-0951)</v>
      </c>
    </row>
    <row r="625">
      <c r="A625" s="233" t="str">
        <f>IFERROR(__xludf.DUMMYFUNCTION("""COMPUTED_VALUE"""),"ROBOT TWS Encobuds 3 Black")</f>
        <v>ROBOT TWS Encobuds 3 Black</v>
      </c>
      <c r="F625" s="233" t="str">
        <f>IFERROR(__xludf.DUMMYFUNCTION("""COMPUTED_VALUE"""),"ROBOT Bluetooth Headsets Talk10 Black")</f>
        <v>ROBOT Bluetooth Headsets Talk10 Black</v>
      </c>
    </row>
    <row r="626">
      <c r="A626" s="233" t="str">
        <f>IFERROR(__xludf.DUMMYFUNCTION("""COMPUTED_VALUE"""),"ROBOT TWS Encobuds 3 Blue")</f>
        <v>ROBOT TWS Encobuds 3 Blue</v>
      </c>
      <c r="F626" s="233" t="str">
        <f>IFERROR(__xludf.DUMMYFUNCTION("""COMPUTED_VALUE"""),"ROBOT TWS Encobuds 3 Black")</f>
        <v>ROBOT TWS Encobuds 3 Black</v>
      </c>
    </row>
    <row r="627">
      <c r="A627" s="233" t="str">
        <f>IFERROR(__xludf.DUMMYFUNCTION("""COMPUTED_VALUE"""),"ROBOT TWS Encobuds 3 White")</f>
        <v>ROBOT TWS Encobuds 3 White</v>
      </c>
      <c r="F627" s="233" t="str">
        <f>IFERROR(__xludf.DUMMYFUNCTION("""COMPUTED_VALUE"""),"ROBOT Tws Earphone Flybuds T30 Black")</f>
        <v>ROBOT Tws Earphone Flybuds T30 Black</v>
      </c>
    </row>
    <row r="628">
      <c r="A628" s="233" t="str">
        <f>IFERROR(__xludf.DUMMYFUNCTION("""COMPUTED_VALUE"""),"ROBOT TWS EncoBuds 4")</f>
        <v>ROBOT TWS EncoBuds 4</v>
      </c>
      <c r="F628" s="233" t="str">
        <f>IFERROR(__xludf.DUMMYFUNCTION("""COMPUTED_VALUE"""),"ROBOT TWS Nova T2 Light Green (SKU RJA-ROBO-0955)")</f>
        <v>ROBOT TWS Nova T2 Light Green (SKU RJA-ROBO-0955)</v>
      </c>
    </row>
    <row r="629">
      <c r="A629" s="233" t="str">
        <f>IFERROR(__xludf.DUMMYFUNCTION("""COMPUTED_VALUE"""),"ROBOT TWS Flybuds T10S White")</f>
        <v>ROBOT TWS Flybuds T10S White</v>
      </c>
      <c r="F629" s="233" t="str">
        <f>IFERROR(__xludf.DUMMYFUNCTION("""COMPUTED_VALUE"""),"ROBOT TWS Flybuds T22 Cream-coloured (SKU RJA-ROBO-0956)")</f>
        <v>ROBOT TWS Flybuds T22 Cream-coloured (SKU RJA-ROBO-0956)</v>
      </c>
    </row>
    <row r="630">
      <c r="A630" s="233" t="str">
        <f>IFERROR(__xludf.DUMMYFUNCTION("""COMPUTED_VALUE"""),"ROBOT TWS Flybuds T22 Black (SKU RJA-ROBO-0947)")</f>
        <v>ROBOT TWS Flybuds T22 Black (SKU RJA-ROBO-0947)</v>
      </c>
      <c r="F630" s="233" t="str">
        <f>IFERROR(__xludf.DUMMYFUNCTION("""COMPUTED_VALUE"""),"ROBOT True Wireless Stereo Airbuds Encobuds 4 WHITE")</f>
        <v>ROBOT True Wireless Stereo Airbuds Encobuds 4 WHITE</v>
      </c>
    </row>
    <row r="631">
      <c r="A631" s="233" t="str">
        <f>IFERROR(__xludf.DUMMYFUNCTION("""COMPUTED_VALUE"""),"ROBOT TWS Flybuds T22 Black (SKU RJA-ROBO-0971)")</f>
        <v>ROBOT TWS Flybuds T22 Black (SKU RJA-ROBO-0971)</v>
      </c>
      <c r="F631" s="233" t="str">
        <f>IFERROR(__xludf.DUMMYFUNCTION("""COMPUTED_VALUE"""),"ROBOT True Wireless Stereo Airbuds Encobuds 3 Blue")</f>
        <v>ROBOT True Wireless Stereo Airbuds Encobuds 3 Blue</v>
      </c>
    </row>
    <row r="632">
      <c r="A632" s="233" t="str">
        <f>IFERROR(__xludf.DUMMYFUNCTION("""COMPUTED_VALUE"""),"ROBOT TWS Flybuds T22 Cream-coloured (SKU RJA-ROBO-0956)")</f>
        <v>ROBOT TWS Flybuds T22 Cream-coloured (SKU RJA-ROBO-0956)</v>
      </c>
      <c r="F632" s="233" t="str">
        <f>IFERROR(__xludf.DUMMYFUNCTION("""COMPUTED_VALUE"""),"ROBOT OWS Earphone OpenRun 1 Black (SKU RJA-ROBO-0959)")</f>
        <v>ROBOT OWS Earphone OpenRun 1 Black (SKU RJA-ROBO-0959)</v>
      </c>
    </row>
    <row r="633">
      <c r="A633" s="233" t="str">
        <f>IFERROR(__xludf.DUMMYFUNCTION("""COMPUTED_VALUE"""),"ROBOT TWS Flybuds T22 Cream-coloured (SKU RJA-ROBO-0970)")</f>
        <v>ROBOT TWS Flybuds T22 Cream-coloured (SKU RJA-ROBO-0970)</v>
      </c>
      <c r="F633" s="233" t="str">
        <f>IFERROR(__xludf.DUMMYFUNCTION("""COMPUTED_VALUE"""),"ROBOT Air 10 Open-Ear True Wireless Ear-Clip Earphones，BT5.3，Anti-Hearing Loss， (SKU RJA-ROBO-0960)")</f>
        <v>ROBOT Air 10 Open-Ear True Wireless Ear-Clip Earphones，BT5.3，Anti-Hearing Loss， (SKU RJA-ROBO-0960)</v>
      </c>
    </row>
    <row r="634">
      <c r="A634" s="233" t="str">
        <f>IFERROR(__xludf.DUMMYFUNCTION("""COMPUTED_VALUE"""),"ROBOT TWS Nova T1 White")</f>
        <v>ROBOT TWS Nova T1 White</v>
      </c>
      <c r="F634" s="233" t="str">
        <f>IFERROR(__xludf.DUMMYFUNCTION("""COMPUTED_VALUE"""),"ROBOT True Wireless Stereo Airbuds EncoBuds 2 White")</f>
        <v>ROBOT True Wireless Stereo Airbuds EncoBuds 2 White</v>
      </c>
    </row>
    <row r="635">
      <c r="A635" s="233" t="str">
        <f>IFERROR(__xludf.DUMMYFUNCTION("""COMPUTED_VALUE"""),"ROBOT TWS Nova T2 Light Green (SKU RJA-ROBO-0955)")</f>
        <v>ROBOT TWS Nova T2 Light Green (SKU RJA-ROBO-0955)</v>
      </c>
      <c r="F635" s="233" t="str">
        <f>IFERROR(__xludf.DUMMYFUNCTION("""COMPUTED_VALUE"""),"ROBOT True Wireless Stereo Airbuds EncoBuds 2 Black (SKU RJA-ROBO-0962)")</f>
        <v>ROBOT True Wireless Stereo Airbuds EncoBuds 2 Black (SKU RJA-ROBO-0962)</v>
      </c>
    </row>
    <row r="636">
      <c r="A636" s="233" t="str">
        <f>IFERROR(__xludf.DUMMYFUNCTION("""COMPUTED_VALUE"""),"ROBOT TWS Nova T2 Light Green (SKU RJA-ROBO-0969)")</f>
        <v>ROBOT TWS Nova T2 Light Green (SKU RJA-ROBO-0969)</v>
      </c>
      <c r="F636" s="233" t="str">
        <f>IFERROR(__xludf.DUMMYFUNCTION("""COMPUTED_VALUE"""),"ROBOT Wireless Headset Spirit N30 Black")</f>
        <v>ROBOT Wireless Headset Spirit N30 Black</v>
      </c>
    </row>
    <row r="637">
      <c r="A637" s="233" t="str">
        <f>IFERROR(__xludf.DUMMYFUNCTION("""COMPUTED_VALUE"""),"ROBOT TWS Nova T2 White")</f>
        <v>ROBOT TWS Nova T2 White</v>
      </c>
      <c r="F637" s="233" t="str">
        <f>IFERROR(__xludf.DUMMYFUNCTION("""COMPUTED_VALUE"""),"ROBOT TWS T60 Case Black (SKU RJA-ROBO-0964)")</f>
        <v>ROBOT TWS T60 Case Black (SKU RJA-ROBO-0964)</v>
      </c>
    </row>
    <row r="638">
      <c r="A638" s="233" t="str">
        <f>IFERROR(__xludf.DUMMYFUNCTION("""COMPUTED_VALUE"""),"ROBOT TWS Nova T3 Black")</f>
        <v>ROBOT TWS Nova T3 Black</v>
      </c>
      <c r="F638" s="233" t="str">
        <f>IFERROR(__xludf.DUMMYFUNCTION("""COMPUTED_VALUE"""),"ROBOT TWS Quite E1 Black")</f>
        <v>ROBOT TWS Quite E1 Black</v>
      </c>
    </row>
    <row r="639">
      <c r="A639" s="233" t="str">
        <f>IFERROR(__xludf.DUMMYFUNCTION("""COMPUTED_VALUE"""),"ROBOT TWS Nova T3 White+Orange")</f>
        <v>ROBOT TWS Nova T3 White+Orange</v>
      </c>
      <c r="F639" s="233" t="str">
        <f>IFERROR(__xludf.DUMMYFUNCTION("""COMPUTED_VALUE"""),"ROBOT TWS Nova T3 White+Orange")</f>
        <v>ROBOT TWS Nova T3 White+Orange</v>
      </c>
    </row>
    <row r="640">
      <c r="A640" s="233" t="str">
        <f>IFERROR(__xludf.DUMMYFUNCTION("""COMPUTED_VALUE"""),"ROBOT TWS Quite E1 Black")</f>
        <v>ROBOT TWS Quite E1 Black</v>
      </c>
      <c r="F640" s="233" t="str">
        <f>IFERROR(__xludf.DUMMYFUNCTION("""COMPUTED_VALUE"""),"ROBOT TWS Nova T3 Black")</f>
        <v>ROBOT TWS Nova T3 Black</v>
      </c>
    </row>
    <row r="641">
      <c r="A641" s="233" t="str">
        <f>IFERROR(__xludf.DUMMYFUNCTION("""COMPUTED_VALUE"""),"ROBOT TWS T60 Case Black (SKU RJA-ROBO-0945)")</f>
        <v>ROBOT TWS T60 Case Black (SKU RJA-ROBO-0945)</v>
      </c>
      <c r="F641" s="233" t="str">
        <f>IFERROR(__xludf.DUMMYFUNCTION("""COMPUTED_VALUE"""),"ROBOT TWS Nova T2 White")</f>
        <v>ROBOT TWS Nova T2 White</v>
      </c>
    </row>
    <row r="642">
      <c r="A642" s="233" t="str">
        <f>IFERROR(__xludf.DUMMYFUNCTION("""COMPUTED_VALUE"""),"ROBOT TWS T60 Case Black (SKU RJA-ROBO-0964)")</f>
        <v>ROBOT TWS T60 Case Black (SKU RJA-ROBO-0964)</v>
      </c>
      <c r="F642" s="233" t="str">
        <f>IFERROR(__xludf.DUMMYFUNCTION("""COMPUTED_VALUE"""),"ROBOT TWS Nova T2 Light Green (SKU RJA-ROBO-0969)")</f>
        <v>ROBOT TWS Nova T2 Light Green (SKU RJA-ROBO-0969)</v>
      </c>
    </row>
    <row r="643">
      <c r="A643" s="233" t="str">
        <f>IFERROR(__xludf.DUMMYFUNCTION("""COMPUTED_VALUE"""),"ROBOT U-Disks RMF304 Gray")</f>
        <v>ROBOT U-Disks RMF304 Gray</v>
      </c>
      <c r="F643" s="233" t="str">
        <f>IFERROR(__xludf.DUMMYFUNCTION("""COMPUTED_VALUE"""),"ROBOT TWS Flybuds T22 Cream-coloured (SKU RJA-ROBO-0970)")</f>
        <v>ROBOT TWS Flybuds T22 Cream-coloured (SKU RJA-ROBO-0970)</v>
      </c>
    </row>
    <row r="644">
      <c r="A644" s="233" t="str">
        <f>IFERROR(__xludf.DUMMYFUNCTION("""COMPUTED_VALUE"""),"ROBOT U-Disks RMF332 Gray")</f>
        <v>ROBOT U-Disks RMF332 Gray</v>
      </c>
      <c r="F644" s="233" t="str">
        <f>IFERROR(__xludf.DUMMYFUNCTION("""COMPUTED_VALUE"""),"ROBOT TWS Flybuds T22 Black (SKU RJA-ROBO-0971)")</f>
        <v>ROBOT TWS Flybuds T22 Black (SKU RJA-ROBO-0971)</v>
      </c>
    </row>
    <row r="645">
      <c r="A645" s="233" t="str">
        <f>IFERROR(__xludf.DUMMYFUNCTION("""COMPUTED_VALUE"""),"ROBOT Ultra-thin And Foldable Phone Holder RT-US12 Black")</f>
        <v>ROBOT Ultra-thin And Foldable Phone Holder RT-US12 Black</v>
      </c>
      <c r="F645" s="233" t="str">
        <f>IFERROR(__xludf.DUMMYFUNCTION("""COMPUTED_VALUE"""),"ROBOT TWS Encobuds 3 Blue")</f>
        <v>ROBOT TWS Encobuds 3 Blue</v>
      </c>
    </row>
    <row r="646">
      <c r="A646" s="233" t="str">
        <f>IFERROR(__xludf.DUMMYFUNCTION("""COMPUTED_VALUE"""),"ROBOT Ultra-thin And Foldable Phone Holder RT-US12 Dark Grey")</f>
        <v>ROBOT Ultra-thin And Foldable Phone Holder RT-US12 Dark Grey</v>
      </c>
      <c r="F646" s="233" t="str">
        <f>IFERROR(__xludf.DUMMYFUNCTION("""COMPUTED_VALUE"""),"ROBOT TWS EncoBuds 2 Black")</f>
        <v>ROBOT TWS EncoBuds 2 Black</v>
      </c>
    </row>
    <row r="647">
      <c r="A647" s="233" t="str">
        <f>IFERROR(__xludf.DUMMYFUNCTION("""COMPUTED_VALUE"""),"ROBOT USB Mini Fan RT-BF18S White")</f>
        <v>ROBOT USB Mini Fan RT-BF18S White</v>
      </c>
      <c r="F647" s="233" t="str">
        <f>IFERROR(__xludf.DUMMYFUNCTION("""COMPUTED_VALUE"""),"ROBOT TWS EncoBuds 4")</f>
        <v>ROBOT TWS EncoBuds 4</v>
      </c>
    </row>
    <row r="648">
      <c r="A648" s="233" t="str">
        <f>IFERROR(__xludf.DUMMYFUNCTION("""COMPUTED_VALUE"""),"ROBOT Warna Lava Data Cable RNC100S 3A Type-C Gray 100CM (SKU RJA-ROBO-0336)")</f>
        <v>ROBOT Warna Lava Data Cable RNC100S 3A Type-C Gray 100CM (SKU RJA-ROBO-0336)</v>
      </c>
      <c r="F648" s="233" t="str">
        <f>IFERROR(__xludf.DUMMYFUNCTION("""COMPUTED_VALUE"""),"ROBOT TWS Dots 2 Black")</f>
        <v>ROBOT TWS Dots 2 Black</v>
      </c>
    </row>
    <row r="649">
      <c r="A649" s="233" t="str">
        <f>IFERROR(__xludf.DUMMYFUNCTION("""COMPUTED_VALUE"""),"ROBOT Warna Lava Data Cable RNC100S 3A Type-C Gray 100CM (SKU RJA-ROBO-0448)")</f>
        <v>ROBOT Warna Lava Data Cable RNC100S 3A Type-C Gray 100CM (SKU RJA-ROBO-0448)</v>
      </c>
      <c r="F649" s="233" t="str">
        <f>IFERROR(__xludf.DUMMYFUNCTION("""COMPUTED_VALUE"""),"ROBOT TWS Airbuds T70E White")</f>
        <v>ROBOT TWS Airbuds T70E White</v>
      </c>
    </row>
    <row r="650">
      <c r="A650" s="233" t="str">
        <f>IFERROR(__xludf.DUMMYFUNCTION("""COMPUTED_VALUE"""),"ROBOT Warna Lava Data Cable RNC200 3A Type-C 200CM")</f>
        <v>ROBOT Warna Lava Data Cable RNC200 3A Type-C 200CM</v>
      </c>
      <c r="F650" s="233" t="str">
        <f>IFERROR(__xludf.DUMMYFUNCTION("""COMPUTED_VALUE"""),"ROBOT TWS Airbuds T70E Green")</f>
        <v>ROBOT TWS Airbuds T70E Green</v>
      </c>
    </row>
    <row r="651">
      <c r="A651" s="233" t="str">
        <f>IFERROR(__xludf.DUMMYFUNCTION("""COMPUTED_VALUE"""),"ROBOT Warna Lava Data Cable RNC200 3A Type-C Blue 200CM")</f>
        <v>ROBOT Warna Lava Data Cable RNC200 3A Type-C Blue 200CM</v>
      </c>
      <c r="F651" s="233" t="str">
        <f>IFERROR(__xludf.DUMMYFUNCTION("""COMPUTED_VALUE"""),"ROBOT TWS Airbuds T70E Black")</f>
        <v>ROBOT TWS Airbuds T70E Black</v>
      </c>
    </row>
    <row r="652">
      <c r="A652" s="233" t="str">
        <f>IFERROR(__xludf.DUMMYFUNCTION("""COMPUTED_VALUE"""),"ROBOT Warna Lava Data Cable RNC200 3A Type-C Gray 200CM")</f>
        <v>ROBOT Warna Lava Data Cable RNC200 3A Type-C Gray 200CM</v>
      </c>
      <c r="F652" s="233" t="str">
        <f>IFERROR(__xludf.DUMMYFUNCTION("""COMPUTED_VALUE"""),"ROBOT TWS Airbuds T70 White")</f>
        <v>ROBOT TWS Airbuds T70 White</v>
      </c>
    </row>
    <row r="653">
      <c r="A653" s="233" t="str">
        <f>IFERROR(__xludf.DUMMYFUNCTION("""COMPUTED_VALUE"""),"ROBOT Warna Lava Data Cable RNCL100 30W Type-C TO Lightning Gray 100CM (SKU RJA-ROBO-0356)")</f>
        <v>ROBOT Warna Lava Data Cable RNCL100 30W Type-C TO Lightning Gray 100CM (SKU RJA-ROBO-0356)</v>
      </c>
      <c r="F653" s="233" t="str">
        <f>IFERROR(__xludf.DUMMYFUNCTION("""COMPUTED_VALUE"""),"ROBOT TWS Airbuds T70 Black (SKU RJA-ROBO-0980)")</f>
        <v>ROBOT TWS Airbuds T70 Black (SKU RJA-ROBO-0980)</v>
      </c>
    </row>
    <row r="654">
      <c r="A654" s="233" t="str">
        <f>IFERROR(__xludf.DUMMYFUNCTION("""COMPUTED_VALUE"""),"ROBOT Warna Lava Data Cable RNCL100 30W Type-C TO Lightning Gray 100CM (SKU RJA-ROBO-0446)")</f>
        <v>ROBOT Warna Lava Data Cable RNCL100 30W Type-C TO Lightning Gray 100CM (SKU RJA-ROBO-0446)</v>
      </c>
      <c r="F654" s="233" t="str">
        <f>IFERROR(__xludf.DUMMYFUNCTION("""COMPUTED_VALUE"""),"ROBOT TWS Airbuds T70 Black (SKU RJA-ROBO-0981)")</f>
        <v>ROBOT TWS Airbuds T70 Black (SKU RJA-ROBO-0981)</v>
      </c>
    </row>
    <row r="655">
      <c r="A655" s="233" t="str">
        <f>IFERROR(__xludf.DUMMYFUNCTION("""COMPUTED_VALUE"""),"ROBOT Warna Lava Data Cable RNCL200 30W Type-C TO Lightning Gray 200CM (SKU RJA-ROBO-0355)")</f>
        <v>ROBOT Warna Lava Data Cable RNCL200 30W Type-C TO Lightning Gray 200CM (SKU RJA-ROBO-0355)</v>
      </c>
      <c r="F655" s="233" t="str">
        <f>IFERROR(__xludf.DUMMYFUNCTION("""COMPUTED_VALUE"""),"ROBOT TWS Airbuds T60 White")</f>
        <v>ROBOT TWS Airbuds T60 White</v>
      </c>
    </row>
    <row r="656">
      <c r="A656" s="233" t="str">
        <f>IFERROR(__xludf.DUMMYFUNCTION("""COMPUTED_VALUE"""),"ROBOT Warna Lava Data Cable RNCL200 30W Type-C TO Lightning Gray 200CM (SKU RJA-ROBO-0437)")</f>
        <v>ROBOT Warna Lava Data Cable RNCL200 30W Type-C TO Lightning Gray 200CM (SKU RJA-ROBO-0437)</v>
      </c>
      <c r="F656" s="233" t="str">
        <f>IFERROR(__xludf.DUMMYFUNCTION("""COMPUTED_VALUE"""),"ROBOT TWS Airbuds T60 Light Purple")</f>
        <v>ROBOT TWS Airbuds T60 Light Purple</v>
      </c>
    </row>
    <row r="657">
      <c r="A657" s="233" t="str">
        <f>IFERROR(__xludf.DUMMYFUNCTION("""COMPUTED_VALUE"""),"ROBOT Warna Lava Data Cable RNPD100 5A 240W Type-C TO Type-C Gray 100CM (SKU RJA-ROBO-0348)")</f>
        <v>ROBOT Warna Lava Data Cable RNPD100 5A 240W Type-C TO Type-C Gray 100CM (SKU RJA-ROBO-0348)</v>
      </c>
      <c r="F657" s="233" t="str">
        <f>IFERROR(__xludf.DUMMYFUNCTION("""COMPUTED_VALUE"""),"ROBOT TWS Airbuds T60 Light Blue")</f>
        <v>ROBOT TWS Airbuds T60 Light Blue</v>
      </c>
    </row>
    <row r="658">
      <c r="A658" s="233" t="str">
        <f>IFERROR(__xludf.DUMMYFUNCTION("""COMPUTED_VALUE"""),"ROBOT Warna Lava Data Cable RNPD100 5A 240W Type-C TO Type-C Gray 100CM (SKU RJA-ROBO-0354)")</f>
        <v>ROBOT Warna Lava Data Cable RNPD100 5A 240W Type-C TO Type-C Gray 100CM (SKU RJA-ROBO-0354)</v>
      </c>
      <c r="F658" s="233" t="str">
        <f>IFERROR(__xludf.DUMMYFUNCTION("""COMPUTED_VALUE"""),"ROBOT TWS Airbuds T60 Black")</f>
        <v>ROBOT TWS Airbuds T60 Black</v>
      </c>
    </row>
    <row r="659">
      <c r="A659" s="233" t="str">
        <f>IFERROR(__xludf.DUMMYFUNCTION("""COMPUTED_VALUE"""),"ROBOT Warna Lava Data Cable RNQC100 6A 67W SUPPORT FAST CHARGING (SKU RJA-ROBO-0334)")</f>
        <v>ROBOT Warna Lava Data Cable RNQC100 6A 67W SUPPORT FAST CHARGING (SKU RJA-ROBO-0334)</v>
      </c>
      <c r="F659" s="233" t="str">
        <f>IFERROR(__xludf.DUMMYFUNCTION("""COMPUTED_VALUE"""),"ROBOT True Wireless Stereo Airbuds Quite E1 Black")</f>
        <v>ROBOT True Wireless Stereo Airbuds Quite E1 Black</v>
      </c>
    </row>
    <row r="660">
      <c r="A660" s="233" t="str">
        <f>IFERROR(__xludf.DUMMYFUNCTION("""COMPUTED_VALUE"""),"ROBOT Warna Lava Data Cable RNQC100 6A 67W SUPPORT FAST CHARGING (SKU RJA-ROBO-0436)")</f>
        <v>ROBOT Warna Lava Data Cable RNQC100 6A 67W SUPPORT FAST CHARGING (SKU RJA-ROBO-0436)</v>
      </c>
      <c r="F660" s="233" t="str">
        <f>IFERROR(__xludf.DUMMYFUNCTION("""COMPUTED_VALUE"""),"ROBOT True Wireless Stereo Airbuds Quiet E2 White")</f>
        <v>ROBOT True Wireless Stereo Airbuds Quiet E2 White</v>
      </c>
    </row>
    <row r="661">
      <c r="A661" s="233" t="str">
        <f>IFERROR(__xludf.DUMMYFUNCTION("""COMPUTED_VALUE"""),"ROBOT Wired Headset RE50 Black")</f>
        <v>ROBOT Wired Headset RE50 Black</v>
      </c>
      <c r="F661" s="233" t="str">
        <f>IFERROR(__xludf.DUMMYFUNCTION("""COMPUTED_VALUE"""),"ROBOT True Wireless Stereo Airbuds Flybuds T22 Black")</f>
        <v>ROBOT True Wireless Stereo Airbuds Flybuds T22 Black</v>
      </c>
    </row>
    <row r="662">
      <c r="A662" s="233" t="str">
        <f>IFERROR(__xludf.DUMMYFUNCTION("""COMPUTED_VALUE"""),"ROBOT Wired Headset RE702 Black")</f>
        <v>ROBOT Wired Headset RE702 Black</v>
      </c>
      <c r="F662" s="233" t="str">
        <f>IFERROR(__xludf.DUMMYFUNCTION("""COMPUTED_VALUE"""),"ROBOT True Wireless Stereo Airbuds Encobuds 3 Black (SKU RJA-ROBO-0989)")</f>
        <v>ROBOT True Wireless Stereo Airbuds Encobuds 3 Black (SKU RJA-ROBO-0989)</v>
      </c>
    </row>
    <row r="663">
      <c r="A663" s="233" t="str">
        <f>IFERROR(__xludf.DUMMYFUNCTION("""COMPUTED_VALUE"""),"ROBOT Wired Headset REC 10EBlack")</f>
        <v>ROBOT Wired Headset REC 10EBlack</v>
      </c>
      <c r="F663" s="233" t="str">
        <f>IFERROR(__xludf.DUMMYFUNCTION("""COMPUTED_VALUE"""),"ROBOT True Wireless Stereo Airbuds EncoBuds 2 Black (SKU RJA-ROBO-0990)")</f>
        <v>ROBOT True Wireless Stereo Airbuds EncoBuds 2 Black (SKU RJA-ROBO-0990)</v>
      </c>
    </row>
    <row r="664">
      <c r="A664" s="233" t="str">
        <f>IFERROR(__xludf.DUMMYFUNCTION("""COMPUTED_VALUE"""),"ROBOT Wired Headset RH-P20 Black")</f>
        <v>ROBOT Wired Headset RH-P20 Black</v>
      </c>
      <c r="F664" s="233" t="str">
        <f>IFERROR(__xludf.DUMMYFUNCTION("""COMPUTED_VALUE"""),"ROBOT OWS Earphone OpenRun 1 Black (SKU RJA-ROBO-0991)")</f>
        <v>ROBOT OWS Earphone OpenRun 1 Black (SKU RJA-ROBO-0991)</v>
      </c>
    </row>
    <row r="665">
      <c r="A665" s="233" t="str">
        <f>IFERROR(__xludf.DUMMYFUNCTION("""COMPUTED_VALUE"""),"ROBOT Wired Headset RH-P30 Black")</f>
        <v>ROBOT Wired Headset RH-P30 Black</v>
      </c>
      <c r="F665" s="233" t="str">
        <f>IFERROR(__xludf.DUMMYFUNCTION("""COMPUTED_VALUE"""),"ROBOT Airbuds T40NC In- Ear ENC TWS Bluetooth Earphones Deep Rich Bass Black")</f>
        <v>ROBOT Airbuds T40NC In- Ear ENC TWS Bluetooth Earphones Deep Rich Bass Black</v>
      </c>
    </row>
    <row r="666">
      <c r="A666" s="233" t="str">
        <f>IFERROR(__xludf.DUMMYFUNCTION("""COMPUTED_VALUE"""),"ROBOT Wired Keyboard &amp; Mouse Combo KM2600 Black")</f>
        <v>ROBOT Wired Keyboard &amp; Mouse Combo KM2600 Black</v>
      </c>
      <c r="F666" s="233" t="str">
        <f>IFERROR(__xludf.DUMMYFUNCTION("""COMPUTED_VALUE"""),"ROBOT Airbuds T20S TWS Lightweight&amp;Deep Bass Sound Earphones Black")</f>
        <v>ROBOT Airbuds T20S TWS Lightweight&amp;Deep Bass Sound Earphones Black</v>
      </c>
    </row>
    <row r="667">
      <c r="A667" s="233" t="str">
        <f>IFERROR(__xludf.DUMMYFUNCTION("""COMPUTED_VALUE"""),"ROBOT Wireless Connector RS20 WIRELESS Microphone Black")</f>
        <v>ROBOT Wireless Connector RS20 WIRELESS Microphone Black</v>
      </c>
      <c r="F667" s="233" t="str">
        <f>IFERROR(__xludf.DUMMYFUNCTION("""COMPUTED_VALUE"""),"ROBOT Air 10 Open-Ear True Wireless Ear-Clip Earphones，BT5.3，Anti-Hearing Loss， (SKU RJA-ROBO-0994)")</f>
        <v>ROBOT Air 10 Open-Ear True Wireless Ear-Clip Earphones，BT5.3，Anti-Hearing Loss， (SKU RJA-ROBO-0994)</v>
      </c>
    </row>
    <row r="668">
      <c r="A668" s="233" t="str">
        <f>IFERROR(__xludf.DUMMYFUNCTION("""COMPUTED_VALUE"""),"ROBOT Wireless Headset Spirit N30 Black")</f>
        <v>ROBOT Wireless Headset Spirit N30 Black</v>
      </c>
      <c r="F668" s="233" t="str">
        <f>IFERROR(__xludf.DUMMYFUNCTION("""COMPUTED_VALUE"""),"ROBOT True Wireless Stereo Airbuds EncoBuds 2 Black (SKU RJA-ROBO-1007)")</f>
        <v>ROBOT True Wireless Stereo Airbuds EncoBuds 2 Black (SKU RJA-ROBO-1007)</v>
      </c>
    </row>
    <row r="669">
      <c r="A669" s="233" t="str">
        <f>IFERROR(__xludf.DUMMYFUNCTION("""COMPUTED_VALUE"""),"ROBOT Wireless Mouse M205 Black (SKU RJA-ROBO-0572)")</f>
        <v>ROBOT Wireless Mouse M205 Black (SKU RJA-ROBO-0572)</v>
      </c>
      <c r="F669" s="233" t="str">
        <f>IFERROR(__xludf.DUMMYFUNCTION("""COMPUTED_VALUE"""),"ROBOT HORIZONTAL DIGITAL data CABLE RHCL100 27W TYPE C")</f>
        <v>ROBOT HORIZONTAL DIGITAL data CABLE RHCL100 27W TYPE C</v>
      </c>
    </row>
    <row r="670">
      <c r="A670" s="233" t="str">
        <f>IFERROR(__xludf.DUMMYFUNCTION("""COMPUTED_VALUE"""),"ROBOT Wireless Mouse M205 Black (SKU RJA-ROBO-0574)")</f>
        <v>ROBOT Wireless Mouse M205 Black (SKU RJA-ROBO-0574)</v>
      </c>
      <c r="F670" s="233" t="str">
        <f>IFERROR(__xludf.DUMMYFUNCTION("""COMPUTED_VALUE"""),"ROBOT TRANSPARANT CABLE RECL100 30W C TO L")</f>
        <v>ROBOT TRANSPARANT CABLE RECL100 30W C TO L</v>
      </c>
    </row>
    <row r="671">
      <c r="A671" s="233" t="str">
        <f>IFERROR(__xludf.DUMMYFUNCTION("""COMPUTED_VALUE"""),"SARUNG HP WATERPROOF WARNA")</f>
        <v>SARUNG HP WATERPROOF WARNA</v>
      </c>
      <c r="F671" s="233" t="str">
        <f>IFERROR(__xludf.DUMMYFUNCTION("""COMPUTED_VALUE"""),"ROBOT BRACKET DATA CABLE RBKCC100 65W C TO C")</f>
        <v>ROBOT BRACKET DATA CABLE RBKCC100 65W C TO C</v>
      </c>
    </row>
    <row r="672">
      <c r="A672" s="233" t="str">
        <f>IFERROR(__xludf.DUMMYFUNCTION("""COMPUTED_VALUE"""),"SARUNG JEMPOL")</f>
        <v>SARUNG JEMPOL</v>
      </c>
      <c r="F672" s="233" t="str">
        <f>IFERROR(__xludf.DUMMYFUNCTION("""COMPUTED_VALUE"""),"SARUNG HP WATERPROOF WARNA")</f>
        <v>SARUNG HP WATERPROOF WARNA</v>
      </c>
    </row>
    <row r="673">
      <c r="A673" s="233" t="str">
        <f>IFERROR(__xludf.DUMMYFUNCTION("""COMPUTED_VALUE"""),"SARUNG SANITIZER")</f>
        <v>SARUNG SANITIZER</v>
      </c>
      <c r="F673" s="233" t="str">
        <f>IFERROR(__xludf.DUMMYFUNCTION("""COMPUTED_VALUE"""),"SARUNG JEMPOL")</f>
        <v>SARUNG JEMPOL</v>
      </c>
    </row>
    <row r="674">
      <c r="A674" s="233" t="str">
        <f>IFERROR(__xludf.DUMMYFUNCTION("""COMPUTED_VALUE"""),"SELFIE STICK R15")</f>
        <v>SELFIE STICK R15</v>
      </c>
      <c r="F674" s="233" t="str">
        <f>IFERROR(__xludf.DUMMYFUNCTION("""COMPUTED_VALUE"""),"SARUNG SANITIZER")</f>
        <v>SARUNG SANITIZER</v>
      </c>
    </row>
    <row r="675">
      <c r="A675" s="233" t="str">
        <f>IFERROR(__xludf.DUMMYFUNCTION("""COMPUTED_VALUE"""),"SENTER LED LIGHTS L-826")</f>
        <v>SENTER LED LIGHTS L-826</v>
      </c>
      <c r="F675" s="233" t="str">
        <f>IFERROR(__xludf.DUMMYFUNCTION("""COMPUTED_VALUE"""),"SELFIE STICK R15")</f>
        <v>SELFIE STICK R15</v>
      </c>
    </row>
    <row r="676">
      <c r="A676" s="233" t="str">
        <f>IFERROR(__xludf.DUMMYFUNCTION("""COMPUTED_VALUE"""),"SHOPPING BAG TO ROLL UP")</f>
        <v>SHOPPING BAG TO ROLL UP</v>
      </c>
      <c r="F676" s="233" t="str">
        <f>IFERROR(__xludf.DUMMYFUNCTION("""COMPUTED_VALUE"""),"SENTER LED LIGHTS L-826")</f>
        <v>SENTER LED LIGHTS L-826</v>
      </c>
    </row>
    <row r="677">
      <c r="A677" s="233" t="str">
        <f>IFERROR(__xludf.DUMMYFUNCTION("""COMPUTED_VALUE"""),"SLETING")</f>
        <v>SLETING</v>
      </c>
      <c r="F677" s="233" t="str">
        <f>IFERROR(__xludf.DUMMYFUNCTION("""COMPUTED_VALUE"""),"SHOPPING BAG TO ROLL UP")</f>
        <v>SHOPPING BAG TO ROLL UP</v>
      </c>
    </row>
    <row r="678">
      <c r="A678" s="233" t="str">
        <f>IFERROR(__xludf.DUMMYFUNCTION("""COMPUTED_VALUE"""),"Smart 6 GB 7 hari")</f>
        <v>Smart 6 GB 7 hari</v>
      </c>
      <c r="F678" s="233" t="str">
        <f>IFERROR(__xludf.DUMMYFUNCTION("""COMPUTED_VALUE"""),"SLETING")</f>
        <v>SLETING</v>
      </c>
    </row>
    <row r="679">
      <c r="A679" s="233" t="str">
        <f>IFERROR(__xludf.DUMMYFUNCTION("""COMPUTED_VALUE"""),"SOLDER")</f>
        <v>SOLDER</v>
      </c>
      <c r="F679" s="233" t="str">
        <f>IFERROR(__xludf.DUMMYFUNCTION("""COMPUTED_VALUE"""),"Smart 6 GB 7 hari")</f>
        <v>Smart 6 GB 7 hari</v>
      </c>
    </row>
    <row r="680">
      <c r="A680" s="233" t="str">
        <f>IFERROR(__xludf.DUMMYFUNCTION("""COMPUTED_VALUE"""),"SOUNDCARD ROBOT US10")</f>
        <v>SOUNDCARD ROBOT US10</v>
      </c>
      <c r="F680" s="233" t="str">
        <f>IFERROR(__xludf.DUMMYFUNCTION("""COMPUTED_VALUE"""),"SOLDER")</f>
        <v>SOLDER</v>
      </c>
    </row>
    <row r="681">
      <c r="A681" s="233" t="str">
        <f>IFERROR(__xludf.DUMMYFUNCTION("""COMPUTED_VALUE"""),"SP Axis 3 Gb")</f>
        <v>SP Axis 3 Gb</v>
      </c>
      <c r="F681" s="233" t="str">
        <f>IFERROR(__xludf.DUMMYFUNCTION("""COMPUTED_VALUE"""),"SOUNDCARD ROBOT US10")</f>
        <v>SOUNDCARD ROBOT US10</v>
      </c>
    </row>
    <row r="682">
      <c r="A682" s="233" t="str">
        <f>IFERROR(__xludf.DUMMYFUNCTION("""COMPUTED_VALUE"""),"SP Isat 3 Gb")</f>
        <v>SP Isat 3 Gb</v>
      </c>
      <c r="F682" s="233" t="str">
        <f>IFERROR(__xludf.DUMMYFUNCTION("""COMPUTED_VALUE"""),"SP Axis 3 Gb")</f>
        <v>SP Axis 3 Gb</v>
      </c>
    </row>
    <row r="683">
      <c r="A683" s="233" t="str">
        <f>IFERROR(__xludf.DUMMYFUNCTION("""COMPUTED_VALUE"""),"SP T sel 3 Gb")</f>
        <v>SP T sel 3 Gb</v>
      </c>
      <c r="F683" s="233" t="str">
        <f>IFERROR(__xludf.DUMMYFUNCTION("""COMPUTED_VALUE"""),"SPEAKER BLUETOOTH T11")</f>
        <v>SPEAKER BLUETOOTH T11</v>
      </c>
    </row>
    <row r="684">
      <c r="A684" s="233" t="str">
        <f>IFERROR(__xludf.DUMMYFUNCTION("""COMPUTED_VALUE"""),"SPEAKER AKI JASPAN JAS-01")</f>
        <v>SPEAKER AKI JASPAN JAS-01</v>
      </c>
      <c r="F684" s="233" t="str">
        <f>IFERROR(__xludf.DUMMYFUNCTION("""COMPUTED_VALUE"""),"SPEAKER BLUETOOTH V1")</f>
        <v>SPEAKER BLUETOOTH V1</v>
      </c>
    </row>
    <row r="685">
      <c r="A685" s="233" t="str">
        <f>IFERROR(__xludf.DUMMYFUNCTION("""COMPUTED_VALUE"""),"Speaker Bluetooth BS-06 RGB")</f>
        <v>Speaker Bluetooth BS-06 RGB</v>
      </c>
      <c r="F685" s="233" t="str">
        <f>IFERROR(__xludf.DUMMYFUNCTION("""COMPUTED_VALUE"""),"SPEAKER BLUETOOTH SF7 OLIKE BEIGE")</f>
        <v>SPEAKER BLUETOOTH SF7 OLIKE BEIGE</v>
      </c>
    </row>
    <row r="686">
      <c r="A686" s="233" t="str">
        <f>IFERROR(__xludf.DUMMYFUNCTION("""COMPUTED_VALUE"""),"SPEAKER BLUETOOTH BS-32D")</f>
        <v>SPEAKER BLUETOOTH BS-32D</v>
      </c>
      <c r="F686" s="233" t="str">
        <f>IFERROR(__xludf.DUMMYFUNCTION("""COMPUTED_VALUE"""),"SPEAKER BLUETOOTH MODEL K52")</f>
        <v>SPEAKER BLUETOOTH MODEL K52</v>
      </c>
    </row>
    <row r="687">
      <c r="A687" s="233" t="str">
        <f>IFERROR(__xludf.DUMMYFUNCTION("""COMPUTED_VALUE"""),"SPEAKER BLUETOOTH DW09")</f>
        <v>SPEAKER BLUETOOTH DW09</v>
      </c>
      <c r="F687" s="233" t="str">
        <f>IFERROR(__xludf.DUMMYFUNCTION("""COMPUTED_VALUE"""),"SPEAKER BLUETOOTH MOTOR WINSI WS-225")</f>
        <v>SPEAKER BLUETOOTH MOTOR WINSI WS-225</v>
      </c>
    </row>
    <row r="688">
      <c r="A688" s="233" t="str">
        <f>IFERROR(__xludf.DUMMYFUNCTION("""COMPUTED_VALUE"""),"SPEAKER BLUETOOTH K1")</f>
        <v>SPEAKER BLUETOOTH K1</v>
      </c>
      <c r="F688" s="233" t="str">
        <f>IFERROR(__xludf.DUMMYFUNCTION("""COMPUTED_VALUE"""),"SPEAKER AKI JASPAN JAS-01")</f>
        <v>SPEAKER AKI JASPAN JAS-01</v>
      </c>
    </row>
    <row r="689">
      <c r="A689" s="233" t="str">
        <f>IFERROR(__xludf.DUMMYFUNCTION("""COMPUTED_VALUE"""),"SPEAKER BLUETOOTH K4/Y2")</f>
        <v>SPEAKER BLUETOOTH K4/Y2</v>
      </c>
      <c r="F689" s="233" t="str">
        <f>IFERROR(__xludf.DUMMYFUNCTION("""COMPUTED_VALUE"""),"SPEAKER BLUETOOTH K4/Y2")</f>
        <v>SPEAKER BLUETOOTH K4/Y2</v>
      </c>
    </row>
    <row r="690">
      <c r="A690" s="233" t="str">
        <f>IFERROR(__xludf.DUMMYFUNCTION("""COMPUTED_VALUE"""),"SPEAKER BLUETOOTH LENYES S-205")</f>
        <v>SPEAKER BLUETOOTH LENYES S-205</v>
      </c>
      <c r="F690" s="233" t="str">
        <f>IFERROR(__xludf.DUMMYFUNCTION("""COMPUTED_VALUE"""),"SPEAKER BLUETOOTH K1")</f>
        <v>SPEAKER BLUETOOTH K1</v>
      </c>
    </row>
    <row r="691">
      <c r="A691" s="233" t="str">
        <f>IFERROR(__xludf.DUMMYFUNCTION("""COMPUTED_VALUE"""),"SPEAKER BLUETOOTH MODEL K52")</f>
        <v>SPEAKER BLUETOOTH MODEL K52</v>
      </c>
      <c r="F691" s="233" t="str">
        <f>IFERROR(__xludf.DUMMYFUNCTION("""COMPUTED_VALUE"""),"SPEAKER BLUETOOTH WSTER WS-1625")</f>
        <v>SPEAKER BLUETOOTH WSTER WS-1625</v>
      </c>
    </row>
    <row r="692">
      <c r="A692" s="233" t="str">
        <f>IFERROR(__xludf.DUMMYFUNCTION("""COMPUTED_VALUE"""),"SPEAKER BLUETOOTH MOTOR WINSI WS-225")</f>
        <v>SPEAKER BLUETOOTH MOTOR WINSI WS-225</v>
      </c>
      <c r="F692" s="233" t="str">
        <f>IFERROR(__xludf.DUMMYFUNCTION("""COMPUTED_VALUE"""),"Speaker Soonbox 5'' + Mic S39 RGB LED")</f>
        <v>Speaker Soonbox 5'' + Mic S39 RGB LED</v>
      </c>
    </row>
    <row r="693">
      <c r="A693" s="233" t="str">
        <f>IFERROR(__xludf.DUMMYFUNCTION("""COMPUTED_VALUE"""),"SPEAKER BLUETOOTH MY233BT")</f>
        <v>SPEAKER BLUETOOTH MY233BT</v>
      </c>
      <c r="F693" s="233" t="str">
        <f>IFERROR(__xludf.DUMMYFUNCTION("""COMPUTED_VALUE"""),"SPEAKER BLUETOOTH MY233BT")</f>
        <v>SPEAKER BLUETOOTH MY233BT</v>
      </c>
    </row>
    <row r="694">
      <c r="A694" s="233" t="str">
        <f>IFERROR(__xludf.DUMMYFUNCTION("""COMPUTED_VALUE"""),"SPEAKER BLUETOOTH SF7 OLIKE BEIGE")</f>
        <v>SPEAKER BLUETOOTH SF7 OLIKE BEIGE</v>
      </c>
      <c r="F694" s="233" t="str">
        <f>IFERROR(__xludf.DUMMYFUNCTION("""COMPUTED_VALUE"""),"SPEAKER BLUETOOTH LENYES S-205")</f>
        <v>SPEAKER BLUETOOTH LENYES S-205</v>
      </c>
    </row>
    <row r="695">
      <c r="A695" s="233" t="str">
        <f>IFERROR(__xludf.DUMMYFUNCTION("""COMPUTED_VALUE"""),"SPEAKER BLUETOOTH T11")</f>
        <v>SPEAKER BLUETOOTH T11</v>
      </c>
      <c r="F695" s="233" t="str">
        <f>IFERROR(__xludf.DUMMYFUNCTION("""COMPUTED_VALUE"""),"SPEAKER BLUETOOTH DW09")</f>
        <v>SPEAKER BLUETOOTH DW09</v>
      </c>
    </row>
    <row r="696">
      <c r="A696" s="233" t="str">
        <f>IFERROR(__xludf.DUMMYFUNCTION("""COMPUTED_VALUE"""),"SPEAKER BLUETOOTH TEMPEL DINDING")</f>
        <v>SPEAKER BLUETOOTH TEMPEL DINDING</v>
      </c>
      <c r="F696" s="233" t="str">
        <f>IFERROR(__xludf.DUMMYFUNCTION("""COMPUTED_VALUE"""),"SPEAKER BLUETOOTH TEMPEL DINDING")</f>
        <v>SPEAKER BLUETOOTH TEMPEL DINDING</v>
      </c>
    </row>
    <row r="697">
      <c r="A697" s="233" t="str">
        <f>IFERROR(__xludf.DUMMYFUNCTION("""COMPUTED_VALUE"""),"SPEAKER BLUETOOTH V1")</f>
        <v>SPEAKER BLUETOOTH V1</v>
      </c>
      <c r="F697" s="233" t="str">
        <f>IFERROR(__xludf.DUMMYFUNCTION("""COMPUTED_VALUE"""),"Speaker Bluetooth WINSI WS - 264 TWS + Mic")</f>
        <v>Speaker Bluetooth WINSI WS - 264 TWS + Mic</v>
      </c>
    </row>
    <row r="698">
      <c r="A698" s="233" t="str">
        <f>IFERROR(__xludf.DUMMYFUNCTION("""COMPUTED_VALUE"""),"Speaker Bluetooth WINSI WS - 264 TWS + Mic")</f>
        <v>Speaker Bluetooth WINSI WS - 264 TWS + Mic</v>
      </c>
      <c r="F698" s="233" t="str">
        <f>IFERROR(__xludf.DUMMYFUNCTION("""COMPUTED_VALUE"""),"Speaker Bluetooth BS-06 RGB")</f>
        <v>Speaker Bluetooth BS-06 RGB</v>
      </c>
    </row>
    <row r="699">
      <c r="A699" s="233" t="str">
        <f>IFERROR(__xludf.DUMMYFUNCTION("""COMPUTED_VALUE"""),"SPEAKER BLUETOOTH WSTER WS-1625")</f>
        <v>SPEAKER BLUETOOTH WSTER WS-1625</v>
      </c>
      <c r="F699" s="233" t="str">
        <f>IFERROR(__xludf.DUMMYFUNCTION("""COMPUTED_VALUE"""),"SPEAKER BLUETOOTH BS-32D")</f>
        <v>SPEAKER BLUETOOTH BS-32D</v>
      </c>
    </row>
    <row r="700">
      <c r="A700" s="233" t="str">
        <f>IFERROR(__xludf.DUMMYFUNCTION("""COMPUTED_VALUE"""),"Speaker Soonbox 5'' + Mic S39 RGB LED")</f>
        <v>Speaker Soonbox 5'' + Mic S39 RGB LED</v>
      </c>
      <c r="F700" s="233" t="str">
        <f>IFERROR(__xludf.DUMMYFUNCTION("""COMPUTED_VALUE"""),"SP Isat 3 Gb")</f>
        <v>SP Isat 3 Gb</v>
      </c>
    </row>
    <row r="701">
      <c r="A701" s="233" t="str">
        <f>IFERROR(__xludf.DUMMYFUNCTION("""COMPUTED_VALUE"""),"STAPLER JOYKO HD50")</f>
        <v>STAPLER JOYKO HD50</v>
      </c>
      <c r="F701" s="233" t="str">
        <f>IFERROR(__xludf.DUMMYFUNCTION("""COMPUTED_VALUE"""),"SP T sel 3 Gb")</f>
        <v>SP T sel 3 Gb</v>
      </c>
    </row>
    <row r="702">
      <c r="A702" s="233" t="str">
        <f>IFERROR(__xludf.DUMMYFUNCTION("""COMPUTED_VALUE"""),"STICK PS UCOM")</f>
        <v>STICK PS UCOM</v>
      </c>
      <c r="F702" s="233" t="str">
        <f>IFERROR(__xludf.DUMMYFUNCTION("""COMPUTED_VALUE"""),"STAPLER JOYKO HD50")</f>
        <v>STAPLER JOYKO HD50</v>
      </c>
    </row>
    <row r="703">
      <c r="A703" s="233" t="str">
        <f>IFERROR(__xludf.DUMMYFUNCTION("""COMPUTED_VALUE"""),"T/C AKI Motor Waterproof")</f>
        <v>T/C AKI Motor Waterproof</v>
      </c>
      <c r="F703" s="233" t="str">
        <f>IFERROR(__xludf.DUMMYFUNCTION("""COMPUTED_VALUE"""),"STICK PS UCOM")</f>
        <v>STICK PS UCOM</v>
      </c>
    </row>
    <row r="704">
      <c r="A704" s="233" t="str">
        <f>IFERROR(__xludf.DUMMYFUNCTION("""COMPUTED_VALUE"""),"T/C Branded P -39 65W 1USB Samsung, Realmi, Oppo, Vivo, Xiaomi")</f>
        <v>T/C Branded P -39 65W 1USB Samsung, Realmi, Oppo, Vivo, Xiaomi</v>
      </c>
      <c r="F704" s="233" t="str">
        <f>IFERROR(__xludf.DUMMYFUNCTION("""COMPUTED_VALUE"""),"TALI NAME TAG")</f>
        <v>TALI NAME TAG</v>
      </c>
    </row>
    <row r="705">
      <c r="A705" s="233" t="str">
        <f>IFERROR(__xludf.DUMMYFUNCTION("""COMPUTED_VALUE"""),"T/C Ori 100 Samsung PD Type-C To C , 25watt")</f>
        <v>T/C Ori 100 Samsung PD Type-C To C , 25watt</v>
      </c>
      <c r="F705" s="233" t="str">
        <f>IFERROR(__xludf.DUMMYFUNCTION("""COMPUTED_VALUE"""),"TALI GANTUNGAN HP")</f>
        <v>TALI GANTUNGAN HP</v>
      </c>
    </row>
    <row r="706">
      <c r="A706" s="233" t="str">
        <f>IFERROR(__xludf.DUMMYFUNCTION("""COMPUTED_VALUE"""),"T/C Ori 100% 180 W GAN QUICK CHARGER MICRO 139")</f>
        <v>T/C Ori 100% 180 W GAN QUICK CHARGER MICRO 139</v>
      </c>
      <c r="F706" s="233" t="str">
        <f>IFERROR(__xludf.DUMMYFUNCTION("""COMPUTED_VALUE"""),"TALI HP LANYARD GANTUNGAN")</f>
        <v>TALI HP LANYARD GANTUNGAN</v>
      </c>
    </row>
    <row r="707">
      <c r="A707" s="233" t="str">
        <f>IFERROR(__xludf.DUMMYFUNCTION("""COMPUTED_VALUE"""),"T/C Ori 100% 180 W GAN QUICK CHARGER TYPE C")</f>
        <v>T/C Ori 100% 180 W GAN QUICK CHARGER TYPE C</v>
      </c>
      <c r="F707" s="233" t="str">
        <f>IFERROR(__xludf.DUMMYFUNCTION("""COMPUTED_VALUE"""),"T/C AKI Motor Waterproof")</f>
        <v>T/C AKI Motor Waterproof</v>
      </c>
    </row>
    <row r="708">
      <c r="A708" s="233" t="str">
        <f>IFERROR(__xludf.DUMMYFUNCTION("""COMPUTED_VALUE"""),"T/C Ori 100% 180W REDMI NOTE 14 PRO")</f>
        <v>T/C Ori 100% 180W REDMI NOTE 14 PRO</v>
      </c>
      <c r="F708" s="233" t="str">
        <f>IFERROR(__xludf.DUMMYFUNCTION("""COMPUTED_VALUE"""),"T/C Branded P -39 65W 1USB Samsung, Realmi, Oppo, Vivo, Xiaomi")</f>
        <v>T/C Branded P -39 65W 1USB Samsung, Realmi, Oppo, Vivo, Xiaomi</v>
      </c>
    </row>
    <row r="709">
      <c r="A709" s="233" t="str">
        <f>IFERROR(__xludf.DUMMYFUNCTION("""COMPUTED_VALUE"""),"T/C Ori 100% 240W REALME GT NEO5")</f>
        <v>T/C Ori 100% 240W REALME GT NEO5</v>
      </c>
      <c r="F709" s="233" t="str">
        <f>IFERROR(__xludf.DUMMYFUNCTION("""COMPUTED_VALUE"""),"T/C Ori 100% 280W SAMSUNG A23")</f>
        <v>T/C Ori 100% 280W SAMSUNG A23</v>
      </c>
    </row>
    <row r="710">
      <c r="A710" s="233" t="str">
        <f>IFERROR(__xludf.DUMMYFUNCTION("""COMPUTED_VALUE"""),"T/C Ori 100% 280W INFINIX HOT50 PRO")</f>
        <v>T/C Ori 100% 280W INFINIX HOT50 PRO</v>
      </c>
      <c r="F710" s="233" t="str">
        <f>IFERROR(__xludf.DUMMYFUNCTION("""COMPUTED_VALUE"""),"T/C Ori 100% 280W SAMSUNG GALAXY A06")</f>
        <v>T/C Ori 100% 280W SAMSUNG GALAXY A06</v>
      </c>
    </row>
    <row r="711">
      <c r="A711" s="233" t="str">
        <f>IFERROR(__xludf.DUMMYFUNCTION("""COMPUTED_VALUE"""),"T/C Ori 100% 280W OPP RENO12F")</f>
        <v>T/C Ori 100% 280W OPP RENO12F</v>
      </c>
      <c r="F711" s="233" t="str">
        <f>IFERROR(__xludf.DUMMYFUNCTION("""COMPUTED_VALUE"""),"T/C Ori 100% 280W SAMSUNG A16")</f>
        <v>T/C Ori 100% 280W SAMSUNG A16</v>
      </c>
    </row>
    <row r="712">
      <c r="A712" s="233" t="str">
        <f>IFERROR(__xludf.DUMMYFUNCTION("""COMPUTED_VALUE"""),"T/C Ori 100% 280W OPPO RENO 13")</f>
        <v>T/C Ori 100% 280W OPPO RENO 13</v>
      </c>
      <c r="F712" s="233" t="str">
        <f>IFERROR(__xludf.DUMMYFUNCTION("""COMPUTED_VALUE"""),"T/C Ori 100% 280W INFINIX HOT50 PRO")</f>
        <v>T/C Ori 100% 280W INFINIX HOT50 PRO</v>
      </c>
    </row>
    <row r="713">
      <c r="A713" s="233" t="str">
        <f>IFERROR(__xludf.DUMMYFUNCTION("""COMPUTED_VALUE"""),"T/C Ori 100% 280W POCO C75")</f>
        <v>T/C Ori 100% 280W POCO C75</v>
      </c>
      <c r="F713" s="233" t="str">
        <f>IFERROR(__xludf.DUMMYFUNCTION("""COMPUTED_VALUE"""),"T/C Ori 100% 280W OPPO RENO 13")</f>
        <v>T/C Ori 100% 280W OPPO RENO 13</v>
      </c>
    </row>
    <row r="714">
      <c r="A714" s="233" t="str">
        <f>IFERROR(__xludf.DUMMYFUNCTION("""COMPUTED_VALUE"""),"T/C Ori 100% 280W POCO F6")</f>
        <v>T/C Ori 100% 280W POCO F6</v>
      </c>
      <c r="F714" s="233" t="str">
        <f>IFERROR(__xludf.DUMMYFUNCTION("""COMPUTED_VALUE"""),"T/C Ori 100% 280W POCO F6")</f>
        <v>T/C Ori 100% 280W POCO F6</v>
      </c>
    </row>
    <row r="715">
      <c r="A715" s="233" t="str">
        <f>IFERROR(__xludf.DUMMYFUNCTION("""COMPUTED_VALUE"""),"T/C Ori 100% 280W REALME NOTE 60")</f>
        <v>T/C Ori 100% 280W REALME NOTE 60</v>
      </c>
      <c r="F715" s="233" t="str">
        <f>IFERROR(__xludf.DUMMYFUNCTION("""COMPUTED_VALUE"""),"T/C Ori 100% 280W VIVO Y19S")</f>
        <v>T/C Ori 100% 280W VIVO Y19S</v>
      </c>
    </row>
    <row r="716">
      <c r="A716" s="233" t="str">
        <f>IFERROR(__xludf.DUMMYFUNCTION("""COMPUTED_VALUE"""),"T/C Ori 100% 280w REDMI 14C")</f>
        <v>T/C Ori 100% 280w REDMI 14C</v>
      </c>
      <c r="F716" s="233" t="str">
        <f>IFERROR(__xludf.DUMMYFUNCTION("""COMPUTED_VALUE"""),"T/C Ori 100% 280W VIVO Y18")</f>
        <v>T/C Ori 100% 280W VIVO Y18</v>
      </c>
    </row>
    <row r="717">
      <c r="A717" s="233" t="str">
        <f>IFERROR(__xludf.DUMMYFUNCTION("""COMPUTED_VALUE"""),"T/C Ori 100% 280W REDMI 14PRO 5G")</f>
        <v>T/C Ori 100% 280W REDMI 14PRO 5G</v>
      </c>
      <c r="F717" s="233" t="str">
        <f>IFERROR(__xludf.DUMMYFUNCTION("""COMPUTED_VALUE"""),"T/C Ori 100% 280W POCO C75")</f>
        <v>T/C Ori 100% 280W POCO C75</v>
      </c>
    </row>
    <row r="718">
      <c r="A718" s="233" t="str">
        <f>IFERROR(__xludf.DUMMYFUNCTION("""COMPUTED_VALUE"""),"T/C Ori 100% 280W REDMI NOTE40 PR0")</f>
        <v>T/C Ori 100% 280W REDMI NOTE40 PR0</v>
      </c>
      <c r="F718" s="233" t="str">
        <f>IFERROR(__xludf.DUMMYFUNCTION("""COMPUTED_VALUE"""),"T/C Ori 100% 280W REDMI NOTE40 PR0")</f>
        <v>T/C Ori 100% 280W REDMI NOTE40 PR0</v>
      </c>
    </row>
    <row r="719">
      <c r="A719" s="233" t="str">
        <f>IFERROR(__xludf.DUMMYFUNCTION("""COMPUTED_VALUE"""),"T/C Ori 100% 280W SAMSUNG A16")</f>
        <v>T/C Ori 100% 280W SAMSUNG A16</v>
      </c>
      <c r="F719" s="233" t="str">
        <f>IFERROR(__xludf.DUMMYFUNCTION("""COMPUTED_VALUE"""),"T/C Ori 100% 280W REALME NOTE 60")</f>
        <v>T/C Ori 100% 280W REALME NOTE 60</v>
      </c>
    </row>
    <row r="720">
      <c r="A720" s="233" t="str">
        <f>IFERROR(__xludf.DUMMYFUNCTION("""COMPUTED_VALUE"""),"T/C Ori 100% 280W SAMSUNG A23")</f>
        <v>T/C Ori 100% 280W SAMSUNG A23</v>
      </c>
      <c r="F720" s="233" t="str">
        <f>IFERROR(__xludf.DUMMYFUNCTION("""COMPUTED_VALUE"""),"T/C Ori 100% 240W REALME GT NEO5")</f>
        <v>T/C Ori 100% 240W REALME GT NEO5</v>
      </c>
    </row>
    <row r="721">
      <c r="A721" s="233" t="str">
        <f>IFERROR(__xludf.DUMMYFUNCTION("""COMPUTED_VALUE"""),"T/C Ori 100% 280W SAMSUNG GALAXY A06")</f>
        <v>T/C Ori 100% 280W SAMSUNG GALAXY A06</v>
      </c>
      <c r="F721" s="233" t="str">
        <f>IFERROR(__xludf.DUMMYFUNCTION("""COMPUTED_VALUE"""),"T/C Ori 100% 280W OPP RENO12F")</f>
        <v>T/C Ori 100% 280W OPP RENO12F</v>
      </c>
    </row>
    <row r="722">
      <c r="A722" s="233" t="str">
        <f>IFERROR(__xludf.DUMMYFUNCTION("""COMPUTED_VALUE"""),"T/C Ori 100% 280W VIVO Y18")</f>
        <v>T/C Ori 100% 280W VIVO Y18</v>
      </c>
      <c r="F722" s="233" t="str">
        <f>IFERROR(__xludf.DUMMYFUNCTION("""COMPUTED_VALUE"""),"T/C Ori 100% 180W REDMI NOTE 14 PRO")</f>
        <v>T/C Ori 100% 180W REDMI NOTE 14 PRO</v>
      </c>
    </row>
    <row r="723">
      <c r="A723" s="233" t="str">
        <f>IFERROR(__xludf.DUMMYFUNCTION("""COMPUTED_VALUE"""),"T/C Ori 100% 280W VIVO Y19S")</f>
        <v>T/C Ori 100% 280W VIVO Y19S</v>
      </c>
      <c r="F723" s="233" t="str">
        <f>IFERROR(__xludf.DUMMYFUNCTION("""COMPUTED_VALUE"""),"T/C Ori 100% 280W REDMI 14PRO 5G")</f>
        <v>T/C Ori 100% 280W REDMI 14PRO 5G</v>
      </c>
    </row>
    <row r="724">
      <c r="A724" s="233" t="str">
        <f>IFERROR(__xludf.DUMMYFUNCTION("""COMPUTED_VALUE"""),"T/C Ori 100% Infinix Note 12i 120W MICRO")</f>
        <v>T/C Ori 100% Infinix Note 12i 120W MICRO</v>
      </c>
      <c r="F724" s="233" t="str">
        <f>IFERROR(__xludf.DUMMYFUNCTION("""COMPUTED_VALUE"""),"T/C Ori 100% Iphone PD 25W Ip-100i")</f>
        <v>T/C Ori 100% Iphone PD 25W Ip-100i</v>
      </c>
    </row>
    <row r="725">
      <c r="A725" s="233" t="str">
        <f>IFERROR(__xludf.DUMMYFUNCTION("""COMPUTED_VALUE"""),"T/C Ori 100% Infinix Note 12i 120W TYPE C")</f>
        <v>T/C Ori 100% Infinix Note 12i 120W TYPE C</v>
      </c>
      <c r="F725" s="233" t="str">
        <f>IFERROR(__xludf.DUMMYFUNCTION("""COMPUTED_VALUE"""),"T/C Ori 100% Iphone 14 Pro Max PD 25W Kode 133")</f>
        <v>T/C Ori 100% Iphone 14 Pro Max PD 25W Kode 133</v>
      </c>
    </row>
    <row r="726">
      <c r="A726" s="233" t="str">
        <f>IFERROR(__xludf.DUMMYFUNCTION("""COMPUTED_VALUE"""),"T/C Ori 100% Infinix Zero 30 5G 280W type c")</f>
        <v>T/C Ori 100% Infinix Zero 30 5G 280W type c</v>
      </c>
      <c r="F726" s="233" t="str">
        <f>IFERROR(__xludf.DUMMYFUNCTION("""COMPUTED_VALUE"""),"T/C Ori 100% iphone17 pro max , PD 35watt")</f>
        <v>T/C Ori 100% iphone17 pro max , PD 35watt</v>
      </c>
    </row>
    <row r="727">
      <c r="A727" s="233" t="str">
        <f>IFERROR(__xludf.DUMMYFUNCTION("""COMPUTED_VALUE"""),"T/C Ori 100% Infinix Zero 5G 120W micro")</f>
        <v>T/C Ori 100% Infinix Zero 5G 120W micro</v>
      </c>
      <c r="F727" s="233" t="str">
        <f>IFERROR(__xludf.DUMMYFUNCTION("""COMPUTED_VALUE"""),"T/C Ori 100% Iphone 15 Pro Max, Murni 25W")</f>
        <v>T/C Ori 100% Iphone 15 Pro Max, Murni 25W</v>
      </c>
    </row>
    <row r="728">
      <c r="A728" s="233" t="str">
        <f>IFERROR(__xludf.DUMMYFUNCTION("""COMPUTED_VALUE"""),"T/C Ori 100% Infinix Zero 5G 120W type c")</f>
        <v>T/C Ori 100% Infinix Zero 5G 120W type c</v>
      </c>
      <c r="F728" s="233" t="str">
        <f>IFERROR(__xludf.DUMMYFUNCTION("""COMPUTED_VALUE"""),"T/C ORI 99% Iphone 16 Pro Max 35W")</f>
        <v>T/C ORI 99% Iphone 16 Pro Max 35W</v>
      </c>
    </row>
    <row r="729">
      <c r="A729" s="233" t="str">
        <f>IFERROR(__xludf.DUMMYFUNCTION("""COMPUTED_VALUE"""),"T/C Ori 100% Iphone 14 PD 25Watt")</f>
        <v>T/C Ori 100% Iphone 14 PD 25Watt</v>
      </c>
      <c r="F729" s="233" t="str">
        <f>IFERROR(__xludf.DUMMYFUNCTION("""COMPUTED_VALUE"""),"T/C Ori 100% Iphone14 Pro max 2Lubang PD 50W")</f>
        <v>T/C Ori 100% Iphone14 Pro max 2Lubang PD 50W</v>
      </c>
    </row>
    <row r="730">
      <c r="A730" s="233" t="str">
        <f>IFERROR(__xludf.DUMMYFUNCTION("""COMPUTED_VALUE"""),"T/C Ori 100% Iphone 14 Pro Max PD 25W Kode 133")</f>
        <v>T/C Ori 100% Iphone 14 Pro Max PD 25W Kode 133</v>
      </c>
      <c r="F730" s="233" t="str">
        <f>IFERROR(__xludf.DUMMYFUNCTION("""COMPUTED_VALUE"""),"T/C Ori 99% Iphone 14 Pro Max, 20Watt")</f>
        <v>T/C Ori 99% Iphone 14 Pro Max, 20Watt</v>
      </c>
    </row>
    <row r="731">
      <c r="A731" s="233" t="str">
        <f>IFERROR(__xludf.DUMMYFUNCTION("""COMPUTED_VALUE"""),"T/C Ori 100% Iphone 15 Pro Max, Murni 25W")</f>
        <v>T/C Ori 100% Iphone 15 Pro Max, Murni 25W</v>
      </c>
      <c r="F731" s="233" t="str">
        <f>IFERROR(__xludf.DUMMYFUNCTION("""COMPUTED_VALUE"""),"T/C Ori 100% Xiaomi Turbo M13 120W (SKU RJA-T-CO-0774)")</f>
        <v>T/C Ori 100% Xiaomi Turbo M13 120W (SKU RJA-T-CO-0774)</v>
      </c>
    </row>
    <row r="732">
      <c r="A732" s="233" t="str">
        <f>IFERROR(__xludf.DUMMYFUNCTION("""COMPUTED_VALUE"""),"T/C Ori 100% Iphone PD 25W Ip-100i")</f>
        <v>T/C Ori 100% Iphone PD 25W Ip-100i</v>
      </c>
      <c r="F732" s="233" t="str">
        <f>IFERROR(__xludf.DUMMYFUNCTION("""COMPUTED_VALUE"""),"T/C ORI 100% VIVO X FOLD + FAST CHARGER 65W MIKRO")</f>
        <v>T/C ORI 100% VIVO X FOLD + FAST CHARGER 65W MIKRO</v>
      </c>
    </row>
    <row r="733">
      <c r="A733" s="233" t="str">
        <f>IFERROR(__xludf.DUMMYFUNCTION("""COMPUTED_VALUE"""),"T/C Ori 100% iphone12 20W")</f>
        <v>T/C Ori 100% iphone12 20W</v>
      </c>
      <c r="F733" s="233" t="str">
        <f>IFERROR(__xludf.DUMMYFUNCTION("""COMPUTED_VALUE"""),"T/C ORI 100% VIVO X FOLD + FAST CHARGER 65W TYPE-C")</f>
        <v>T/C ORI 100% VIVO X FOLD + FAST CHARGER 65W TYPE-C</v>
      </c>
    </row>
    <row r="734">
      <c r="A734" s="233" t="str">
        <f>IFERROR(__xludf.DUMMYFUNCTION("""COMPUTED_VALUE"""),"T/C Ori 100% Iphone14 Pro max 2Lubang PD")</f>
        <v>T/C Ori 100% Iphone14 Pro max 2Lubang PD</v>
      </c>
      <c r="F734" s="233" t="str">
        <f>IFERROR(__xludf.DUMMYFUNCTION("""COMPUTED_VALUE"""),"T/C Ori 100% Realmi X7 Pro 120W micro")</f>
        <v>T/C Ori 100% Realmi X7 Pro 120W micro</v>
      </c>
    </row>
    <row r="735">
      <c r="A735" s="233" t="str">
        <f>IFERROR(__xludf.DUMMYFUNCTION("""COMPUTED_VALUE"""),"T/C Ori 100% Iphone14 Pro max 2Lubang PD 50W")</f>
        <v>T/C Ori 100% Iphone14 Pro max 2Lubang PD 50W</v>
      </c>
      <c r="F735" s="233" t="str">
        <f>IFERROR(__xludf.DUMMYFUNCTION("""COMPUTED_VALUE"""),"T/C Ori 100% Realmi 13 120W micro")</f>
        <v>T/C Ori 100% Realmi 13 120W micro</v>
      </c>
    </row>
    <row r="736">
      <c r="A736" s="233" t="str">
        <f>IFERROR(__xludf.DUMMYFUNCTION("""COMPUTED_VALUE"""),"T/C Ori 100% iphone17 pro max , PD 35watt")</f>
        <v>T/C Ori 100% iphone17 pro max , PD 35watt</v>
      </c>
      <c r="F736" s="233" t="str">
        <f>IFERROR(__xludf.DUMMYFUNCTION("""COMPUTED_VALUE"""),"T/C Ori 100% Realmi 10 80W TYPE C")</f>
        <v>T/C Ori 100% Realmi 10 80W TYPE C</v>
      </c>
    </row>
    <row r="737">
      <c r="A737" s="233" t="str">
        <f>IFERROR(__xludf.DUMMYFUNCTION("""COMPUTED_VALUE"""),"T/C ORI 100% OPPO A36 240W SUPER VOOC TYPE-C")</f>
        <v>T/C ORI 100% OPPO A36 240W SUPER VOOC TYPE-C</v>
      </c>
      <c r="F737" s="233" t="str">
        <f>IFERROR(__xludf.DUMMYFUNCTION("""COMPUTED_VALUE"""),"T/C Ori 100% Poco X5 240W MICRO")</f>
        <v>T/C Ori 100% Poco X5 240W MICRO</v>
      </c>
    </row>
    <row r="738">
      <c r="A738" s="233" t="str">
        <f>IFERROR(__xludf.DUMMYFUNCTION("""COMPUTED_VALUE"""),"T/C ORI 100% OPPO A5 PRO 5G 180W FAST CHARGER TYPE-C")</f>
        <v>T/C ORI 100% OPPO A5 PRO 5G 180W FAST CHARGER TYPE-C</v>
      </c>
      <c r="F738" s="233" t="str">
        <f>IFERROR(__xludf.DUMMYFUNCTION("""COMPUTED_VALUE"""),"T/C ORI 100% OPPO RENO 5 PRO SMART CHARGER TYPE-C")</f>
        <v>T/C ORI 100% OPPO RENO 5 PRO SMART CHARGER TYPE-C</v>
      </c>
    </row>
    <row r="739">
      <c r="A739" s="233" t="str">
        <f>IFERROR(__xludf.DUMMYFUNCTION("""COMPUTED_VALUE"""),"T/C ORI 100% OPPO A55 80W SUPER VOOC MIKRO")</f>
        <v>T/C ORI 100% OPPO A55 80W SUPER VOOC MIKRO</v>
      </c>
      <c r="F739" s="233" t="str">
        <f>IFERROR(__xludf.DUMMYFUNCTION("""COMPUTED_VALUE"""),"T/C ORI 100% OPPO A36 240W SUPER VOOC TYPE-C")</f>
        <v>T/C ORI 100% OPPO A36 240W SUPER VOOC TYPE-C</v>
      </c>
    </row>
    <row r="740">
      <c r="A740" s="233" t="str">
        <f>IFERROR(__xludf.DUMMYFUNCTION("""COMPUTED_VALUE"""),"T/C Ori 100% Oppo A58 5G 120W MICRO")</f>
        <v>T/C Ori 100% Oppo A58 5G 120W MICRO</v>
      </c>
      <c r="F740" s="233" t="str">
        <f>IFERROR(__xludf.DUMMYFUNCTION("""COMPUTED_VALUE"""),"T/C ORI 100% OPPO RENO 7 PRO 65W SUPER VOOC TYPPE-C")</f>
        <v>T/C ORI 100% OPPO RENO 7 PRO 65W SUPER VOOC TYPPE-C</v>
      </c>
    </row>
    <row r="741">
      <c r="A741" s="233" t="str">
        <f>IFERROR(__xludf.DUMMYFUNCTION("""COMPUTED_VALUE"""),"T/C Ori 100% Oppo A58 5G 120W TYPEC")</f>
        <v>T/C Ori 100% Oppo A58 5G 120W TYPEC</v>
      </c>
      <c r="F741" s="233" t="str">
        <f>IFERROR(__xludf.DUMMYFUNCTION("""COMPUTED_VALUE"""),"T/C ORI 100% OPPO RENO ACE 2 65W SUPER FLASH CHARGE TYPE-C")</f>
        <v>T/C ORI 100% OPPO RENO ACE 2 65W SUPER FLASH CHARGE TYPE-C</v>
      </c>
    </row>
    <row r="742">
      <c r="A742" s="233" t="str">
        <f>IFERROR(__xludf.DUMMYFUNCTION("""COMPUTED_VALUE"""),"T/C Ori 100% Oppo A79 5G 120W MICRO")</f>
        <v>T/C Ori 100% Oppo A79 5G 120W MICRO</v>
      </c>
      <c r="F742" s="233" t="str">
        <f>IFERROR(__xludf.DUMMYFUNCTION("""COMPUTED_VALUE"""),"T/C ORI 100% OPPO RENO ACE 2 65W SUPER FLASH CHARGE MIKRO")</f>
        <v>T/C ORI 100% OPPO RENO ACE 2 65W SUPER FLASH CHARGE MIKRO</v>
      </c>
    </row>
    <row r="743">
      <c r="A743" s="233" t="str">
        <f>IFERROR(__xludf.DUMMYFUNCTION("""COMPUTED_VALUE"""),"T/C Ori 100% Oppo A79 5G 120W TYPE C")</f>
        <v>T/C Ori 100% Oppo A79 5G 120W TYPE C</v>
      </c>
      <c r="F743" s="233" t="str">
        <f>IFERROR(__xludf.DUMMYFUNCTION("""COMPUTED_VALUE"""),"T/C ORI 100% OPPO RENO 6 PRO 65W SUPER VOOC MIKRO")</f>
        <v>T/C ORI 100% OPPO RENO 6 PRO 65W SUPER VOOC MIKRO</v>
      </c>
    </row>
    <row r="744">
      <c r="A744" s="233" t="str">
        <f>IFERROR(__xludf.DUMMYFUNCTION("""COMPUTED_VALUE"""),"T/C Ori 100% Oppo A87 5G 120W Full Black MICRO")</f>
        <v>T/C Ori 100% Oppo A87 5G 120W Full Black MICRO</v>
      </c>
      <c r="F744" s="233" t="str">
        <f>IFERROR(__xludf.DUMMYFUNCTION("""COMPUTED_VALUE"""),"T/C ORI 100% OPPO RENO 6 PRO 65W SUPER VOOC TYPE-C")</f>
        <v>T/C ORI 100% OPPO RENO 6 PRO 65W SUPER VOOC TYPE-C</v>
      </c>
    </row>
    <row r="745">
      <c r="A745" s="233" t="str">
        <f>IFERROR(__xludf.DUMMYFUNCTION("""COMPUTED_VALUE"""),"T/C Ori 100% Oppo A87 5G 120W Full Black TYPE C")</f>
        <v>T/C Ori 100% Oppo A87 5G 120W Full Black TYPE C</v>
      </c>
      <c r="F745" s="233" t="str">
        <f>IFERROR(__xludf.DUMMYFUNCTION("""COMPUTED_VALUE"""),"T/C Ori 100% Oppo Reno 8 65W SUPER VOOC MIKRO")</f>
        <v>T/C Ori 100% Oppo Reno 8 65W SUPER VOOC MIKRO</v>
      </c>
    </row>
    <row r="746">
      <c r="A746" s="233" t="str">
        <f>IFERROR(__xludf.DUMMYFUNCTION("""COMPUTED_VALUE"""),"T/C Ori 100% Oppo A96 80W type c")</f>
        <v>T/C Ori 100% Oppo A96 80W type c</v>
      </c>
      <c r="F746" s="233" t="str">
        <f>IFERROR(__xludf.DUMMYFUNCTION("""COMPUTED_VALUE"""),"T/C ORI 100% OPPO RENO8 Z 80W SUPER VOOC TYPE-C")</f>
        <v>T/C ORI 100% OPPO RENO8 Z 80W SUPER VOOC TYPE-C</v>
      </c>
    </row>
    <row r="747">
      <c r="A747" s="233" t="str">
        <f>IFERROR(__xludf.DUMMYFUNCTION("""COMPUTED_VALUE"""),"T/C Ori 100% oppo A97 80w micro")</f>
        <v>T/C Ori 100% oppo A97 80w micro</v>
      </c>
      <c r="F747" s="233" t="str">
        <f>IFERROR(__xludf.DUMMYFUNCTION("""COMPUTED_VALUE"""),"T/C Ori 100% Realme Reno 7 65W Mikro")</f>
        <v>T/C Ori 100% Realme Reno 7 65W Mikro</v>
      </c>
    </row>
    <row r="748">
      <c r="A748" s="233" t="str">
        <f>IFERROR(__xludf.DUMMYFUNCTION("""COMPUTED_VALUE"""),"T/C Ori 100% oppo A97 80w type c")</f>
        <v>T/C Ori 100% oppo A97 80w type c</v>
      </c>
      <c r="F748" s="233" t="str">
        <f>IFERROR(__xludf.DUMMYFUNCTION("""COMPUTED_VALUE"""),"T/C Ori 100% PD Oppo Find X6 Pro 240W")</f>
        <v>T/C Ori 100% PD Oppo Find X6 Pro 240W</v>
      </c>
    </row>
    <row r="749">
      <c r="A749" s="233" t="str">
        <f>IFERROR(__xludf.DUMMYFUNCTION("""COMPUTED_VALUE"""),"T/C Ori 100% Oppo FIND N2 120W micro")</f>
        <v>T/C Ori 100% Oppo FIND N2 120W micro</v>
      </c>
      <c r="F749" s="233" t="str">
        <f>IFERROR(__xludf.DUMMYFUNCTION("""COMPUTED_VALUE"""),"T/C ORI 100% OPPO A5 PRO 5G 180W FAST CHARGER TYPE-C")</f>
        <v>T/C ORI 100% OPPO A5 PRO 5G 180W FAST CHARGER TYPE-C</v>
      </c>
    </row>
    <row r="750">
      <c r="A750" s="233" t="str">
        <f>IFERROR(__xludf.DUMMYFUNCTION("""COMPUTED_VALUE"""),"T/C Ori 100% Oppo FIND N2 120W type c")</f>
        <v>T/C Ori 100% Oppo FIND N2 120W type c</v>
      </c>
      <c r="F750" s="233" t="str">
        <f>IFERROR(__xludf.DUMMYFUNCTION("""COMPUTED_VALUE"""),"T/C ORI 100% OPPO A55 80W SUPER VOOC MIKRO")</f>
        <v>T/C ORI 100% OPPO A55 80W SUPER VOOC MIKRO</v>
      </c>
    </row>
    <row r="751">
      <c r="A751" s="233" t="str">
        <f>IFERROR(__xludf.DUMMYFUNCTION("""COMPUTED_VALUE"""),"T/C ORI 100% OPPO RENO 5 PRO SMART CHARGER TYPE-C")</f>
        <v>T/C ORI 100% OPPO RENO 5 PRO SMART CHARGER TYPE-C</v>
      </c>
      <c r="F751" s="233" t="str">
        <f>IFERROR(__xludf.DUMMYFUNCTION("""COMPUTED_VALUE"""),"T/C Ori 100% oppo A97 80w type c")</f>
        <v>T/C Ori 100% oppo A97 80w type c</v>
      </c>
    </row>
    <row r="752">
      <c r="A752" s="233" t="str">
        <f>IFERROR(__xludf.DUMMYFUNCTION("""COMPUTED_VALUE"""),"T/C ORI 100% OPPO RENO 6 PRO 65W SUPER VOOC MIKRO")</f>
        <v>T/C ORI 100% OPPO RENO 6 PRO 65W SUPER VOOC MIKRO</v>
      </c>
      <c r="F752" s="233" t="str">
        <f>IFERROR(__xludf.DUMMYFUNCTION("""COMPUTED_VALUE"""),"T/C Ori 100% Oppo A96 80W type c")</f>
        <v>T/C Ori 100% Oppo A96 80W type c</v>
      </c>
    </row>
    <row r="753">
      <c r="A753" s="233" t="str">
        <f>IFERROR(__xludf.DUMMYFUNCTION("""COMPUTED_VALUE"""),"T/C ORI 100% OPPO RENO 6 PRO 65W SUPER VOOC TYPE-C")</f>
        <v>T/C ORI 100% OPPO RENO 6 PRO 65W SUPER VOOC TYPE-C</v>
      </c>
      <c r="F753" s="233" t="str">
        <f>IFERROR(__xludf.DUMMYFUNCTION("""COMPUTED_VALUE"""),"T/C Ori 100% Infinix Note 12i 120W MICRO")</f>
        <v>T/C Ori 100% Infinix Note 12i 120W MICRO</v>
      </c>
    </row>
    <row r="754">
      <c r="A754" s="233" t="str">
        <f>IFERROR(__xludf.DUMMYFUNCTION("""COMPUTED_VALUE"""),"T/C ORI 100% OPPO RENO 7 PRO 65W SUPER VOOC TYPPE-C")</f>
        <v>T/C ORI 100% OPPO RENO 7 PRO 65W SUPER VOOC TYPPE-C</v>
      </c>
      <c r="F754" s="233" t="str">
        <f>IFERROR(__xludf.DUMMYFUNCTION("""COMPUTED_VALUE"""),"T/C Ori 100% 180 W GAN QUICK CHARGER MICRO 139")</f>
        <v>T/C Ori 100% 180 W GAN QUICK CHARGER MICRO 139</v>
      </c>
    </row>
    <row r="755">
      <c r="A755" s="233" t="str">
        <f>IFERROR(__xludf.DUMMYFUNCTION("""COMPUTED_VALUE"""),"T/C Ori 100% Oppo Reno 8 65W SUPER VOOC MIKRO")</f>
        <v>T/C Ori 100% Oppo Reno 8 65W SUPER VOOC MIKRO</v>
      </c>
      <c r="F755" s="233" t="str">
        <f>IFERROR(__xludf.DUMMYFUNCTION("""COMPUTED_VALUE"""),"T/C Ori 100% 180 W GAN QUICK CHARGER TYPE C")</f>
        <v>T/C Ori 100% 180 W GAN QUICK CHARGER TYPE C</v>
      </c>
    </row>
    <row r="756">
      <c r="A756" s="233" t="str">
        <f>IFERROR(__xludf.DUMMYFUNCTION("""COMPUTED_VALUE"""),"T/C Ori 100% Oppo Reno 8T 5G 120W micro")</f>
        <v>T/C Ori 100% Oppo Reno 8T 5G 120W micro</v>
      </c>
      <c r="F756" s="233" t="str">
        <f>IFERROR(__xludf.DUMMYFUNCTION("""COMPUTED_VALUE"""),"T/C Ori 100% 280w REDMI 14C")</f>
        <v>T/C Ori 100% 280w REDMI 14C</v>
      </c>
    </row>
    <row r="757">
      <c r="A757" s="233" t="str">
        <f>IFERROR(__xludf.DUMMYFUNCTION("""COMPUTED_VALUE"""),"T/C Ori 100% Oppo Reno 8T 5G 120W Type C")</f>
        <v>T/C Ori 100% Oppo Reno 8T 5G 120W Type C</v>
      </c>
      <c r="F757" s="233" t="str">
        <f>IFERROR(__xludf.DUMMYFUNCTION("""COMPUTED_VALUE"""),"T/C Ori 100% Samsung 280w A23")</f>
        <v>T/C Ori 100% Samsung 280w A23</v>
      </c>
    </row>
    <row r="758">
      <c r="A758" s="233" t="str">
        <f>IFERROR(__xludf.DUMMYFUNCTION("""COMPUTED_VALUE"""),"T/C ORI 100% OPPO RENO ACE 2 65W SUPER FLASH CHARGE MIKRO")</f>
        <v>T/C ORI 100% OPPO RENO ACE 2 65W SUPER FLASH CHARGE MIKRO</v>
      </c>
      <c r="F758" s="233" t="str">
        <f>IFERROR(__xludf.DUMMYFUNCTION("""COMPUTED_VALUE"""),"TC Ori 100% Fast Charging Vivo TYPE C")</f>
        <v>TC Ori 100% Fast Charging Vivo TYPE C</v>
      </c>
    </row>
    <row r="759">
      <c r="A759" s="233" t="str">
        <f>IFERROR(__xludf.DUMMYFUNCTION("""COMPUTED_VALUE"""),"T/C ORI 100% OPPO RENO ACE 2 65W SUPER FLASH CHARGE TYPE-C")</f>
        <v>T/C ORI 100% OPPO RENO ACE 2 65W SUPER FLASH CHARGE TYPE-C</v>
      </c>
      <c r="F759" s="233" t="str">
        <f>IFERROR(__xludf.DUMMYFUNCTION("""COMPUTED_VALUE"""),"T/C Ori 100 Samsung PD Type-C To C , 25watt")</f>
        <v>T/C Ori 100 Samsung PD Type-C To C , 25watt</v>
      </c>
    </row>
    <row r="760">
      <c r="A760" s="233" t="str">
        <f>IFERROR(__xludf.DUMMYFUNCTION("""COMPUTED_VALUE"""),"T/C ORI 100% OPPO RENO8 Z 80W SUPER VOOC TYPE-C")</f>
        <v>T/C ORI 100% OPPO RENO8 Z 80W SUPER VOOC TYPE-C</v>
      </c>
      <c r="F760" s="233" t="str">
        <f>IFERROR(__xludf.DUMMYFUNCTION("""COMPUTED_VALUE"""),"TC Ori 99% Samsung N20 , PD Type-C To C , 45watt")</f>
        <v>TC Ori 99% Samsung N20 , PD Type-C To C , 45watt</v>
      </c>
    </row>
    <row r="761">
      <c r="A761" s="233" t="str">
        <f>IFERROR(__xludf.DUMMYFUNCTION("""COMPUTED_VALUE"""),"T/C Ori 100% PD Oppo Find X6 Pro 240W")</f>
        <v>T/C Ori 100% PD Oppo Find X6 Pro 240W</v>
      </c>
      <c r="F761" s="233" t="str">
        <f>IFERROR(__xludf.DUMMYFUNCTION("""COMPUTED_VALUE"""),"T/C Ori 100% Iphone 14 PD 25Watt")</f>
        <v>T/C Ori 100% Iphone 14 PD 25Watt</v>
      </c>
    </row>
    <row r="762">
      <c r="A762" s="233" t="str">
        <f>IFERROR(__xludf.DUMMYFUNCTION("""COMPUTED_VALUE"""),"T/C Ori 100% Poco X5 240W MICRO")</f>
        <v>T/C Ori 100% Poco X5 240W MICRO</v>
      </c>
      <c r="F762" s="233" t="str">
        <f>IFERROR(__xludf.DUMMYFUNCTION("""COMPUTED_VALUE"""),"TC Ori 100% GAN, Kode : 219 , 180W TYPE C")</f>
        <v>TC Ori 100% GAN, Kode : 219 , 180W TYPE C</v>
      </c>
    </row>
    <row r="763">
      <c r="A763" s="233" t="str">
        <f>IFERROR(__xludf.DUMMYFUNCTION("""COMPUTED_VALUE"""),"T/C Ori 100% Poco X5 240W TYPE C")</f>
        <v>T/C Ori 100% Poco X5 240W TYPE C</v>
      </c>
      <c r="F763" s="233" t="str">
        <f>IFERROR(__xludf.DUMMYFUNCTION("""COMPUTED_VALUE"""),"TC Ori 100% GAN, Kode : 219 , 180W MICRO")</f>
        <v>TC Ori 100% GAN, Kode : 219 , 180W MICRO</v>
      </c>
    </row>
    <row r="764">
      <c r="A764" s="233" t="str">
        <f>IFERROR(__xludf.DUMMYFUNCTION("""COMPUTED_VALUE"""),"T/C Ori 100% Realme Reno 7 65W Mikro")</f>
        <v>T/C Ori 100% Realme Reno 7 65W Mikro</v>
      </c>
      <c r="F764" s="233" t="str">
        <f>IFERROR(__xludf.DUMMYFUNCTION("""COMPUTED_VALUE"""),"TC Ori 100% Samsung Note 10 Real 25W + Fast Charging ( Type C - Type C)")</f>
        <v>TC Ori 100% Samsung Note 10 Real 25W + Fast Charging ( Type C - Type C)</v>
      </c>
    </row>
    <row r="765">
      <c r="A765" s="233" t="str">
        <f>IFERROR(__xludf.DUMMYFUNCTION("""COMPUTED_VALUE"""),"T/C Ori 100% Realmi 10 80W MICRO")</f>
        <v>T/C Ori 100% Realmi 10 80W MICRO</v>
      </c>
      <c r="F765" s="233" t="str">
        <f>IFERROR(__xludf.DUMMYFUNCTION("""COMPUTED_VALUE"""),"TC Ori 100% Iphone X")</f>
        <v>TC Ori 100% Iphone X</v>
      </c>
    </row>
    <row r="766">
      <c r="A766" s="233" t="str">
        <f>IFERROR(__xludf.DUMMYFUNCTION("""COMPUTED_VALUE"""),"T/C Ori 100% Realmi 10 80W TYPE C")</f>
        <v>T/C Ori 100% Realmi 10 80W TYPE C</v>
      </c>
      <c r="F766" s="233" t="str">
        <f>IFERROR(__xludf.DUMMYFUNCTION("""COMPUTED_VALUE"""),"TC Ori 100% Fast Charging Vivo V23 TYPE C")</f>
        <v>TC Ori 100% Fast Charging Vivo V23 TYPE C</v>
      </c>
    </row>
    <row r="767">
      <c r="A767" s="233" t="str">
        <f>IFERROR(__xludf.DUMMYFUNCTION("""COMPUTED_VALUE"""),"T/C Ori 100% Realmi 13 120W micro")</f>
        <v>T/C Ori 100% Realmi 13 120W micro</v>
      </c>
      <c r="F767" s="233" t="str">
        <f>IFERROR(__xludf.DUMMYFUNCTION("""COMPUTED_VALUE"""),"TC Ori 100% Fast Charging Vivo V23 MICRO")</f>
        <v>TC Ori 100% Fast Charging Vivo V23 MICRO</v>
      </c>
    </row>
    <row r="768">
      <c r="A768" s="233" t="str">
        <f>IFERROR(__xludf.DUMMYFUNCTION("""COMPUTED_VALUE"""),"T/C Ori 100% Realmi 13 120W type c")</f>
        <v>T/C Ori 100% Realmi 13 120W type c</v>
      </c>
      <c r="F768" s="233" t="str">
        <f>IFERROR(__xludf.DUMMYFUNCTION("""COMPUTED_VALUE"""),"TC Ori 100% 2A Vivo X27 TYPE C")</f>
        <v>TC Ori 100% 2A Vivo X27 TYPE C</v>
      </c>
    </row>
    <row r="769">
      <c r="A769" s="233" t="str">
        <f>IFERROR(__xludf.DUMMYFUNCTION("""COMPUTED_VALUE"""),"T/C Ori 100% Realmi X7 Pro 120W micro")</f>
        <v>T/C Ori 100% Realmi X7 Pro 120W micro</v>
      </c>
      <c r="F769" s="233" t="str">
        <f>IFERROR(__xludf.DUMMYFUNCTION("""COMPUTED_VALUE"""),"TC Ori 100% 2A Vivo X27 MICRO")</f>
        <v>TC Ori 100% 2A Vivo X27 MICRO</v>
      </c>
    </row>
    <row r="770">
      <c r="A770" s="233" t="str">
        <f>IFERROR(__xludf.DUMMYFUNCTION("""COMPUTED_VALUE"""),"T/C Ori 100% Realmi X7 Pro 120W type c")</f>
        <v>T/C Ori 100% Realmi X7 Pro 120W type c</v>
      </c>
      <c r="F770" s="233" t="str">
        <f>IFERROR(__xludf.DUMMYFUNCTION("""COMPUTED_VALUE"""),"T/C Ori 100% Xiaomi Turbo M13 120W (SKU RJA-T-CO-0817)")</f>
        <v>T/C Ori 100% Xiaomi Turbo M13 120W (SKU RJA-T-CO-0817)</v>
      </c>
    </row>
    <row r="771">
      <c r="A771" s="233" t="str">
        <f>IFERROR(__xludf.DUMMYFUNCTION("""COMPUTED_VALUE"""),"T/C Ori 100% Redmi 12 80W micro")</f>
        <v>T/C Ori 100% Redmi 12 80W micro</v>
      </c>
      <c r="F771" s="233" t="str">
        <f>IFERROR(__xludf.DUMMYFUNCTION("""COMPUTED_VALUE"""),"T/C Ori 100% Xiaomi 33W type c")</f>
        <v>T/C Ori 100% Xiaomi 33W type c</v>
      </c>
    </row>
    <row r="772">
      <c r="A772" s="233" t="str">
        <f>IFERROR(__xludf.DUMMYFUNCTION("""COMPUTED_VALUE"""),"T/C Ori 100% Redmi 12 80W type c")</f>
        <v>T/C Ori 100% Redmi 12 80W type c</v>
      </c>
      <c r="F772" s="233" t="str">
        <f>IFERROR(__xludf.DUMMYFUNCTION("""COMPUTED_VALUE"""),"T/C Ori 100% Xiaomi 33W micro")</f>
        <v>T/C Ori 100% Xiaomi 33W micro</v>
      </c>
    </row>
    <row r="773">
      <c r="A773" s="233" t="str">
        <f>IFERROR(__xludf.DUMMYFUNCTION("""COMPUTED_VALUE"""),"T/C Ori 100% Samsung 280w A23")</f>
        <v>T/C Ori 100% Samsung 280w A23</v>
      </c>
      <c r="F773" s="233" t="str">
        <f>IFERROR(__xludf.DUMMYFUNCTION("""COMPUTED_VALUE"""),"T/C Ori 100% Xiaomi 13 Pro 180W TYPE C (SKU RJA-T-CO-0820)")</f>
        <v>T/C Ori 100% Xiaomi 13 Pro 180W TYPE C (SKU RJA-T-CO-0820)</v>
      </c>
    </row>
    <row r="774">
      <c r="A774" s="233" t="str">
        <f>IFERROR(__xludf.DUMMYFUNCTION("""COMPUTED_VALUE"""),"T/C Ori 100% Vivo T1 5G 120W micro")</f>
        <v>T/C Ori 100% Vivo T1 5G 120W micro</v>
      </c>
      <c r="F774" s="233" t="str">
        <f>IFERROR(__xludf.DUMMYFUNCTION("""COMPUTED_VALUE"""),"T/C Ori 100% Xiaomi 13 Pro 180W TYPE C (SKU RJA-T-CO-0821)")</f>
        <v>T/C Ori 100% Xiaomi 13 Pro 180W TYPE C (SKU RJA-T-CO-0821)</v>
      </c>
    </row>
    <row r="775">
      <c r="A775" s="233" t="str">
        <f>IFERROR(__xludf.DUMMYFUNCTION("""COMPUTED_VALUE"""),"T/C Ori 100% Vivo V25 Pro 80W MICRO")</f>
        <v>T/C Ori 100% Vivo V25 Pro 80W MICRO</v>
      </c>
      <c r="F775" s="233" t="str">
        <f>IFERROR(__xludf.DUMMYFUNCTION("""COMPUTED_VALUE"""),"T/C Ori 100% Xiaomi 13 Pro 180W MICRO (SKU RJA-T-CO-0822)")</f>
        <v>T/C Ori 100% Xiaomi 13 Pro 180W MICRO (SKU RJA-T-CO-0822)</v>
      </c>
    </row>
    <row r="776">
      <c r="A776" s="233" t="str">
        <f>IFERROR(__xludf.DUMMYFUNCTION("""COMPUTED_VALUE"""),"T/C Ori 100% Vivo V25 Pro 80W TYPE C")</f>
        <v>T/C Ori 100% Vivo V25 Pro 80W TYPE C</v>
      </c>
      <c r="F776" s="233" t="str">
        <f>IFERROR(__xludf.DUMMYFUNCTION("""COMPUTED_VALUE"""),"T/C Ori 100% Xiaomi 13 Pro 180W MICRO (SKU RJA-T-CO-0823)")</f>
        <v>T/C Ori 100% Xiaomi 13 Pro 180W MICRO (SKU RJA-T-CO-0823)</v>
      </c>
    </row>
    <row r="777">
      <c r="A777" s="233" t="str">
        <f>IFERROR(__xludf.DUMMYFUNCTION("""COMPUTED_VALUE"""),"T/C ORI 100% VIVO X FOLD + FAST CHARGER 65W MIKRO")</f>
        <v>T/C ORI 100% VIVO X FOLD + FAST CHARGER 65W MIKRO</v>
      </c>
      <c r="F777" s="233" t="str">
        <f>IFERROR(__xludf.DUMMYFUNCTION("""COMPUTED_VALUE"""),"T/C Ori 100% Vivo X90 Pro 80W TYPE C")</f>
        <v>T/C Ori 100% Vivo X90 Pro 80W TYPE C</v>
      </c>
    </row>
    <row r="778">
      <c r="A778" s="233" t="str">
        <f>IFERROR(__xludf.DUMMYFUNCTION("""COMPUTED_VALUE"""),"T/C ORI 100% VIVO X FOLD + FAST CHARGER 65W TYPE-C")</f>
        <v>T/C ORI 100% VIVO X FOLD + FAST CHARGER 65W TYPE-C</v>
      </c>
      <c r="F778" s="233" t="str">
        <f>IFERROR(__xludf.DUMMYFUNCTION("""COMPUTED_VALUE"""),"T/C Ori 100% Vivo X90 Pro 80W MICRO")</f>
        <v>T/C Ori 100% Vivo X90 Pro 80W MICRO</v>
      </c>
    </row>
    <row r="779">
      <c r="A779" s="233" t="str">
        <f>IFERROR(__xludf.DUMMYFUNCTION("""COMPUTED_VALUE"""),"T/C Ori 100% Vivo X90 Pro 80W MICRO")</f>
        <v>T/C Ori 100% Vivo X90 Pro 80W MICRO</v>
      </c>
      <c r="F779" s="233" t="str">
        <f>IFERROR(__xludf.DUMMYFUNCTION("""COMPUTED_VALUE"""),"T/C Ori 100% Vivo V25 Pro 80W TYPE C")</f>
        <v>T/C Ori 100% Vivo V25 Pro 80W TYPE C</v>
      </c>
    </row>
    <row r="780">
      <c r="A780" s="233" t="str">
        <f>IFERROR(__xludf.DUMMYFUNCTION("""COMPUTED_VALUE"""),"T/C Ori 100% Vivo X90 Pro 80W TYPE C")</f>
        <v>T/C Ori 100% Vivo X90 Pro 80W TYPE C</v>
      </c>
      <c r="F780" s="233" t="str">
        <f>IFERROR(__xludf.DUMMYFUNCTION("""COMPUTED_VALUE"""),"T/C Ori 100% Vivo V25 Pro 80W MICRO")</f>
        <v>T/C Ori 100% Vivo V25 Pro 80W MICRO</v>
      </c>
    </row>
    <row r="781">
      <c r="A781" s="233" t="str">
        <f>IFERROR(__xludf.DUMMYFUNCTION("""COMPUTED_VALUE"""),"T/C Ori 100% Xiaomi 13 Pro 180W MICRO (SKU RJA-T-CO-0822)")</f>
        <v>T/C Ori 100% Xiaomi 13 Pro 180W MICRO (SKU RJA-T-CO-0822)</v>
      </c>
      <c r="F781" s="233" t="str">
        <f>IFERROR(__xludf.DUMMYFUNCTION("""COMPUTED_VALUE"""),"T/C Ori 100% Vivo T1 5G 120W micro")</f>
        <v>T/C Ori 100% Vivo T1 5G 120W micro</v>
      </c>
    </row>
    <row r="782">
      <c r="A782" s="233" t="str">
        <f>IFERROR(__xludf.DUMMYFUNCTION("""COMPUTED_VALUE"""),"T/C Ori 100% Xiaomi 13 Pro 180W MICRO (SKU RJA-T-CO-0823)")</f>
        <v>T/C Ori 100% Xiaomi 13 Pro 180W MICRO (SKU RJA-T-CO-0823)</v>
      </c>
      <c r="F782" s="233" t="str">
        <f>IFERROR(__xludf.DUMMYFUNCTION("""COMPUTED_VALUE"""),"T/C Ori 100% Redmi 12 80W type c")</f>
        <v>T/C Ori 100% Redmi 12 80W type c</v>
      </c>
    </row>
    <row r="783">
      <c r="A783" s="233" t="str">
        <f>IFERROR(__xludf.DUMMYFUNCTION("""COMPUTED_VALUE"""),"T/C Ori 100% Xiaomi 13 Pro 180W TYPE C (SKU RJA-T-CO-0820)")</f>
        <v>T/C Ori 100% Xiaomi 13 Pro 180W TYPE C (SKU RJA-T-CO-0820)</v>
      </c>
      <c r="F783" s="233" t="str">
        <f>IFERROR(__xludf.DUMMYFUNCTION("""COMPUTED_VALUE"""),"T/C Ori 100% Redmi 12 80W micro")</f>
        <v>T/C Ori 100% Redmi 12 80W micro</v>
      </c>
    </row>
    <row r="784">
      <c r="A784" s="233" t="str">
        <f>IFERROR(__xludf.DUMMYFUNCTION("""COMPUTED_VALUE"""),"T/C Ori 100% Xiaomi 13 Pro 180W TYPE C (SKU RJA-T-CO-0821)")</f>
        <v>T/C Ori 100% Xiaomi 13 Pro 180W TYPE C (SKU RJA-T-CO-0821)</v>
      </c>
      <c r="F784" s="233" t="str">
        <f>IFERROR(__xludf.DUMMYFUNCTION("""COMPUTED_VALUE"""),"T/C Ori 100% Realmi X7 Pro 120W type c")</f>
        <v>T/C Ori 100% Realmi X7 Pro 120W type c</v>
      </c>
    </row>
    <row r="785">
      <c r="A785" s="233" t="str">
        <f>IFERROR(__xludf.DUMMYFUNCTION("""COMPUTED_VALUE"""),"T/C Ori 100% Xiaomi 33W micro")</f>
        <v>T/C Ori 100% Xiaomi 33W micro</v>
      </c>
      <c r="F785" s="233" t="str">
        <f>IFERROR(__xludf.DUMMYFUNCTION("""COMPUTED_VALUE"""),"T/C Ori 100% Realmi 13 120W type c")</f>
        <v>T/C Ori 100% Realmi 13 120W type c</v>
      </c>
    </row>
    <row r="786">
      <c r="A786" s="233" t="str">
        <f>IFERROR(__xludf.DUMMYFUNCTION("""COMPUTED_VALUE"""),"T/C Ori 100% Xiaomi 33W type c")</f>
        <v>T/C Ori 100% Xiaomi 33W type c</v>
      </c>
      <c r="F786" s="233" t="str">
        <f>IFERROR(__xludf.DUMMYFUNCTION("""COMPUTED_VALUE"""),"T/C Ori 100% Realmi 10 80W MICRO")</f>
        <v>T/C Ori 100% Realmi 10 80W MICRO</v>
      </c>
    </row>
    <row r="787">
      <c r="A787" s="233" t="str">
        <f>IFERROR(__xludf.DUMMYFUNCTION("""COMPUTED_VALUE"""),"T/C Ori 100% Xiaomi Turbo M13 120W (SKU RJA-T-CO-0774)")</f>
        <v>T/C Ori 100% Xiaomi Turbo M13 120W (SKU RJA-T-CO-0774)</v>
      </c>
      <c r="F787" s="233" t="str">
        <f>IFERROR(__xludf.DUMMYFUNCTION("""COMPUTED_VALUE"""),"T/C Ori 100% Poco X5 240W TYPE C")</f>
        <v>T/C Ori 100% Poco X5 240W TYPE C</v>
      </c>
    </row>
    <row r="788">
      <c r="A788" s="233" t="str">
        <f>IFERROR(__xludf.DUMMYFUNCTION("""COMPUTED_VALUE"""),"T/C Ori 100% Xiaomi Turbo M13 120W (SKU RJA-T-CO-0817)")</f>
        <v>T/C Ori 100% Xiaomi Turbo M13 120W (SKU RJA-T-CO-0817)</v>
      </c>
      <c r="F788" s="233" t="str">
        <f>IFERROR(__xludf.DUMMYFUNCTION("""COMPUTED_VALUE"""),"T/C Ori 100% Oppo Reno 8T 5G 120W Type C")</f>
        <v>T/C Ori 100% Oppo Reno 8T 5G 120W Type C</v>
      </c>
    </row>
    <row r="789">
      <c r="A789" s="233" t="str">
        <f>IFERROR(__xludf.DUMMYFUNCTION("""COMPUTED_VALUE"""),"T/C Ori 99% Iphone 14 Pro Max, 20Watt")</f>
        <v>T/C Ori 99% Iphone 14 Pro Max, 20Watt</v>
      </c>
      <c r="F789" s="233" t="str">
        <f>IFERROR(__xludf.DUMMYFUNCTION("""COMPUTED_VALUE"""),"T/C Ori 100% Oppo Reno 8T 5G 120W micro")</f>
        <v>T/C Ori 100% Oppo Reno 8T 5G 120W micro</v>
      </c>
    </row>
    <row r="790">
      <c r="A790" s="233" t="str">
        <f>IFERROR(__xludf.DUMMYFUNCTION("""COMPUTED_VALUE"""),"T/C ORI 99% Iphone 16 Pro Max 35W")</f>
        <v>T/C ORI 99% Iphone 16 Pro Max 35W</v>
      </c>
      <c r="F790" s="233" t="str">
        <f>IFERROR(__xludf.DUMMYFUNCTION("""COMPUTED_VALUE"""),"T/C Ori 100% Oppo FIND N2 120W type c")</f>
        <v>T/C Ori 100% Oppo FIND N2 120W type c</v>
      </c>
    </row>
    <row r="791">
      <c r="A791" s="233" t="str">
        <f>IFERROR(__xludf.DUMMYFUNCTION("""COMPUTED_VALUE"""),"T/C P-55 100W Adapter Suit 2in1")</f>
        <v>T/C P-55 100W Adapter Suit 2in1</v>
      </c>
      <c r="F791" s="233" t="str">
        <f>IFERROR(__xludf.DUMMYFUNCTION("""COMPUTED_VALUE"""),"T/C Ori 100% Oppo FIND N2 120W micro")</f>
        <v>T/C Ori 100% Oppo FIND N2 120W micro</v>
      </c>
    </row>
    <row r="792">
      <c r="A792" s="233" t="str">
        <f>IFERROR(__xludf.DUMMYFUNCTION("""COMPUTED_VALUE"""),"T/C RI 99% Iphone 20W")</f>
        <v>T/C RI 99% Iphone 20W</v>
      </c>
      <c r="F792" s="233" t="str">
        <f>IFERROR(__xludf.DUMMYFUNCTION("""COMPUTED_VALUE"""),"T/C Ori 100% oppo A97 80w micro")</f>
        <v>T/C Ori 100% oppo A97 80w micro</v>
      </c>
    </row>
    <row r="793">
      <c r="A793" s="233" t="str">
        <f>IFERROR(__xludf.DUMMYFUNCTION("""COMPUTED_VALUE"""),"TALI GANTUNGAN HP")</f>
        <v>TALI GANTUNGAN HP</v>
      </c>
      <c r="F793" s="233" t="str">
        <f>IFERROR(__xludf.DUMMYFUNCTION("""COMPUTED_VALUE"""),"T/C Ori 100% Oppo A87 5G 120W Full Black TYPE C")</f>
        <v>T/C Ori 100% Oppo A87 5G 120W Full Black TYPE C</v>
      </c>
    </row>
    <row r="794">
      <c r="A794" s="233" t="str">
        <f>IFERROR(__xludf.DUMMYFUNCTION("""COMPUTED_VALUE"""),"TALI HP LANYARD GANTUNGAN")</f>
        <v>TALI HP LANYARD GANTUNGAN</v>
      </c>
      <c r="F794" s="233" t="str">
        <f>IFERROR(__xludf.DUMMYFUNCTION("""COMPUTED_VALUE"""),"T/C Ori 100% Oppo A87 5G 120W Full Black MICRO")</f>
        <v>T/C Ori 100% Oppo A87 5G 120W Full Black MICRO</v>
      </c>
    </row>
    <row r="795">
      <c r="A795" s="233" t="str">
        <f>IFERROR(__xludf.DUMMYFUNCTION("""COMPUTED_VALUE"""),"TALI NAME TAG")</f>
        <v>TALI NAME TAG</v>
      </c>
      <c r="F795" s="233" t="str">
        <f>IFERROR(__xludf.DUMMYFUNCTION("""COMPUTED_VALUE"""),"T/C Ori 100% Oppo A79 5G 120W TYPE C")</f>
        <v>T/C Ori 100% Oppo A79 5G 120W TYPE C</v>
      </c>
    </row>
    <row r="796">
      <c r="A796" s="233" t="str">
        <f>IFERROR(__xludf.DUMMYFUNCTION("""COMPUTED_VALUE"""),"TC Ori 100% 2A Vivo X27 MICRO")</f>
        <v>TC Ori 100% 2A Vivo X27 MICRO</v>
      </c>
      <c r="F796" s="233" t="str">
        <f>IFERROR(__xludf.DUMMYFUNCTION("""COMPUTED_VALUE"""),"T/C Ori 100% Oppo A79 5G 120W MICRO")</f>
        <v>T/C Ori 100% Oppo A79 5G 120W MICRO</v>
      </c>
    </row>
    <row r="797">
      <c r="A797" s="233" t="str">
        <f>IFERROR(__xludf.DUMMYFUNCTION("""COMPUTED_VALUE"""),"TC Ori 100% 2A Vivo X27 TYPE C")</f>
        <v>TC Ori 100% 2A Vivo X27 TYPE C</v>
      </c>
      <c r="F797" s="233" t="str">
        <f>IFERROR(__xludf.DUMMYFUNCTION("""COMPUTED_VALUE"""),"T/C Ori 100% Oppo A58 5G 120W TYPEC")</f>
        <v>T/C Ori 100% Oppo A58 5G 120W TYPEC</v>
      </c>
    </row>
    <row r="798">
      <c r="A798" s="233" t="str">
        <f>IFERROR(__xludf.DUMMYFUNCTION("""COMPUTED_VALUE"""),"TC Ori 100% Fast Charging Vivo TYPE C")</f>
        <v>TC Ori 100% Fast Charging Vivo TYPE C</v>
      </c>
      <c r="F798" s="233" t="str">
        <f>IFERROR(__xludf.DUMMYFUNCTION("""COMPUTED_VALUE"""),"T/C Ori 100% Oppo A58 5G 120W MICRO")</f>
        <v>T/C Ori 100% Oppo A58 5G 120W MICRO</v>
      </c>
    </row>
    <row r="799">
      <c r="A799" s="233" t="str">
        <f>IFERROR(__xludf.DUMMYFUNCTION("""COMPUTED_VALUE"""),"TC Ori 100% Fast Charging Vivo V23 MICRO")</f>
        <v>TC Ori 100% Fast Charging Vivo V23 MICRO</v>
      </c>
      <c r="F799" s="233" t="str">
        <f>IFERROR(__xludf.DUMMYFUNCTION("""COMPUTED_VALUE"""),"T/C Ori 100% Iphone14 Pro max 2Lubang PD")</f>
        <v>T/C Ori 100% Iphone14 Pro max 2Lubang PD</v>
      </c>
    </row>
    <row r="800">
      <c r="A800" s="233" t="str">
        <f>IFERROR(__xludf.DUMMYFUNCTION("""COMPUTED_VALUE"""),"TC Ori 100% Fast Charging Vivo V23 TYPE C")</f>
        <v>TC Ori 100% Fast Charging Vivo V23 TYPE C</v>
      </c>
      <c r="F800" s="233" t="str">
        <f>IFERROR(__xludf.DUMMYFUNCTION("""COMPUTED_VALUE"""),"T/C Ori 100% iphone12 20W")</f>
        <v>T/C Ori 100% iphone12 20W</v>
      </c>
    </row>
    <row r="801">
      <c r="A801" s="233" t="str">
        <f>IFERROR(__xludf.DUMMYFUNCTION("""COMPUTED_VALUE"""),"TC Ori 100% GAN, Kode : 219 , 180W MICRO")</f>
        <v>TC Ori 100% GAN, Kode : 219 , 180W MICRO</v>
      </c>
      <c r="F801" s="233" t="str">
        <f>IFERROR(__xludf.DUMMYFUNCTION("""COMPUTED_VALUE"""),"T/C Ori 100% Infinix Zero 5G 120W type c")</f>
        <v>T/C Ori 100% Infinix Zero 5G 120W type c</v>
      </c>
    </row>
    <row r="802">
      <c r="A802" s="233" t="str">
        <f>IFERROR(__xludf.DUMMYFUNCTION("""COMPUTED_VALUE"""),"TC Ori 100% GAN, Kode : 219 , 180W TYPE C")</f>
        <v>TC Ori 100% GAN, Kode : 219 , 180W TYPE C</v>
      </c>
      <c r="F802" s="233" t="str">
        <f>IFERROR(__xludf.DUMMYFUNCTION("""COMPUTED_VALUE"""),"T/C Ori 100% Infinix Zero 5G 120W micro")</f>
        <v>T/C Ori 100% Infinix Zero 5G 120W micro</v>
      </c>
    </row>
    <row r="803">
      <c r="A803" s="233" t="str">
        <f>IFERROR(__xludf.DUMMYFUNCTION("""COMPUTED_VALUE"""),"TC Ori 100% Iphone X")</f>
        <v>TC Ori 100% Iphone X</v>
      </c>
      <c r="F803" s="233" t="str">
        <f>IFERROR(__xludf.DUMMYFUNCTION("""COMPUTED_VALUE"""),"T/C Ori 100% Infinix Zero 30 5G 280W type c")</f>
        <v>T/C Ori 100% Infinix Zero 30 5G 280W type c</v>
      </c>
    </row>
    <row r="804">
      <c r="A804" s="233" t="str">
        <f>IFERROR(__xludf.DUMMYFUNCTION("""COMPUTED_VALUE"""),"TC Ori 100% Samsung Note 10 Real 25W + Fast Charging ( Type C - Type C)")</f>
        <v>TC Ori 100% Samsung Note 10 Real 25W + Fast Charging ( Type C - Type C)</v>
      </c>
      <c r="F804" s="233" t="str">
        <f>IFERROR(__xludf.DUMMYFUNCTION("""COMPUTED_VALUE"""),"T/C Ori 100% Infinix Note 12i 120W TYPE C")</f>
        <v>T/C Ori 100% Infinix Note 12i 120W TYPE C</v>
      </c>
    </row>
    <row r="805">
      <c r="A805" s="233" t="str">
        <f>IFERROR(__xludf.DUMMYFUNCTION("""COMPUTED_VALUE"""),"TC Ori 99% Samsung N20 , PD Type-C To C , 45watt")</f>
        <v>TC Ori 99% Samsung N20 , PD Type-C To C , 45watt</v>
      </c>
      <c r="F805" s="233" t="str">
        <f>IFERROR(__xludf.DUMMYFUNCTION("""COMPUTED_VALUE"""),"T/C P-55 100W Adapter Suit 2in1")</f>
        <v>T/C P-55 100W Adapter Suit 2in1</v>
      </c>
    </row>
    <row r="806">
      <c r="A806" s="233" t="str">
        <f>IFERROR(__xludf.DUMMYFUNCTION("""COMPUTED_VALUE"""),"TEMPAT WADAH TEMPEL SERBAGUNA")</f>
        <v>TEMPAT WADAH TEMPEL SERBAGUNA</v>
      </c>
      <c r="F806" s="233" t="str">
        <f>IFERROR(__xludf.DUMMYFUNCTION("""COMPUTED_VALUE"""),"T/C RI 99% Iphone 20W")</f>
        <v>T/C RI 99% Iphone 20W</v>
      </c>
    </row>
    <row r="807">
      <c r="A807" s="233" t="str">
        <f>IFERROR(__xludf.DUMMYFUNCTION("""COMPUTED_VALUE"""),"tempelan gurita hitam")</f>
        <v>tempelan gurita hitam</v>
      </c>
      <c r="F807" s="233" t="str">
        <f>IFERROR(__xludf.DUMMYFUNCTION("""COMPUTED_VALUE"""),"TEMPAT WADAH TEMPEL SERBAGUNA")</f>
        <v>TEMPAT WADAH TEMPEL SERBAGUNA</v>
      </c>
    </row>
    <row r="808">
      <c r="A808" s="233" t="str">
        <f>IFERROR(__xludf.DUMMYFUNCTION("""COMPUTED_VALUE"""),"TRAVEL CHARGER 11 25 W H A-C BLACK")</f>
        <v>TRAVEL CHARGER 11 25 W H A-C BLACK</v>
      </c>
      <c r="F808" s="233" t="str">
        <f>IFERROR(__xludf.DUMMYFUNCTION("""COMPUTED_VALUE"""),"tempelan gurita hitam")</f>
        <v>tempelan gurita hitam</v>
      </c>
    </row>
    <row r="809">
      <c r="A809" s="233" t="str">
        <f>IFERROR(__xludf.DUMMYFUNCTION("""COMPUTED_VALUE"""),"TRAVEL CHARGER ACOME AC01 18W")</f>
        <v>TRAVEL CHARGER ACOME AC01 18W</v>
      </c>
      <c r="F809" s="233" t="str">
        <f>IFERROR(__xludf.DUMMYFUNCTION("""COMPUTED_VALUE"""),"TRAVEL CHARGER SAMSUNG GALAXY ORI 5W")</f>
        <v>TRAVEL CHARGER SAMSUNG GALAXY ORI 5W</v>
      </c>
    </row>
    <row r="810">
      <c r="A810" s="233" t="str">
        <f>IFERROR(__xludf.DUMMYFUNCTION("""COMPUTED_VALUE"""),"TRAVEL CHARGER CW 03 2.4 A B MICRO BLACK")</f>
        <v>TRAVEL CHARGER CW 03 2.4 A B MICRO BLACK</v>
      </c>
      <c r="F810" s="233" t="str">
        <f>IFERROR(__xludf.DUMMYFUNCTION("""COMPUTED_VALUE"""),"TRAVEL CHARGER VIVO 2XUSB 3.1")</f>
        <v>TRAVEL CHARGER VIVO 2XUSB 3.1</v>
      </c>
    </row>
    <row r="811">
      <c r="A811" s="233" t="str">
        <f>IFERROR(__xludf.DUMMYFUNCTION("""COMPUTED_VALUE"""),"TRAVEL CHARGER CW 08 18W BLACK")</f>
        <v>TRAVEL CHARGER CW 08 18W BLACK</v>
      </c>
      <c r="F811" s="233" t="str">
        <f>IFERROR(__xludf.DUMMYFUNCTION("""COMPUTED_VALUE"""),"TRAVELCHARGER JASPAN JC-001 ORIGINAL")</f>
        <v>TRAVELCHARGER JASPAN JC-001 ORIGINAL</v>
      </c>
    </row>
    <row r="812">
      <c r="A812" s="233" t="str">
        <f>IFERROR(__xludf.DUMMYFUNCTION("""COMPUTED_VALUE"""),"TRAVEL CHARGER CW 08 18W WHITE")</f>
        <v>TRAVEL CHARGER CW 08 18W WHITE</v>
      </c>
      <c r="F812" s="233" t="str">
        <f>IFERROR(__xludf.DUMMYFUNCTION("""COMPUTED_VALUE"""),"TRAVEL CHARGER T-06 6.0A")</f>
        <v>TRAVEL CHARGER T-06 6.0A</v>
      </c>
    </row>
    <row r="813">
      <c r="A813" s="233" t="str">
        <f>IFERROR(__xludf.DUMMYFUNCTION("""COMPUTED_VALUE"""),"TRAVEL CHARGER CW 15 45W B C-C BLUE")</f>
        <v>TRAVEL CHARGER CW 15 45W B C-C BLUE</v>
      </c>
      <c r="F813" s="233" t="str">
        <f>IFERROR(__xludf.DUMMYFUNCTION("""COMPUTED_VALUE"""),"TRAVEL CHARGER CW 03 2.4 A B MICRO BLACK")</f>
        <v>TRAVEL CHARGER CW 03 2.4 A B MICRO BLACK</v>
      </c>
    </row>
    <row r="814">
      <c r="A814" s="233" t="str">
        <f>IFERROR(__xludf.DUMMYFUNCTION("""COMPUTED_VALUE"""),"TRAVEL CHARGER CW 15 45W B C-C GUN METAL")</f>
        <v>TRAVEL CHARGER CW 15 45W B C-C GUN METAL</v>
      </c>
      <c r="F814" s="233" t="str">
        <f>IFERROR(__xludf.DUMMYFUNCTION("""COMPUTED_VALUE"""),"TRAVEL CHARGER CW12 30W C-C BLACK")</f>
        <v>TRAVEL CHARGER CW12 30W C-C BLACK</v>
      </c>
    </row>
    <row r="815">
      <c r="A815" s="233" t="str">
        <f>IFERROR(__xludf.DUMMYFUNCTION("""COMPUTED_VALUE"""),"TRAVEL CHARGER CW 15 45W B C-C MINT GREEN")</f>
        <v>TRAVEL CHARGER CW 15 45W B C-C MINT GREEN</v>
      </c>
      <c r="F815" s="233" t="str">
        <f>IFERROR(__xludf.DUMMYFUNCTION("""COMPUTED_VALUE"""),"TRAVEL CHARGER CW 08 18W WHITE")</f>
        <v>TRAVEL CHARGER CW 08 18W WHITE</v>
      </c>
    </row>
    <row r="816">
      <c r="A816" s="233" t="str">
        <f>IFERROR(__xludf.DUMMYFUNCTION("""COMPUTED_VALUE"""),"TRAVEL CHARGER CW 15 45W B C-C SILVER")</f>
        <v>TRAVEL CHARGER CW 15 45W B C-C SILVER</v>
      </c>
      <c r="F816" s="233" t="str">
        <f>IFERROR(__xludf.DUMMYFUNCTION("""COMPUTED_VALUE"""),"TRAVEL CHARGER CW 08 18W BLACK")</f>
        <v>TRAVEL CHARGER CW 08 18W BLACK</v>
      </c>
    </row>
    <row r="817">
      <c r="A817" s="233" t="str">
        <f>IFERROR(__xludf.DUMMYFUNCTION("""COMPUTED_VALUE"""),"TRAVEL CHARGER CW12 30W C-C BLACK")</f>
        <v>TRAVEL CHARGER CW12 30W C-C BLACK</v>
      </c>
      <c r="F817" s="233" t="str">
        <f>IFERROR(__xludf.DUMMYFUNCTION("""COMPUTED_VALUE"""),"TRAVEL CHARGER 11 25 W H A-C BLACK")</f>
        <v>TRAVEL CHARGER 11 25 W H A-C BLACK</v>
      </c>
    </row>
    <row r="818">
      <c r="A818" s="233" t="str">
        <f>IFERROR(__xludf.DUMMYFUNCTION("""COMPUTED_VALUE"""),"TRAVEL CHARGER CW20W A")</f>
        <v>TRAVEL CHARGER CW20W A</v>
      </c>
      <c r="F818" s="233" t="str">
        <f>IFERROR(__xludf.DUMMYFUNCTION("""COMPUTED_VALUE"""),"TRAVEL CHARGER CW 15 45W B C-C MINT GREEN")</f>
        <v>TRAVEL CHARGER CW 15 45W B C-C MINT GREEN</v>
      </c>
    </row>
    <row r="819">
      <c r="A819" s="233" t="str">
        <f>IFERROR(__xludf.DUMMYFUNCTION("""COMPUTED_VALUE"""),"TRAVEL CHARGER CW50 A")</f>
        <v>TRAVEL CHARGER CW50 A</v>
      </c>
      <c r="F819" s="233" t="str">
        <f>IFERROR(__xludf.DUMMYFUNCTION("""COMPUTED_VALUE"""),"TRAVEL CHARGER CW 15 45W B C-C BLUE")</f>
        <v>TRAVEL CHARGER CW 15 45W B C-C BLUE</v>
      </c>
    </row>
    <row r="820">
      <c r="A820" s="233" t="str">
        <f>IFERROR(__xludf.DUMMYFUNCTION("""COMPUTED_VALUE"""),"TRAVEL CHARGER SAMSUNG GALAXY ORI 5W")</f>
        <v>TRAVEL CHARGER SAMSUNG GALAXY ORI 5W</v>
      </c>
      <c r="F820" s="233" t="str">
        <f>IFERROR(__xludf.DUMMYFUNCTION("""COMPUTED_VALUE"""),"TRAVEL CHARGER CW 15 45W B C-C SILVER")</f>
        <v>TRAVEL CHARGER CW 15 45W B C-C SILVER</v>
      </c>
    </row>
    <row r="821">
      <c r="A821" s="233" t="str">
        <f>IFERROR(__xludf.DUMMYFUNCTION("""COMPUTED_VALUE"""),"TRAVEL CHARGER T-06 6.0A")</f>
        <v>TRAVEL CHARGER T-06 6.0A</v>
      </c>
      <c r="F821" s="233" t="str">
        <f>IFERROR(__xludf.DUMMYFUNCTION("""COMPUTED_VALUE"""),"TRAVEL CHARGER CW 15 45W B C-C GUN METAL")</f>
        <v>TRAVEL CHARGER CW 15 45W B C-C GUN METAL</v>
      </c>
    </row>
    <row r="822">
      <c r="A822" s="233" t="str">
        <f>IFERROR(__xludf.DUMMYFUNCTION("""COMPUTED_VALUE"""),"TRAVEL CHARGER VIVO 2XUSB 3.1")</f>
        <v>TRAVEL CHARGER VIVO 2XUSB 3.1</v>
      </c>
      <c r="F822" s="233" t="str">
        <f>IFERROR(__xludf.DUMMYFUNCTION("""COMPUTED_VALUE"""),"TRAVEL CHARGER CW50 A")</f>
        <v>TRAVEL CHARGER CW50 A</v>
      </c>
    </row>
    <row r="823">
      <c r="A823" s="233" t="str">
        <f>IFERROR(__xludf.DUMMYFUNCTION("""COMPUTED_VALUE"""),"TRAVELCHARGER JASPAN JC-001 ORIGINAL")</f>
        <v>TRAVELCHARGER JASPAN JC-001 ORIGINAL</v>
      </c>
      <c r="F823" s="233" t="str">
        <f>IFERROR(__xludf.DUMMYFUNCTION("""COMPUTED_VALUE"""),"TRAVEL CHARGER CW20W A")</f>
        <v>TRAVEL CHARGER CW20W A</v>
      </c>
    </row>
    <row r="824">
      <c r="A824" s="233" t="str">
        <f>IFERROR(__xludf.DUMMYFUNCTION("""COMPUTED_VALUE"""),"Tripod 2,1m Nb: Tanpa Holder U, Non Pack")</f>
        <v>Tripod 2,1m Nb: Tanpa Holder U, Non Pack</v>
      </c>
      <c r="F824" s="233" t="str">
        <f>IFERROR(__xludf.DUMMYFUNCTION("""COMPUTED_VALUE"""),"TRAVEL CHARGER ACOME AC01 18W")</f>
        <v>TRAVEL CHARGER ACOME AC01 18W</v>
      </c>
    </row>
    <row r="825">
      <c r="A825" s="233" t="str">
        <f>IFERROR(__xludf.DUMMYFUNCTION("""COMPUTED_VALUE"""),"Tripod 2,1m NonPack + RingLight 26cm + Mini Ball")</f>
        <v>Tripod 2,1m NonPack + RingLight 26cm + Mini Ball</v>
      </c>
      <c r="F825" s="233" t="str">
        <f>IFERROR(__xludf.DUMMYFUNCTION("""COMPUTED_VALUE"""),"TRIPOD SUPPORT")</f>
        <v>TRIPOD SUPPORT</v>
      </c>
    </row>
    <row r="826">
      <c r="A826" s="233" t="str">
        <f>IFERROR(__xludf.DUMMYFUNCTION("""COMPUTED_VALUE"""),"Tripod 2,1m NonPack Dus + RingLight RGB 26cm")</f>
        <v>Tripod 2,1m NonPack Dus + RingLight RGB 26cm</v>
      </c>
      <c r="F826" s="233" t="str">
        <f>IFERROR(__xludf.DUMMYFUNCTION("""COMPUTED_VALUE"""),"Tripod Tongsis Bluetooth T18 ( 1.8meter )")</f>
        <v>Tripod Tongsis Bluetooth T18 ( 1.8meter )</v>
      </c>
    </row>
    <row r="827">
      <c r="A827" s="233" t="str">
        <f>IFERROR(__xludf.DUMMYFUNCTION("""COMPUTED_VALUE"""),"Tripod 2in1 A1 , 210cm + Pack")</f>
        <v>Tripod 2in1 A1 , 210cm + Pack</v>
      </c>
      <c r="F827" s="233" t="str">
        <f>IFERROR(__xludf.DUMMYFUNCTION("""COMPUTED_VALUE"""),"Tripod Tongsis Bluetooth + Lampu T17 /BD-17")</f>
        <v>Tripod Tongsis Bluetooth + Lampu T17 /BD-17</v>
      </c>
    </row>
    <row r="828">
      <c r="A828" s="233" t="str">
        <f>IFERROR(__xludf.DUMMYFUNCTION("""COMPUTED_VALUE"""),"Tripod 3120 + Pack")</f>
        <v>Tripod 3120 + Pack</v>
      </c>
      <c r="F828" s="233" t="str">
        <f>IFERROR(__xludf.DUMMYFUNCTION("""COMPUTED_VALUE"""),"Tripod 2in1 A1 , 210cm + Pack")</f>
        <v>Tripod 2in1 A1 , 210cm + Pack</v>
      </c>
    </row>
    <row r="829">
      <c r="A829" s="233" t="str">
        <f>IFERROR(__xludf.DUMMYFUNCTION("""COMPUTED_VALUE"""),"TRIPOD 3366")</f>
        <v>TRIPOD 3366</v>
      </c>
      <c r="F829" s="233" t="str">
        <f>IFERROR(__xludf.DUMMYFUNCTION("""COMPUTED_VALUE"""),"TRIPOD 3366")</f>
        <v>TRIPOD 3366</v>
      </c>
    </row>
    <row r="830">
      <c r="A830" s="233" t="str">
        <f>IFERROR(__xludf.DUMMYFUNCTION("""COMPUTED_VALUE"""),"Tripod Ringlight cermin G3")</f>
        <v>Tripod Ringlight cermin G3</v>
      </c>
      <c r="F830" s="233" t="str">
        <f>IFERROR(__xludf.DUMMYFUNCTION("""COMPUTED_VALUE"""),"Tripod Ringlight cermin G3")</f>
        <v>Tripod Ringlight cermin G3</v>
      </c>
    </row>
    <row r="831">
      <c r="A831" s="233" t="str">
        <f>IFERROR(__xludf.DUMMYFUNCTION("""COMPUTED_VALUE"""),"TRIPOD SUPPORT")</f>
        <v>TRIPOD SUPPORT</v>
      </c>
      <c r="F831" s="233" t="str">
        <f>IFERROR(__xludf.DUMMYFUNCTION("""COMPUTED_VALUE"""),"Tripod 3120 + Pack")</f>
        <v>Tripod 3120 + Pack</v>
      </c>
    </row>
    <row r="832">
      <c r="A832" s="233" t="str">
        <f>IFERROR(__xludf.DUMMYFUNCTION("""COMPUTED_VALUE"""),"Tripod Tongsis Bluetooth + Lampu T17 /BD-17")</f>
        <v>Tripod Tongsis Bluetooth + Lampu T17 /BD-17</v>
      </c>
      <c r="F832" s="233" t="str">
        <f>IFERROR(__xludf.DUMMYFUNCTION("""COMPUTED_VALUE"""),"Tripod 2,1m NonPack Dus + RingLight RGB 26cm")</f>
        <v>Tripod 2,1m NonPack Dus + RingLight RGB 26cm</v>
      </c>
    </row>
    <row r="833">
      <c r="A833" s="233" t="str">
        <f>IFERROR(__xludf.DUMMYFUNCTION("""COMPUTED_VALUE"""),"Tripod Tongsis Bluetooth T18 ( 1.8meter )")</f>
        <v>Tripod Tongsis Bluetooth T18 ( 1.8meter )</v>
      </c>
      <c r="F833" s="233" t="str">
        <f>IFERROR(__xludf.DUMMYFUNCTION("""COMPUTED_VALUE"""),"Tripod 2,1m NonPack + RingLight 26cm + Mini Ball")</f>
        <v>Tripod 2,1m NonPack + RingLight 26cm + Mini Ball</v>
      </c>
    </row>
    <row r="834">
      <c r="A834" s="233" t="str">
        <f>IFERROR(__xludf.DUMMYFUNCTION("""COMPUTED_VALUE"""),"TWS 17S")</f>
        <v>TWS 17S</v>
      </c>
      <c r="F834" s="233" t="str">
        <f>IFERROR(__xludf.DUMMYFUNCTION("""COMPUTED_VALUE"""),"Tripod 2,1m Nb: Tanpa Holder U, Non Pack")</f>
        <v>Tripod 2,1m Nb: Tanpa Holder U, Non Pack</v>
      </c>
    </row>
    <row r="835">
      <c r="A835" s="233" t="str">
        <f>IFERROR(__xludf.DUMMYFUNCTION("""COMPUTED_VALUE"""),"TWS AIR PODS PRO3")</f>
        <v>TWS AIR PODS PRO3</v>
      </c>
      <c r="F835" s="233" t="str">
        <f>IFERROR(__xludf.DUMMYFUNCTION("""COMPUTED_VALUE"""),"TWS 17S")</f>
        <v>TWS 17S</v>
      </c>
    </row>
    <row r="836">
      <c r="A836" s="233" t="str">
        <f>IFERROR(__xludf.DUMMYFUNCTION("""COMPUTED_VALUE"""),"TWS ALIENS POWER BASS")</f>
        <v>TWS ALIENS POWER BASS</v>
      </c>
      <c r="F836" s="233" t="str">
        <f>IFERROR(__xludf.DUMMYFUNCTION("""COMPUTED_VALUE"""),"TWS-400")</f>
        <v>TWS-400</v>
      </c>
    </row>
    <row r="837">
      <c r="A837" s="233" t="str">
        <f>IFERROR(__xludf.DUMMYFUNCTION("""COMPUTED_VALUE"""),"TWS DWS-100 TTYPE C")</f>
        <v>TWS DWS-100 TTYPE C</v>
      </c>
      <c r="F837" s="233" t="str">
        <f>IFERROR(__xludf.DUMMYFUNCTION("""COMPUTED_VALUE"""),"TWS ALIENS POWER BASS")</f>
        <v>TWS ALIENS POWER BASS</v>
      </c>
    </row>
    <row r="838">
      <c r="A838" s="233" t="str">
        <f>IFERROR(__xludf.DUMMYFUNCTION("""COMPUTED_VALUE"""),"TWS GROTIC MACARON")</f>
        <v>TWS GROTIC MACARON</v>
      </c>
      <c r="F838" s="233" t="str">
        <f>IFERROR(__xludf.DUMMYFUNCTION("""COMPUTED_VALUE"""),"TWS AIR PODS PRO3")</f>
        <v>TWS AIR PODS PRO3</v>
      </c>
    </row>
    <row r="839">
      <c r="A839" s="233" t="str">
        <f>IFERROR(__xludf.DUMMYFUNCTION("""COMPUTED_VALUE"""),"TWS M12")</f>
        <v>TWS M12</v>
      </c>
      <c r="F839" s="233" t="str">
        <f>IFERROR(__xludf.DUMMYFUNCTION("""COMPUTED_VALUE"""),"TWS-B2B")</f>
        <v>TWS-B2B</v>
      </c>
    </row>
    <row r="840">
      <c r="A840" s="233" t="str">
        <f>IFERROR(__xludf.DUMMYFUNCTION("""COMPUTED_VALUE"""),"TWS OLIKE T114 LITE TRUE WIRELESS STREO EARPHONE")</f>
        <v>TWS OLIKE T114 LITE TRUE WIRELESS STREO EARPHONE</v>
      </c>
      <c r="F840" s="233" t="str">
        <f>IFERROR(__xludf.DUMMYFUNCTION("""COMPUTED_VALUE"""),"TWS DWS-100 TTYPE C")</f>
        <v>TWS DWS-100 TTYPE C</v>
      </c>
    </row>
    <row r="841">
      <c r="A841" s="233" t="str">
        <f>IFERROR(__xludf.DUMMYFUNCTION("""COMPUTED_VALUE"""),"TWS OLIKE T14 LITE TRUE WIRELESS STREO EARPHONE")</f>
        <v>TWS OLIKE T14 LITE TRUE WIRELESS STREO EARPHONE</v>
      </c>
      <c r="F841" s="233" t="str">
        <f>IFERROR(__xludf.DUMMYFUNCTION("""COMPUTED_VALUE"""),"TWS GROTIC MACARON")</f>
        <v>TWS GROTIC MACARON</v>
      </c>
    </row>
    <row r="842">
      <c r="A842" s="233" t="str">
        <f>IFERROR(__xludf.DUMMYFUNCTION("""COMPUTED_VALUE"""),"TWS ORAIMO OTW-323")</f>
        <v>TWS ORAIMO OTW-323</v>
      </c>
      <c r="F842" s="233" t="str">
        <f>IFERROR(__xludf.DUMMYFUNCTION("""COMPUTED_VALUE"""),"TWS M12")</f>
        <v>TWS M12</v>
      </c>
    </row>
    <row r="843">
      <c r="A843" s="233" t="str">
        <f>IFERROR(__xludf.DUMMYFUNCTION("""COMPUTED_VALUE"""),"TWS OWS-101")</f>
        <v>TWS OWS-101</v>
      </c>
      <c r="F843" s="233" t="str">
        <f>IFERROR(__xludf.DUMMYFUNCTION("""COMPUTED_VALUE"""),"TWS ORAIMO OTW-323")</f>
        <v>TWS ORAIMO OTW-323</v>
      </c>
    </row>
    <row r="844">
      <c r="A844" s="233" t="str">
        <f>IFERROR(__xludf.DUMMYFUNCTION("""COMPUTED_VALUE"""),"TWS PRO 3")</f>
        <v>TWS PRO 3</v>
      </c>
      <c r="F844" s="233" t="str">
        <f>IFERROR(__xludf.DUMMYFUNCTION("""COMPUTED_VALUE"""),"TWS OLIKE T114 LITE TRUE WIRELESS STREO EARPHONE")</f>
        <v>TWS OLIKE T114 LITE TRUE WIRELESS STREO EARPHONE</v>
      </c>
    </row>
    <row r="845">
      <c r="A845" s="233" t="str">
        <f>IFERROR(__xludf.DUMMYFUNCTION("""COMPUTED_VALUE"""),"TWS PRO 4")</f>
        <v>TWS PRO 4</v>
      </c>
      <c r="F845" s="233" t="str">
        <f>IFERROR(__xludf.DUMMYFUNCTION("""COMPUTED_VALUE"""),"TWS OLIKE T14 LITE TRUE WIRELESS STREO EARPHONE")</f>
        <v>TWS OLIKE T14 LITE TRUE WIRELESS STREO EARPHONE</v>
      </c>
    </row>
    <row r="846">
      <c r="A846" s="233" t="str">
        <f>IFERROR(__xludf.DUMMYFUNCTION("""COMPUTED_VALUE"""),"TWS WELLCOMM WS-01")</f>
        <v>TWS WELLCOMM WS-01</v>
      </c>
      <c r="F846" s="233" t="str">
        <f>IFERROR(__xludf.DUMMYFUNCTION("""COMPUTED_VALUE"""),"TWS OWS-101")</f>
        <v>TWS OWS-101</v>
      </c>
    </row>
    <row r="847">
      <c r="A847" s="233" t="str">
        <f>IFERROR(__xludf.DUMMYFUNCTION("""COMPUTED_VALUE"""),"TWS WELLCOMM WS-03")</f>
        <v>TWS WELLCOMM WS-03</v>
      </c>
      <c r="F847" s="233" t="str">
        <f>IFERROR(__xludf.DUMMYFUNCTION("""COMPUTED_VALUE"""),"TWS PRO 4")</f>
        <v>TWS PRO 4</v>
      </c>
    </row>
    <row r="848">
      <c r="A848" s="233" t="str">
        <f>IFERROR(__xludf.DUMMYFUNCTION("""COMPUTED_VALUE"""),"TWS-400")</f>
        <v>TWS-400</v>
      </c>
      <c r="F848" s="233" t="str">
        <f>IFERROR(__xludf.DUMMYFUNCTION("""COMPUTED_VALUE"""),"TWS PRO 3")</f>
        <v>TWS PRO 3</v>
      </c>
    </row>
    <row r="849">
      <c r="A849" s="233" t="str">
        <f>IFERROR(__xludf.DUMMYFUNCTION("""COMPUTED_VALUE"""),"TWS-B2B")</f>
        <v>TWS-B2B</v>
      </c>
      <c r="F849" s="233" t="str">
        <f>IFERROR(__xludf.DUMMYFUNCTION("""COMPUTED_VALUE"""),"TWS WELLCOMM WS-01")</f>
        <v>TWS WELLCOMM WS-01</v>
      </c>
    </row>
    <row r="850">
      <c r="A850" s="233" t="str">
        <f>IFERROR(__xludf.DUMMYFUNCTION("""COMPUTED_VALUE"""),"TYPE C TO AUX")</f>
        <v>TYPE C TO AUX</v>
      </c>
      <c r="F850" s="233" t="str">
        <f>IFERROR(__xludf.DUMMYFUNCTION("""COMPUTED_VALUE"""),"TWS WELLCOMM WS-03")</f>
        <v>TWS WELLCOMM WS-03</v>
      </c>
    </row>
    <row r="851">
      <c r="A851" s="233" t="str">
        <f>IFERROR(__xludf.DUMMYFUNCTION("""COMPUTED_VALUE"""),"Ultra Slim Phone Stand RT-BR08 (SKU RJA-ULTR-0239)")</f>
        <v>Ultra Slim Phone Stand RT-BR08 (SKU RJA-ULTR-0239)</v>
      </c>
      <c r="F851" s="233" t="str">
        <f>IFERROR(__xludf.DUMMYFUNCTION("""COMPUTED_VALUE"""),"TYPE C TO AUX")</f>
        <v>TYPE C TO AUX</v>
      </c>
    </row>
    <row r="852">
      <c r="A852" s="233" t="str">
        <f>IFERROR(__xludf.DUMMYFUNCTION("""COMPUTED_VALUE"""),"Ultra Slim Phone Stand RT-BR08 (SKU RJA-ULTR-0278)")</f>
        <v>Ultra Slim Phone Stand RT-BR08 (SKU RJA-ULTR-0278)</v>
      </c>
      <c r="F852" s="233" t="str">
        <f>IFERROR(__xludf.DUMMYFUNCTION("""COMPUTED_VALUE"""),"Ultra Slim Phone Stand RT-BR09 (SKU RJA-ULTR-0238)")</f>
        <v>Ultra Slim Phone Stand RT-BR09 (SKU RJA-ULTR-0238)</v>
      </c>
    </row>
    <row r="853">
      <c r="A853" s="233" t="str">
        <f>IFERROR(__xludf.DUMMYFUNCTION("""COMPUTED_VALUE"""),"Ultra Slim Phone Stand RT-BR09 (SKU RJA-ULTR-0238)")</f>
        <v>Ultra Slim Phone Stand RT-BR09 (SKU RJA-ULTR-0238)</v>
      </c>
      <c r="F853" s="233" t="str">
        <f>IFERROR(__xludf.DUMMYFUNCTION("""COMPUTED_VALUE"""),"Ultra Slim Phone Stand RT-BR08 (SKU RJA-ULTR-0239)")</f>
        <v>Ultra Slim Phone Stand RT-BR08 (SKU RJA-ULTR-0239)</v>
      </c>
    </row>
    <row r="854">
      <c r="A854" s="233" t="str">
        <f>IFERROR(__xludf.DUMMYFUNCTION("""COMPUTED_VALUE"""),"Ultra Slim Phone Stand RT-BR09 (SKU RJA-ULTR-0277)")</f>
        <v>Ultra Slim Phone Stand RT-BR09 (SKU RJA-ULTR-0277)</v>
      </c>
      <c r="F854" s="233" t="str">
        <f>IFERROR(__xludf.DUMMYFUNCTION("""COMPUTED_VALUE"""),"Ultra Slim Phone Stand RT-BR09 (SKU RJA-ULTR-0277)")</f>
        <v>Ultra Slim Phone Stand RT-BR09 (SKU RJA-ULTR-0277)</v>
      </c>
    </row>
    <row r="855">
      <c r="A855" s="233" t="str">
        <f>IFERROR(__xludf.DUMMYFUNCTION("""COMPUTED_VALUE"""),"USB 2.0 ETHERNET ADAPATER")</f>
        <v>USB 2.0 ETHERNET ADAPATER</v>
      </c>
      <c r="F855" s="233" t="str">
        <f>IFERROR(__xludf.DUMMYFUNCTION("""COMPUTED_VALUE"""),"Ultra Slim Phone Stand RT-BR08 (SKU RJA-ULTR-0278)")</f>
        <v>Ultra Slim Phone Stand RT-BR08 (SKU RJA-ULTR-0278)</v>
      </c>
    </row>
    <row r="856">
      <c r="A856" s="233" t="str">
        <f>IFERROR(__xludf.DUMMYFUNCTION("""COMPUTED_VALUE"""),"USB DONGLE 5.0 BLUETOOTH")</f>
        <v>USB DONGLE 5.0 BLUETOOTH</v>
      </c>
      <c r="F856" s="233" t="str">
        <f>IFERROR(__xludf.DUMMYFUNCTION("""COMPUTED_VALUE"""),"USB 2.0 ETHERNET ADAPATER")</f>
        <v>USB 2.0 ETHERNET ADAPATER</v>
      </c>
    </row>
    <row r="857">
      <c r="A857" s="233" t="str">
        <f>IFERROR(__xludf.DUMMYFUNCTION("""COMPUTED_VALUE"""),"USB LAMPU")</f>
        <v>USB LAMPU</v>
      </c>
      <c r="F857" s="233" t="str">
        <f>IFERROR(__xludf.DUMMYFUNCTION("""COMPUTED_VALUE"""),"USB DONGLE 5.0 BLUETOOTH")</f>
        <v>USB DONGLE 5.0 BLUETOOTH</v>
      </c>
    </row>
    <row r="858">
      <c r="A858" s="233" t="str">
        <f>IFERROR(__xludf.DUMMYFUNCTION("""COMPUTED_VALUE"""),"VBOX MC-29 CONVERTER TYPE C TO AUX")</f>
        <v>VBOX MC-29 CONVERTER TYPE C TO AUX</v>
      </c>
      <c r="F858" s="233" t="str">
        <f>IFERROR(__xludf.DUMMYFUNCTION("""COMPUTED_VALUE"""),"USB LAMPU")</f>
        <v>USB LAMPU</v>
      </c>
    </row>
    <row r="859">
      <c r="A859" s="233" t="str">
        <f>IFERROR(__xludf.DUMMYFUNCTION("""COMPUTED_VALUE"""),"VBOX SPLINTER MI-113C AUDIO CONVERTER TYPE TO AUX")</f>
        <v>VBOX SPLINTER MI-113C AUDIO CONVERTER TYPE TO AUX</v>
      </c>
      <c r="F859" s="233" t="str">
        <f>IFERROR(__xludf.DUMMYFUNCTION("""COMPUTED_VALUE"""),"VBOX MC-29 CONVERTER TYPE C TO AUX")</f>
        <v>VBOX MC-29 CONVERTER TYPE C TO AUX</v>
      </c>
    </row>
    <row r="860">
      <c r="A860" s="233" t="str">
        <f>IFERROR(__xludf.DUMMYFUNCTION("""COMPUTED_VALUE"""),"VC Axis 10 GB 7 hari (SKU RJA-VCAX-1011)")</f>
        <v>VC Axis 10 GB 7 hari (SKU RJA-VCAX-1011)</v>
      </c>
      <c r="F860" s="233" t="str">
        <f>IFERROR(__xludf.DUMMYFUNCTION("""COMPUTED_VALUE"""),"VBOX SPLINTER MI-113C AUDIO CONVERTER TYPE TO AUX")</f>
        <v>VBOX SPLINTER MI-113C AUDIO CONVERTER TYPE TO AUX</v>
      </c>
    </row>
    <row r="861">
      <c r="A861" s="233" t="str">
        <f>IFERROR(__xludf.DUMMYFUNCTION("""COMPUTED_VALUE"""),"VC Axis 10 GB 7 hari (SKU RJA-VCAX-1013)")</f>
        <v>VC Axis 10 GB 7 hari (SKU RJA-VCAX-1013)</v>
      </c>
      <c r="F861" s="233" t="str">
        <f>IFERROR(__xludf.DUMMYFUNCTION("""COMPUTED_VALUE"""),"VC Axis 3 GB 3 hari")</f>
        <v>VC Axis 3 GB 3 hari</v>
      </c>
    </row>
    <row r="862">
      <c r="A862" s="233" t="str">
        <f>IFERROR(__xludf.DUMMYFUNCTION("""COMPUTED_VALUE"""),"VC Axis 3 GB 3 hari")</f>
        <v>VC Axis 3 GB 3 hari</v>
      </c>
      <c r="F862" s="233" t="str">
        <f>IFERROR(__xludf.DUMMYFUNCTION("""COMPUTED_VALUE"""),"VC Axis 4 GB 5 hari (SKU RJA-VCAX-1010)")</f>
        <v>VC Axis 4 GB 5 hari (SKU RJA-VCAX-1010)</v>
      </c>
    </row>
    <row r="863">
      <c r="A863" s="233" t="str">
        <f>IFERROR(__xludf.DUMMYFUNCTION("""COMPUTED_VALUE"""),"VC Axis 4 GB 5 hari (SKU RJA-VCAX-1010)")</f>
        <v>VC Axis 4 GB 5 hari (SKU RJA-VCAX-1010)</v>
      </c>
      <c r="F863" s="233" t="str">
        <f>IFERROR(__xludf.DUMMYFUNCTION("""COMPUTED_VALUE"""),"VC Axis 10 GB 7 hari (SKU RJA-VCAX-1011)")</f>
        <v>VC Axis 10 GB 7 hari (SKU RJA-VCAX-1011)</v>
      </c>
    </row>
    <row r="864">
      <c r="A864" s="233" t="str">
        <f>IFERROR(__xludf.DUMMYFUNCTION("""COMPUTED_VALUE"""),"VC Axis 4 GB 5 hari (SKU RJA-VCAX-1012)")</f>
        <v>VC Axis 4 GB 5 hari (SKU RJA-VCAX-1012)</v>
      </c>
      <c r="F864" s="233" t="str">
        <f>IFERROR(__xludf.DUMMYFUNCTION("""COMPUTED_VALUE"""),"VC Axis 4 GB 5 hari (SKU RJA-VCAX-1012)")</f>
        <v>VC Axis 4 GB 5 hari (SKU RJA-VCAX-1012)</v>
      </c>
    </row>
    <row r="865">
      <c r="A865" s="233" t="str">
        <f>IFERROR(__xludf.DUMMYFUNCTION("""COMPUTED_VALUE"""),"VC IM3 4GB 5 HARI")</f>
        <v>VC IM3 4GB 5 HARI</v>
      </c>
      <c r="F865" s="233" t="str">
        <f>IFERROR(__xludf.DUMMYFUNCTION("""COMPUTED_VALUE"""),"VC Axis 10 GB 7 hari (SKU RJA-VCAX-1013)")</f>
        <v>VC Axis 10 GB 7 hari (SKU RJA-VCAX-1013)</v>
      </c>
    </row>
    <row r="866">
      <c r="A866" s="233" t="str">
        <f>IFERROR(__xludf.DUMMYFUNCTION("""COMPUTED_VALUE"""),"VC IM3 9 GB 5 HARI")</f>
        <v>VC IM3 9 GB 5 HARI</v>
      </c>
      <c r="F866" s="233" t="str">
        <f>IFERROR(__xludf.DUMMYFUNCTION("""COMPUTED_VALUE"""),"VC IM3 9 GB 7 HARI")</f>
        <v>VC IM3 9 GB 7 HARI</v>
      </c>
    </row>
    <row r="867">
      <c r="A867" s="233" t="str">
        <f>IFERROR(__xludf.DUMMYFUNCTION("""COMPUTED_VALUE"""),"VC IM3 9 GB 7 HARI")</f>
        <v>VC IM3 9 GB 7 HARI</v>
      </c>
      <c r="F867" s="233" t="str">
        <f>IFERROR(__xludf.DUMMYFUNCTION("""COMPUTED_VALUE"""),"VC IM3 4GB 5 HARI")</f>
        <v>VC IM3 4GB 5 HARI</v>
      </c>
    </row>
    <row r="868">
      <c r="A868" s="233" t="str">
        <f>IFERROR(__xludf.DUMMYFUNCTION("""COMPUTED_VALUE"""),"VC Isat 9 Gb 5 hari")</f>
        <v>VC Isat 9 Gb 5 hari</v>
      </c>
      <c r="F868" s="233" t="str">
        <f>IFERROR(__xludf.DUMMYFUNCTION("""COMPUTED_VALUE"""),"VC IM3 9 GB 5 HARI")</f>
        <v>VC IM3 9 GB 5 HARI</v>
      </c>
    </row>
    <row r="869">
      <c r="A869" s="233" t="str">
        <f>IFERROR(__xludf.DUMMYFUNCTION("""COMPUTED_VALUE"""),"VC T sell 6 Gb 2 hari")</f>
        <v>VC T sell 6 Gb 2 hari</v>
      </c>
      <c r="F869" s="233" t="str">
        <f>IFERROR(__xludf.DUMMYFUNCTION("""COMPUTED_VALUE"""),"VC Isat 9 Gb 5 hari")</f>
        <v>VC Isat 9 Gb 5 hari</v>
      </c>
    </row>
    <row r="870">
      <c r="A870" s="233" t="str">
        <f>IFERROR(__xludf.DUMMYFUNCTION("""COMPUTED_VALUE"""),"VC T SELL 9 GB7 HARI")</f>
        <v>VC T SELL 9 GB7 HARI</v>
      </c>
      <c r="F870" s="233" t="str">
        <f>IFERROR(__xludf.DUMMYFUNCTION("""COMPUTED_VALUE"""),"VC Three 3,5 GB 3 hari (SKU RJA-VCTH-1027)")</f>
        <v>VC Three 3,5 GB 3 hari (SKU RJA-VCTH-1027)</v>
      </c>
    </row>
    <row r="871">
      <c r="A871" s="233" t="str">
        <f>IFERROR(__xludf.DUMMYFUNCTION("""COMPUTED_VALUE"""),"VC T-sel 4 GB 5 hari (SKU RJA-VCT-1022)")</f>
        <v>VC T-sel 4 GB 5 hari (SKU RJA-VCT-1022)</v>
      </c>
      <c r="F871" s="233" t="str">
        <f>IFERROR(__xludf.DUMMYFUNCTION("""COMPUTED_VALUE"""),"VC Three 10 GB 7 hari (SKU RJA-VCTH-1028)")</f>
        <v>VC Three 10 GB 7 hari (SKU RJA-VCTH-1028)</v>
      </c>
    </row>
    <row r="872">
      <c r="A872" s="233" t="str">
        <f>IFERROR(__xludf.DUMMYFUNCTION("""COMPUTED_VALUE"""),"VC T-sel 4 GB 5 hari (SKU RJA-VCT-1026)")</f>
        <v>VC T-sel 4 GB 5 hari (SKU RJA-VCT-1026)</v>
      </c>
      <c r="F872" s="233" t="str">
        <f>IFERROR(__xludf.DUMMYFUNCTION("""COMPUTED_VALUE"""),"VC Three 3,5 GB 3 hari (SKU RJA-VCTH-1029)")</f>
        <v>VC Three 3,5 GB 3 hari (SKU RJA-VCTH-1029)</v>
      </c>
    </row>
    <row r="873">
      <c r="A873" s="233" t="str">
        <f>IFERROR(__xludf.DUMMYFUNCTION("""COMPUTED_VALUE"""),"VC T-sel 9 GB 7 hari")</f>
        <v>VC T-sel 9 GB 7 hari</v>
      </c>
      <c r="F873" s="233" t="str">
        <f>IFERROR(__xludf.DUMMYFUNCTION("""COMPUTED_VALUE"""),"VC Three 10 GB 7 hari (SKU RJA-VCTH-1030)")</f>
        <v>VC Three 10 GB 7 hari (SKU RJA-VCTH-1030)</v>
      </c>
    </row>
    <row r="874">
      <c r="A874" s="233" t="str">
        <f>IFERROR(__xludf.DUMMYFUNCTION("""COMPUTED_VALUE"""),"VC Three 10 GB 7 hari (SKU RJA-VCTH-1028)")</f>
        <v>VC Three 10 GB 7 hari (SKU RJA-VCTH-1028)</v>
      </c>
      <c r="F874" s="233" t="str">
        <f>IFERROR(__xludf.DUMMYFUNCTION("""COMPUTED_VALUE"""),"VC T-sel 4 GB 5 hari (SKU RJA-VCT-1022)")</f>
        <v>VC T-sel 4 GB 5 hari (SKU RJA-VCT-1022)</v>
      </c>
    </row>
    <row r="875">
      <c r="A875" s="233" t="str">
        <f>IFERROR(__xludf.DUMMYFUNCTION("""COMPUTED_VALUE"""),"VC Three 10 GB 7 hari (SKU RJA-VCTH-1030)")</f>
        <v>VC Three 10 GB 7 hari (SKU RJA-VCTH-1030)</v>
      </c>
      <c r="F875" s="233" t="str">
        <f>IFERROR(__xludf.DUMMYFUNCTION("""COMPUTED_VALUE"""),"VC T-sel 9 GB 7 hari")</f>
        <v>VC T-sel 9 GB 7 hari</v>
      </c>
    </row>
    <row r="876">
      <c r="A876" s="233" t="str">
        <f>IFERROR(__xludf.DUMMYFUNCTION("""COMPUTED_VALUE"""),"VC Three 3,5 GB 3 hari (SKU RJA-VCTH-1027)")</f>
        <v>VC Three 3,5 GB 3 hari (SKU RJA-VCTH-1027)</v>
      </c>
      <c r="F876" s="233" t="str">
        <f>IFERROR(__xludf.DUMMYFUNCTION("""COMPUTED_VALUE"""),"VC T sell 6 Gb 2 hari")</f>
        <v>VC T sell 6 Gb 2 hari</v>
      </c>
    </row>
    <row r="877">
      <c r="A877" s="233" t="str">
        <f>IFERROR(__xludf.DUMMYFUNCTION("""COMPUTED_VALUE"""),"VC Three 3,5 GB 3 hari (SKU RJA-VCTH-1029)")</f>
        <v>VC Three 3,5 GB 3 hari (SKU RJA-VCTH-1029)</v>
      </c>
      <c r="F877" s="233" t="str">
        <f>IFERROR(__xludf.DUMMYFUNCTION("""COMPUTED_VALUE"""),"VC T SELL 9 GB7 HARI")</f>
        <v>VC T SELL 9 GB7 HARI</v>
      </c>
    </row>
    <row r="878">
      <c r="A878" s="233" t="str">
        <f>IFERROR(__xludf.DUMMYFUNCTION("""COMPUTED_VALUE"""),"VC XL L 3 HARI (6 Gb)")</f>
        <v>VC XL L 3 HARI (6 Gb)</v>
      </c>
      <c r="F878" s="233" t="str">
        <f>IFERROR(__xludf.DUMMYFUNCTION("""COMPUTED_VALUE"""),"VC T-sel 4 GB 5 hari (SKU RJA-VCT-1026)")</f>
        <v>VC T-sel 4 GB 5 hari (SKU RJA-VCT-1026)</v>
      </c>
    </row>
    <row r="879">
      <c r="A879" s="233" t="str">
        <f>IFERROR(__xludf.DUMMYFUNCTION("""COMPUTED_VALUE"""),"VC XL M 7 HARI (8GB)")</f>
        <v>VC XL M 7 HARI (8GB)</v>
      </c>
      <c r="F879" s="233" t="str">
        <f>IFERROR(__xludf.DUMMYFUNCTION("""COMPUTED_VALUE"""),"VC XL L 3 HARI (6 Gb)")</f>
        <v>VC XL L 3 HARI (6 Gb)</v>
      </c>
    </row>
    <row r="880">
      <c r="A880" s="233" t="str">
        <f>IFERROR(__xludf.DUMMYFUNCTION("""COMPUTED_VALUE"""),"VC XL S 4,5 GB 7 HR")</f>
        <v>VC XL S 4,5 GB 7 HR</v>
      </c>
      <c r="F880" s="233" t="str">
        <f>IFERROR(__xludf.DUMMYFUNCTION("""COMPUTED_VALUE"""),"VC XL M 7 HARI (8GB)")</f>
        <v>VC XL M 7 HARI (8GB)</v>
      </c>
    </row>
    <row r="881">
      <c r="A881" s="233" t="str">
        <f>IFERROR(__xludf.DUMMYFUNCTION("""COMPUTED_VALUE"""),"VGA 1.5 M HITAM")</f>
        <v>VGA 1.5 M HITAM</v>
      </c>
      <c r="F881" s="233" t="str">
        <f>IFERROR(__xludf.DUMMYFUNCTION("""COMPUTED_VALUE"""),"VC XL S 4,5 GB 7 HR")</f>
        <v>VC XL S 4,5 GB 7 HR</v>
      </c>
    </row>
    <row r="882">
      <c r="A882" s="233" t="str">
        <f>IFERROR(__xludf.DUMMYFUNCTION("""COMPUTED_VALUE"""),"VIVAN AUX01")</f>
        <v>VIVAN AUX01</v>
      </c>
      <c r="F882" s="233" t="str">
        <f>IFERROR(__xludf.DUMMYFUNCTION("""COMPUTED_VALUE"""),"VGA 1.5 M HITAM")</f>
        <v>VGA 1.5 M HITAM</v>
      </c>
    </row>
    <row r="883">
      <c r="A883" s="233" t="str">
        <f>IFERROR(__xludf.DUMMYFUNCTION("""COMPUTED_VALUE"""),"VIVAN BUS Toples Data Cable,VBUSC,20PCS,type C,3A,1m.More durable, More stylish.")</f>
        <v>VIVAN BUS Toples Data Cable,VBUSC,20PCS,type C,3A,1m.More durable, More stylish.</v>
      </c>
      <c r="F883" s="233" t="str">
        <f>IFERROR(__xludf.DUMMYFUNCTION("""COMPUTED_VALUE"""),"VIVAN AUX01")</f>
        <v>VIVAN AUX01</v>
      </c>
    </row>
    <row r="884">
      <c r="A884" s="233" t="str">
        <f>IFERROR(__xludf.DUMMYFUNCTION("""COMPUTED_VALUE"""),"VIVAN BUS Toples Data Cable,VBUSCC,20PCS,C TO C,3A,60W,1m.More durable, More stylish.")</f>
        <v>VIVAN BUS Toples Data Cable,VBUSCC,20PCS,C TO C,3A,60W,1m.More durable, More stylish.</v>
      </c>
      <c r="F884" s="233" t="str">
        <f>IFERROR(__xludf.DUMMYFUNCTION("""COMPUTED_VALUE"""),"VIVAN Microphone VWA-M8C Black")</f>
        <v>VIVAN Microphone VWA-M8C Black</v>
      </c>
    </row>
    <row r="885">
      <c r="A885" s="233" t="str">
        <f>IFERROR(__xludf.DUMMYFUNCTION("""COMPUTED_VALUE"""),"VIVAN BUS Toples Data Cable,VBUSL,20PCS,Lightning,2.4A,1m.More durable, More stylish.")</f>
        <v>VIVAN BUS Toples Data Cable,VBUSL,20PCS,Lightning,2.4A,1m.More durable, More stylish.</v>
      </c>
      <c r="F885" s="233" t="str">
        <f>IFERROR(__xludf.DUMMYFUNCTION("""COMPUTED_VALUE"""),"VIVAN CAR CHARGER VCC11 BLACK")</f>
        <v>VIVAN CAR CHARGER VCC11 BLACK</v>
      </c>
    </row>
    <row r="886">
      <c r="A886" s="233" t="str">
        <f>IFERROR(__xludf.DUMMYFUNCTION("""COMPUTED_VALUE"""),"VIVAN BUS Toples Data Cable,VBUSM,20PCS,Micro,2.4A,1m.More durable, More stylish.")</f>
        <v>VIVAN BUS Toples Data Cable,VBUSM,20PCS,Micro,2.4A,1m.More durable, More stylish.</v>
      </c>
      <c r="F886" s="233" t="str">
        <f>IFERROR(__xludf.DUMMYFUNCTION("""COMPUTED_VALUE"""),"VIVAN Car Charger CCQ07 Black")</f>
        <v>VIVAN Car Charger CCQ07 Black</v>
      </c>
    </row>
    <row r="887">
      <c r="A887" s="233" t="str">
        <f>IFERROR(__xludf.DUMMYFUNCTION("""COMPUTED_VALUE"""),"Vivan BWC100S 3A 100cm Type-C Double-Sided with Colorful Light Effect Elbow Data Cable Gray")</f>
        <v>Vivan BWC100S 3A 100cm Type-C Double-Sided with Colorful Light Effect Elbow Data Cable Gray</v>
      </c>
      <c r="F887" s="233" t="str">
        <f>IFERROR(__xludf.DUMMYFUNCTION("""COMPUTED_VALUE"""),"VIVAN Car Charger VCC04 Blue")</f>
        <v>VIVAN Car Charger VCC04 Blue</v>
      </c>
    </row>
    <row r="888">
      <c r="A888" s="233" t="str">
        <f>IFERROR(__xludf.DUMMYFUNCTION("""COMPUTED_VALUE"""),"Vivan BWL100S 2.4A 100cm Lightning Double-Sided with Colorful Light Effect Elbow Data Cable Green")</f>
        <v>Vivan BWL100S 2.4A 100cm Lightning Double-Sided with Colorful Light Effect Elbow Data Cable Green</v>
      </c>
      <c r="F888" s="233" t="str">
        <f>IFERROR(__xludf.DUMMYFUNCTION("""COMPUTED_VALUE"""),"VIVAN Car Charger VCC04S Blue")</f>
        <v>VIVAN Car Charger VCC04S Blue</v>
      </c>
    </row>
    <row r="889">
      <c r="A889" s="233" t="str">
        <f>IFERROR(__xludf.DUMMYFUNCTION("""COMPUTED_VALUE"""),"Vivan BWM100S 2.4A 100cm Micro Double-Sided with Colorful Light Effect Elbow Data Cable Blue (SKU RJA-VIVA-0313)")</f>
        <v>Vivan BWM100S 2.4A 100cm Micro Double-Sided with Colorful Light Effect Elbow Data Cable Blue (SKU RJA-VIVA-0313)</v>
      </c>
      <c r="F889" s="233" t="str">
        <f>IFERROR(__xludf.DUMMYFUNCTION("""COMPUTED_VALUE"""),"VIVAN CC02C 3.4A Dual Port Smart IC Quick Charging Car Charger Black")</f>
        <v>VIVAN CC02C 3.4A Dual Port Smart IC Quick Charging Car Charger Black</v>
      </c>
    </row>
    <row r="890">
      <c r="A890" s="233" t="str">
        <f>IFERROR(__xludf.DUMMYFUNCTION("""COMPUTED_VALUE"""),"Vivan BWM100S 2.4A 100cm Micro Double-Sided with Colorful Light Effect Elbow Data Cable Blue (SKU RJA-VIVA-0314)")</f>
        <v>Vivan BWM100S 2.4A 100cm Micro Double-Sided with Colorful Light Effect Elbow Data Cable Blue (SKU RJA-VIVA-0314)</v>
      </c>
      <c r="F890" s="233" t="str">
        <f>IFERROR(__xludf.DUMMYFUNCTION("""COMPUTED_VALUE"""),"VIVAN VBT01 Bluetooth Transmitter 5.0")</f>
        <v>VIVAN VBT01 Bluetooth Transmitter 5.0</v>
      </c>
    </row>
    <row r="891">
      <c r="A891" s="233" t="str">
        <f>IFERROR(__xludf.DUMMYFUNCTION("""COMPUTED_VALUE"""),"VIVAN CABLE DATA VDUCL100 27W")</f>
        <v>VIVAN CABLE DATA VDUCL100 27W</v>
      </c>
      <c r="F891" s="233" t="str">
        <f>IFERROR(__xludf.DUMMYFUNCTION("""COMPUTED_VALUE"""),"VIVAN VCC01 2.4A Dual Port Small &amp; Portable Car Charger with 100cm Charging Cable White")</f>
        <v>VIVAN VCC01 2.4A Dual Port Small &amp; Portable Car Charger with 100cm Charging Cable White</v>
      </c>
    </row>
    <row r="892">
      <c r="A892" s="233" t="str">
        <f>IFERROR(__xludf.DUMMYFUNCTION("""COMPUTED_VALUE"""),"VIVAN Car Charger CCQ07 Black")</f>
        <v>VIVAN Car Charger CCQ07 Black</v>
      </c>
      <c r="F892" s="233" t="str">
        <f>IFERROR(__xludf.DUMMYFUNCTION("""COMPUTED_VALUE"""),"VIVAN Mini Fan VF01 Pink (SKU RJA-VIVA-0127)")</f>
        <v>VIVAN Mini Fan VF01 Pink (SKU RJA-VIVA-0127)</v>
      </c>
    </row>
    <row r="893">
      <c r="A893" s="233" t="str">
        <f>IFERROR(__xludf.DUMMYFUNCTION("""COMPUTED_VALUE"""),"VIVAN Car Charger VCC04 Blue")</f>
        <v>VIVAN Car Charger VCC04 Blue</v>
      </c>
      <c r="F893" s="233" t="str">
        <f>IFERROR(__xludf.DUMMYFUNCTION("""COMPUTED_VALUE"""),"Vivan Flashdisk VF516 16Gb Usb3.0 High Speed Blue")</f>
        <v>Vivan Flashdisk VF516 16Gb Usb3.0 High Speed Blue</v>
      </c>
    </row>
    <row r="894">
      <c r="A894" s="233" t="str">
        <f>IFERROR(__xludf.DUMMYFUNCTION("""COMPUTED_VALUE"""),"VIVAN Car Charger VCC04S Blue")</f>
        <v>VIVAN Car Charger VCC04S Blue</v>
      </c>
      <c r="F894" s="233" t="str">
        <f>IFERROR(__xludf.DUMMYFUNCTION("""COMPUTED_VALUE"""),"VIVAN VOM132 32GB Dual Interface Micro &amp; USB-A Metal Body Flashdisk Silver")</f>
        <v>VIVAN VOM132 32GB Dual Interface Micro &amp; USB-A Metal Body Flashdisk Silver</v>
      </c>
    </row>
    <row r="895">
      <c r="A895" s="233" t="str">
        <f>IFERROR(__xludf.DUMMYFUNCTION("""COMPUTED_VALUE"""),"VIVAN CAR CHARGER VCC11 BLACK")</f>
        <v>VIVAN CAR CHARGER VCC11 BLACK</v>
      </c>
      <c r="F895" s="233" t="str">
        <f>IFERROR(__xludf.DUMMYFUNCTION("""COMPUTED_VALUE"""),"VIVAN Q11s In-ear Metal Bass Ergonomic Design Black")</f>
        <v>VIVAN Q11s In-ear Metal Bass Ergonomic Design Black</v>
      </c>
    </row>
    <row r="896">
      <c r="A896" s="233" t="str">
        <f>IFERROR(__xludf.DUMMYFUNCTION("""COMPUTED_VALUE"""),"VIVAN Car Holder CHS15 Black")</f>
        <v>VIVAN Car Holder CHS15 Black</v>
      </c>
      <c r="F896" s="233" t="str">
        <f>IFERROR(__xludf.DUMMYFUNCTION("""COMPUTED_VALUE"""),"VIVAN Q12 Semi In-Ear Deep Bass Clear Audio Quality")</f>
        <v>VIVAN Q12 Semi In-Ear Deep Bass Clear Audio Quality</v>
      </c>
    </row>
    <row r="897">
      <c r="A897" s="233" t="str">
        <f>IFERROR(__xludf.DUMMYFUNCTION("""COMPUTED_VALUE"""),"VIVAN Car Holder CHS16 Black")</f>
        <v>VIVAN Car Holder CHS16 Black</v>
      </c>
      <c r="F897" s="233" t="str">
        <f>IFERROR(__xludf.DUMMYFUNCTION("""COMPUTED_VALUE"""),"VIVAN Wired Earphone Q15S")</f>
        <v>VIVAN Wired Earphone Q15S</v>
      </c>
    </row>
    <row r="898">
      <c r="A898" s="233" t="str">
        <f>IFERROR(__xludf.DUMMYFUNCTION("""COMPUTED_VALUE"""),"VIVAN CC02C 3.4A Dual Port Smart IC Quick Charging Car Charger Black")</f>
        <v>VIVAN CC02C 3.4A Dual Port Smart IC Quick Charging Car Charger Black</v>
      </c>
      <c r="F898" s="233" t="str">
        <f>IFERROR(__xludf.DUMMYFUNCTION("""COMPUTED_VALUE"""),"VIVAN Wired Earphone Q17 Black")</f>
        <v>VIVAN Wired Earphone Q17 Black</v>
      </c>
    </row>
    <row r="899">
      <c r="A899" s="233" t="str">
        <f>IFERROR(__xludf.DUMMYFUNCTION("""COMPUTED_VALUE"""),"VIVAN Charger Power 30 White")</f>
        <v>VIVAN Charger Power 30 White</v>
      </c>
      <c r="F899" s="233" t="str">
        <f>IFERROR(__xludf.DUMMYFUNCTION("""COMPUTED_VALUE"""),"VIVAN Wired Earphone Q18 Black")</f>
        <v>VIVAN Wired Earphone Q18 Black</v>
      </c>
    </row>
    <row r="900">
      <c r="A900" s="233" t="str">
        <f>IFERROR(__xludf.DUMMYFUNCTION("""COMPUTED_VALUE"""),"VIVAN Charger Power C20C Black (SKU RJA-VIVA-0723)")</f>
        <v>VIVAN Charger Power C20C Black (SKU RJA-VIVA-0723)</v>
      </c>
      <c r="F900" s="233" t="str">
        <f>IFERROR(__xludf.DUMMYFUNCTION("""COMPUTED_VALUE"""),"VIVAN Wired Earphone Q19 Black")</f>
        <v>VIVAN Wired Earphone Q19 Black</v>
      </c>
    </row>
    <row r="901">
      <c r="A901" s="233" t="str">
        <f>IFERROR(__xludf.DUMMYFUNCTION("""COMPUTED_VALUE"""),"VIVAN Charger Power C20C Black (SKU RJA-VIVA-0724)")</f>
        <v>VIVAN Charger Power C20C Black (SKU RJA-VIVA-0724)</v>
      </c>
      <c r="F901" s="233" t="str">
        <f>IFERROR(__xludf.DUMMYFUNCTION("""COMPUTED_VALUE"""),"VIVAN Wired Earphone Q19 WHITE")</f>
        <v>VIVAN Wired Earphone Q19 WHITE</v>
      </c>
    </row>
    <row r="902">
      <c r="A902" s="233" t="str">
        <f>IFERROR(__xludf.DUMMYFUNCTION("""COMPUTED_VALUE"""),"VIVAN Charger Power C20C White")</f>
        <v>VIVAN Charger Power C20C White</v>
      </c>
      <c r="F902" s="233" t="str">
        <f>IFERROR(__xludf.DUMMYFUNCTION("""COMPUTED_VALUE"""),"VIVAN Wired Headset Q15 Black")</f>
        <v>VIVAN Wired Headset Q15 Black</v>
      </c>
    </row>
    <row r="903">
      <c r="A903" s="233" t="str">
        <f>IFERROR(__xludf.DUMMYFUNCTION("""COMPUTED_VALUE"""),"VIVAN Charger Power C20L Black")</f>
        <v>VIVAN Charger Power C20L Black</v>
      </c>
      <c r="F903" s="233" t="str">
        <f>IFERROR(__xludf.DUMMYFUNCTION("""COMPUTED_VALUE"""),"VIVAN Wired Headset Q15S Black")</f>
        <v>VIVAN Wired Headset Q15S Black</v>
      </c>
    </row>
    <row r="904">
      <c r="A904" s="233" t="str">
        <f>IFERROR(__xludf.DUMMYFUNCTION("""COMPUTED_VALUE"""),"VIVAN Charger Power ice 20 Blue")</f>
        <v>VIVAN Charger Power ice 20 Blue</v>
      </c>
      <c r="F904" s="233" t="str">
        <f>IFERROR(__xludf.DUMMYFUNCTION("""COMPUTED_VALUE"""),"VIVAN Wired Headset Q15SC HI-FI Audio With Pure Bass Black Type-C Wired Earphone")</f>
        <v>VIVAN Wired Headset Q15SC HI-FI Audio With Pure Bass Black Type-C Wired Earphone</v>
      </c>
    </row>
    <row r="905">
      <c r="A905" s="233" t="str">
        <f>IFERROR(__xludf.DUMMYFUNCTION("""COMPUTED_VALUE"""),"VIVAN Charger Power Nano 20 Green")</f>
        <v>VIVAN Charger Power Nano 20 Green</v>
      </c>
      <c r="F905" s="233" t="str">
        <f>IFERROR(__xludf.DUMMYFUNCTION("""COMPUTED_VALUE"""),"VIVAN Wired Headset Q16")</f>
        <v>VIVAN Wired Headset Q16</v>
      </c>
    </row>
    <row r="906">
      <c r="A906" s="233" t="str">
        <f>IFERROR(__xludf.DUMMYFUNCTION("""COMPUTED_VALUE"""),"VIVAN Charger Power Nano 20 Purple")</f>
        <v>VIVAN Charger Power Nano 20 Purple</v>
      </c>
      <c r="F906" s="233" t="str">
        <f>IFERROR(__xludf.DUMMYFUNCTION("""COMPUTED_VALUE"""),"VIVAN Wireless Headset Liberty H100s Black")</f>
        <v>VIVAN Wireless Headset Liberty H100s Black</v>
      </c>
    </row>
    <row r="907">
      <c r="A907" s="233" t="str">
        <f>IFERROR(__xludf.DUMMYFUNCTION("""COMPUTED_VALUE"""),"VIVAN Charger Power oval 2S Black")</f>
        <v>VIVAN Charger Power oval 2S Black</v>
      </c>
      <c r="F907" s="233" t="str">
        <f>IFERROR(__xludf.DUMMYFUNCTION("""COMPUTED_VALUE"""),"VIVAN Car Holder CHS15 Black")</f>
        <v>VIVAN Car Holder CHS15 Black</v>
      </c>
    </row>
    <row r="908">
      <c r="A908" s="233" t="str">
        <f>IFERROR(__xludf.DUMMYFUNCTION("""COMPUTED_VALUE"""),"VIVAN Charger Power Oval 3C Black")</f>
        <v>VIVAN Charger Power Oval 3C Black</v>
      </c>
      <c r="F908" s="233" t="str">
        <f>IFERROR(__xludf.DUMMYFUNCTION("""COMPUTED_VALUE"""),"VIVAN Car Holder CHS16 Black")</f>
        <v>VIVAN Car Holder CHS16 Black</v>
      </c>
    </row>
    <row r="909">
      <c r="A909" s="233" t="str">
        <f>IFERROR(__xludf.DUMMYFUNCTION("""COMPUTED_VALUE"""),"VIVAN Charger Power Oval 3L Black")</f>
        <v>VIVAN Charger Power Oval 3L Black</v>
      </c>
      <c r="F909" s="233" t="str">
        <f>IFERROR(__xludf.DUMMYFUNCTION("""COMPUTED_VALUE"""),"VIVAN Motorcycle Holder VMH03 Strong Stable PC+Alminium alloy Material")</f>
        <v>VIVAN Motorcycle Holder VMH03 Strong Stable PC+Alminium alloy Material</v>
      </c>
    </row>
    <row r="910">
      <c r="A910" s="233" t="str">
        <f>IFERROR(__xludf.DUMMYFUNCTION("""COMPUTED_VALUE"""),"VIVAN Charger Power Super 3 Black")</f>
        <v>VIVAN Charger Power Super 3 Black</v>
      </c>
      <c r="F910" s="233" t="str">
        <f>IFERROR(__xludf.DUMMYFUNCTION("""COMPUTED_VALUE"""),"VIVAN Data Cable VGC100 Blue (SKU RJA-VIVA-0301)")</f>
        <v>VIVAN Data Cable VGC100 Blue (SKU RJA-VIVA-0301)</v>
      </c>
    </row>
    <row r="911">
      <c r="A911" s="233" t="str">
        <f>IFERROR(__xludf.DUMMYFUNCTION("""COMPUTED_VALUE"""),"VIVAN Data Cable BTK-CS Blue")</f>
        <v>VIVAN Data Cable BTK-CS Blue</v>
      </c>
      <c r="F911" s="233" t="str">
        <f>IFERROR(__xludf.DUMMYFUNCTION("""COMPUTED_VALUE"""),"VIVAN Data Cable VGC100 Blue (SKU RJA-VIVA-0302)")</f>
        <v>VIVAN Data Cable VGC100 Blue (SKU RJA-VIVA-0302)</v>
      </c>
    </row>
    <row r="912">
      <c r="A912" s="233" t="str">
        <f>IFERROR(__xludf.DUMMYFUNCTION("""COMPUTED_VALUE"""),"VIVAN Data Cable BTK-LS Green")</f>
        <v>VIVAN Data Cable BTK-LS Green</v>
      </c>
      <c r="F912" s="233" t="str">
        <f>IFERROR(__xludf.DUMMYFUNCTION("""COMPUTED_VALUE"""),"ViVaN Data Cable VFC100 Dark Blue (SKU RJA-VIVA-0303)")</f>
        <v>ViVaN Data Cable VFC100 Dark Blue (SKU RJA-VIVA-0303)</v>
      </c>
    </row>
    <row r="913">
      <c r="A913" s="233" t="str">
        <f>IFERROR(__xludf.DUMMYFUNCTION("""COMPUTED_VALUE"""),"VIVAN Data Cable CBC100 II Type-C 2.4A 100CM Colorful")</f>
        <v>VIVAN Data Cable CBC100 II Type-C 2.4A 100CM Colorful</v>
      </c>
      <c r="F913" s="233" t="str">
        <f>IFERROR(__xludf.DUMMYFUNCTION("""COMPUTED_VALUE"""),"ViVaN Data Cable VFC100 Dark Blue (SKU RJA-VIVA-0304)")</f>
        <v>ViVaN Data Cable VFC100 Dark Blue (SKU RJA-VIVA-0304)</v>
      </c>
    </row>
    <row r="914">
      <c r="A914" s="233" t="str">
        <f>IFERROR(__xludf.DUMMYFUNCTION("""COMPUTED_VALUE"""),"VIVAN DATA CABLE CHARGING CABLE SC100S")</f>
        <v>VIVAN DATA CABLE CHARGING CABLE SC100S</v>
      </c>
      <c r="F914" s="233" t="str">
        <f>IFERROR(__xludf.DUMMYFUNCTION("""COMPUTED_VALUE"""),"VIVAN Data Cable VFL100 Dark Blue (SKU RJA-VIVA-0305)")</f>
        <v>VIVAN Data Cable VFL100 Dark Blue (SKU RJA-VIVA-0305)</v>
      </c>
    </row>
    <row r="915">
      <c r="A915" s="233" t="str">
        <f>IFERROR(__xludf.DUMMYFUNCTION("""COMPUTED_VALUE"""),"VIVAN DATA CABLE CHARGING CABLE SM100S")</f>
        <v>VIVAN DATA CABLE CHARGING CABLE SM100S</v>
      </c>
      <c r="F915" s="233" t="str">
        <f>IFERROR(__xludf.DUMMYFUNCTION("""COMPUTED_VALUE"""),"VIVAN Data Cable VFL100 Dark Blue (SKU RJA-VIVA-0306)")</f>
        <v>VIVAN Data Cable VFL100 Dark Blue (SKU RJA-VIVA-0306)</v>
      </c>
    </row>
    <row r="916">
      <c r="A916" s="233" t="str">
        <f>IFERROR(__xludf.DUMMYFUNCTION("""COMPUTED_VALUE"""),"VIVAN Data Cable CSL100 B New Colorful colorful")</f>
        <v>VIVAN Data Cable CSL100 B New Colorful colorful</v>
      </c>
      <c r="F916" s="233" t="str">
        <f>IFERROR(__xludf.DUMMYFUNCTION("""COMPUTED_VALUE"""),"VIVAN BUS Toples Data Cable,VBUSC,20PCS,type C,3A,1m.More durable, More stylish.")</f>
        <v>VIVAN BUS Toples Data Cable,VBUSC,20PCS,type C,3A,1m.More durable, More stylish.</v>
      </c>
    </row>
    <row r="917">
      <c r="A917" s="233" t="str">
        <f>IFERROR(__xludf.DUMMYFUNCTION("""COMPUTED_VALUE"""),"VIVAN Data Cable CTCC100S colorful")</f>
        <v>VIVAN Data Cable CTCC100S colorful</v>
      </c>
      <c r="F917" s="233" t="str">
        <f>IFERROR(__xludf.DUMMYFUNCTION("""COMPUTED_VALUE"""),"VIVAN BUS Toples Data Cable,VBUSCC,20PCS,C TO C,3A,60W,1m.More durable, More stylish.")</f>
        <v>VIVAN BUS Toples Data Cable,VBUSCC,20PCS,C TO C,3A,60W,1m.More durable, More stylish.</v>
      </c>
    </row>
    <row r="918">
      <c r="A918" s="233" t="str">
        <f>IFERROR(__xludf.DUMMYFUNCTION("""COMPUTED_VALUE"""),"VIVAN Data Cable CTL100S Color")</f>
        <v>VIVAN Data Cable CTL100S Color</v>
      </c>
      <c r="F918" s="233" t="str">
        <f>IFERROR(__xludf.DUMMYFUNCTION("""COMPUTED_VALUE"""),"VIVAN BUS Toples Data Cable,VBUSL,20PCS,Lightning,2.4A,1m.More durable, More stylish.")</f>
        <v>VIVAN BUS Toples Data Cable,VBUSL,20PCS,Lightning,2.4A,1m.More durable, More stylish.</v>
      </c>
    </row>
    <row r="919">
      <c r="A919" s="233" t="str">
        <f>IFERROR(__xludf.DUMMYFUNCTION("""COMPUTED_VALUE"""),"VIVAN Data Cable Explore-AC Black")</f>
        <v>VIVAN Data Cable Explore-AC Black</v>
      </c>
      <c r="F919" s="233" t="str">
        <f>IFERROR(__xludf.DUMMYFUNCTION("""COMPUTED_VALUE"""),"VIVAN BUS Toples Data Cable,VBUSM,20PCS,Micro,2.4A,1m.More durable, More stylish.")</f>
        <v>VIVAN BUS Toples Data Cable,VBUSM,20PCS,Micro,2.4A,1m.More durable, More stylish.</v>
      </c>
    </row>
    <row r="920">
      <c r="A920" s="233" t="str">
        <f>IFERROR(__xludf.DUMMYFUNCTION("""COMPUTED_VALUE"""),"VIVAN Data Cable Explore-AL Black")</f>
        <v>VIVAN Data Cable Explore-AL Black</v>
      </c>
      <c r="F920" s="233" t="str">
        <f>IFERROR(__xludf.DUMMYFUNCTION("""COMPUTED_VALUE"""),"Vivan BWC100S 3A 100cm Type-C Double-Sided with Colorful Light Effect Elbow Data Cable Gray")</f>
        <v>Vivan BWC100S 3A 100cm Type-C Double-Sided with Colorful Light Effect Elbow Data Cable Gray</v>
      </c>
    </row>
    <row r="921">
      <c r="A921" s="233" t="str">
        <f>IFERROR(__xludf.DUMMYFUNCTION("""COMPUTED_VALUE"""),"VIVAN Data Cable Explore-CC Black (SKU RJA-VIVA-0404)")</f>
        <v>VIVAN Data Cable Explore-CC Black (SKU RJA-VIVA-0404)</v>
      </c>
      <c r="F921" s="233" t="str">
        <f>IFERROR(__xludf.DUMMYFUNCTION("""COMPUTED_VALUE"""),"Vivan BWL100S 2.4A 100cm Lightning Double-Sided with Colorful Light Effect Elbow Data Cable Green")</f>
        <v>Vivan BWL100S 2.4A 100cm Lightning Double-Sided with Colorful Light Effect Elbow Data Cable Green</v>
      </c>
    </row>
    <row r="922">
      <c r="A922" s="233" t="str">
        <f>IFERROR(__xludf.DUMMYFUNCTION("""COMPUTED_VALUE"""),"VIVAN Data Cable Explore-CC Black (SKU RJA-VIVA-0415)")</f>
        <v>VIVAN Data Cable Explore-CC Black (SKU RJA-VIVA-0415)</v>
      </c>
      <c r="F922" s="233" t="str">
        <f>IFERROR(__xludf.DUMMYFUNCTION("""COMPUTED_VALUE"""),"Vivan BWM100S 2.4A 100cm Micro Double-Sided with Colorful Light Effect Elbow Data Cable Blue (SKU RJA-VIVA-0313)")</f>
        <v>Vivan BWM100S 2.4A 100cm Micro Double-Sided with Colorful Light Effect Elbow Data Cable Blue (SKU RJA-VIVA-0313)</v>
      </c>
    </row>
    <row r="923">
      <c r="A923" s="233" t="str">
        <f>IFERROR(__xludf.DUMMYFUNCTION("""COMPUTED_VALUE"""),"VIVAN Data Cable Explore-CL Black")</f>
        <v>VIVAN Data Cable Explore-CL Black</v>
      </c>
      <c r="F923" s="233" t="str">
        <f>IFERROR(__xludf.DUMMYFUNCTION("""COMPUTED_VALUE"""),"Vivan BWM100S 2.4A 100cm Micro Double-Sided with Colorful Light Effect Elbow Data Cable Blue (SKU RJA-VIVA-0314)")</f>
        <v>Vivan BWM100S 2.4A 100cm Micro Double-Sided with Colorful Light Effect Elbow Data Cable Blue (SKU RJA-VIVA-0314)</v>
      </c>
    </row>
    <row r="924">
      <c r="A924" s="233" t="str">
        <f>IFERROR(__xludf.DUMMYFUNCTION("""COMPUTED_VALUE"""),"VIVAN DATA CABLE FL100 SPRING")</f>
        <v>VIVAN DATA CABLE FL100 SPRING</v>
      </c>
      <c r="F924" s="233" t="str">
        <f>IFERROR(__xludf.DUMMYFUNCTION("""COMPUTED_VALUE"""),"VIVAN CABLE DATA VDUCL100 27W")</f>
        <v>VIVAN CABLE DATA VDUCL100 27W</v>
      </c>
    </row>
    <row r="925">
      <c r="A925" s="233" t="str">
        <f>IFERROR(__xludf.DUMMYFUNCTION("""COMPUTED_VALUE"""),"VIVAN Data Cable KAL100 White")</f>
        <v>VIVAN Data Cable KAL100 White</v>
      </c>
      <c r="F925" s="233" t="str">
        <f>IFERROR(__xludf.DUMMYFUNCTION("""COMPUTED_VALUE"""),"VIVAN Data Cable BTK-CS Blue")</f>
        <v>VIVAN Data Cable BTK-CS Blue</v>
      </c>
    </row>
    <row r="926">
      <c r="A926" s="233" t="str">
        <f>IFERROR(__xludf.DUMMYFUNCTION("""COMPUTED_VALUE"""),"VIVAN DATA CABLE MAGNETIC MGL100")</f>
        <v>VIVAN DATA CABLE MAGNETIC MGL100</v>
      </c>
      <c r="F926" s="233" t="str">
        <f>IFERROR(__xludf.DUMMYFUNCTION("""COMPUTED_VALUE"""),"VIVAN Data Cable BTK-LS Green")</f>
        <v>VIVAN Data Cable BTK-LS Green</v>
      </c>
    </row>
    <row r="927">
      <c r="A927" s="233" t="str">
        <f>IFERROR(__xludf.DUMMYFUNCTION("""COMPUTED_VALUE"""),"VIVAN Data Cable SC200 II White (SKU RJA-VIVA-0429)")</f>
        <v>VIVAN Data Cable SC200 II White (SKU RJA-VIVA-0429)</v>
      </c>
      <c r="F927" s="233" t="str">
        <f>IFERROR(__xludf.DUMMYFUNCTION("""COMPUTED_VALUE"""),"VIVAN Data Cable CBC100 II Type-C 2.4A 100CM Colorful")</f>
        <v>VIVAN Data Cable CBC100 II Type-C 2.4A 100CM Colorful</v>
      </c>
    </row>
    <row r="928">
      <c r="A928" s="233" t="str">
        <f>IFERROR(__xludf.DUMMYFUNCTION("""COMPUTED_VALUE"""),"VIVAN Data Cable SC200 II White (SKU RJA-VIVA-0430)")</f>
        <v>VIVAN Data Cable SC200 II White (SKU RJA-VIVA-0430)</v>
      </c>
      <c r="F928" s="233" t="str">
        <f>IFERROR(__xludf.DUMMYFUNCTION("""COMPUTED_VALUE"""),"VIVAN DATA CABLE CHARGING CABLE SC100S")</f>
        <v>VIVAN DATA CABLE CHARGING CABLE SC100S</v>
      </c>
    </row>
    <row r="929">
      <c r="A929" s="233" t="str">
        <f>IFERROR(__xludf.DUMMYFUNCTION("""COMPUTED_VALUE"""),"VIVAN Data Cable SL30 II White")</f>
        <v>VIVAN Data Cable SL30 II White</v>
      </c>
      <c r="F929" s="233" t="str">
        <f>IFERROR(__xludf.DUMMYFUNCTION("""COMPUTED_VALUE"""),"VIVAN DATA CABLE CHARGING CABLE SM100S")</f>
        <v>VIVAN DATA CABLE CHARGING CABLE SM100S</v>
      </c>
    </row>
    <row r="930">
      <c r="A930" s="233" t="str">
        <f>IFERROR(__xludf.DUMMYFUNCTION("""COMPUTED_VALUE"""),"VIVAN Data Cable VAC01 Black")</f>
        <v>VIVAN Data Cable VAC01 Black</v>
      </c>
      <c r="F930" s="233" t="str">
        <f>IFERROR(__xludf.DUMMYFUNCTION("""COMPUTED_VALUE"""),"VIVAN Data Cable CSL100 B New Colorful colorful")</f>
        <v>VIVAN Data Cable CSL100 B New Colorful colorful</v>
      </c>
    </row>
    <row r="931">
      <c r="A931" s="233" t="str">
        <f>IFERROR(__xludf.DUMMYFUNCTION("""COMPUTED_VALUE"""),"VIVAN Data Cable VAL01 Lightning TO Lihtning+DC 3.5 F Dark Gray")</f>
        <v>VIVAN Data Cable VAL01 Lightning TO Lihtning+DC 3.5 F Dark Gray</v>
      </c>
      <c r="F931" s="233" t="str">
        <f>IFERROR(__xludf.DUMMYFUNCTION("""COMPUTED_VALUE"""),"VIVAN Data Cable CTCC100S colorful")</f>
        <v>VIVAN Data Cable CTCC100S colorful</v>
      </c>
    </row>
    <row r="932">
      <c r="A932" s="233" t="str">
        <f>IFERROR(__xludf.DUMMYFUNCTION("""COMPUTED_VALUE"""),"Vivan Data Cable VCC100 Black (SKU RJA-VIVA-0441)")</f>
        <v>Vivan Data Cable VCC100 Black (SKU RJA-VIVA-0441)</v>
      </c>
      <c r="F932" s="233" t="str">
        <f>IFERROR(__xludf.DUMMYFUNCTION("""COMPUTED_VALUE"""),"VIVAN Data Cable CTL100S Color")</f>
        <v>VIVAN Data Cable CTL100S Color</v>
      </c>
    </row>
    <row r="933">
      <c r="A933" s="233" t="str">
        <f>IFERROR(__xludf.DUMMYFUNCTION("""COMPUTED_VALUE"""),"Vivan Data Cable VCC100 Black (SKU RJA-VIVA-0442)")</f>
        <v>Vivan Data Cable VCC100 Black (SKU RJA-VIVA-0442)</v>
      </c>
      <c r="F933" s="233" t="str">
        <f>IFERROR(__xludf.DUMMYFUNCTION("""COMPUTED_VALUE"""),"VIVAN Data Cable Explore-AC Black")</f>
        <v>VIVAN Data Cable Explore-AC Black</v>
      </c>
    </row>
    <row r="934">
      <c r="A934" s="233" t="str">
        <f>IFERROR(__xludf.DUMMYFUNCTION("""COMPUTED_VALUE"""),"VIVAN Data Cable VDCC120 Black")</f>
        <v>VIVAN Data Cable VDCC120 Black</v>
      </c>
      <c r="F934" s="233" t="str">
        <f>IFERROR(__xludf.DUMMYFUNCTION("""COMPUTED_VALUE"""),"VIVAN Data Cable Explore-AL Black")</f>
        <v>VIVAN Data Cable Explore-AL Black</v>
      </c>
    </row>
    <row r="935">
      <c r="A935" s="233" t="str">
        <f>IFERROR(__xludf.DUMMYFUNCTION("""COMPUTED_VALUE"""),"VIVAN Data Cable VDCL120 Black")</f>
        <v>VIVAN Data Cable VDCL120 Black</v>
      </c>
      <c r="F935" s="233" t="str">
        <f>IFERROR(__xludf.DUMMYFUNCTION("""COMPUTED_VALUE"""),"VIVAN Data Cable Explore-CC Black (SKU RJA-VIVA-0404)")</f>
        <v>VIVAN Data Cable Explore-CC Black (SKU RJA-VIVA-0404)</v>
      </c>
    </row>
    <row r="936">
      <c r="A936" s="233" t="str">
        <f>IFERROR(__xludf.DUMMYFUNCTION("""COMPUTED_VALUE"""),"VIVAN Data Cable VEC100 Purple")</f>
        <v>VIVAN Data Cable VEC100 Purple</v>
      </c>
      <c r="F936" s="233" t="str">
        <f>IFERROR(__xludf.DUMMYFUNCTION("""COMPUTED_VALUE"""),"VIVAN Data Cable Explore-CC Black (SKU RJA-VIVA-0415)")</f>
        <v>VIVAN Data Cable Explore-CC Black (SKU RJA-VIVA-0415)</v>
      </c>
    </row>
    <row r="937">
      <c r="A937" s="233" t="str">
        <f>IFERROR(__xludf.DUMMYFUNCTION("""COMPUTED_VALUE"""),"VIVAN Data Cable VECC100 Orange")</f>
        <v>VIVAN Data Cable VECC100 Orange</v>
      </c>
      <c r="F937" s="233" t="str">
        <f>IFERROR(__xludf.DUMMYFUNCTION("""COMPUTED_VALUE"""),"VIVAN Data Cable Explore-CL Black")</f>
        <v>VIVAN Data Cable Explore-CL Black</v>
      </c>
    </row>
    <row r="938">
      <c r="A938" s="233" t="str">
        <f>IFERROR(__xludf.DUMMYFUNCTION("""COMPUTED_VALUE"""),"ViVaN Data Cable VFC100 Dark Blue (SKU RJA-VIVA-0303)")</f>
        <v>ViVaN Data Cable VFC100 Dark Blue (SKU RJA-VIVA-0303)</v>
      </c>
      <c r="F938" s="233" t="str">
        <f>IFERROR(__xludf.DUMMYFUNCTION("""COMPUTED_VALUE"""),"VIVAN DATA CABLE FL100 SPRING")</f>
        <v>VIVAN DATA CABLE FL100 SPRING</v>
      </c>
    </row>
    <row r="939">
      <c r="A939" s="233" t="str">
        <f>IFERROR(__xludf.DUMMYFUNCTION("""COMPUTED_VALUE"""),"ViVaN Data Cable VFC100 Dark Blue (SKU RJA-VIVA-0304)")</f>
        <v>ViVaN Data Cable VFC100 Dark Blue (SKU RJA-VIVA-0304)</v>
      </c>
      <c r="F939" s="233" t="str">
        <f>IFERROR(__xludf.DUMMYFUNCTION("""COMPUTED_VALUE"""),"VIVAN Data Cable KAL100 White")</f>
        <v>VIVAN Data Cable KAL100 White</v>
      </c>
    </row>
    <row r="940">
      <c r="A940" s="233" t="str">
        <f>IFERROR(__xludf.DUMMYFUNCTION("""COMPUTED_VALUE"""),"VIVAN Data Cable VFL100 Dark Blue (SKU RJA-VIVA-0305)")</f>
        <v>VIVAN Data Cable VFL100 Dark Blue (SKU RJA-VIVA-0305)</v>
      </c>
      <c r="F940" s="233" t="str">
        <f>IFERROR(__xludf.DUMMYFUNCTION("""COMPUTED_VALUE"""),"VIVAN DATA CABLE MAGNETIC MGL100")</f>
        <v>VIVAN DATA CABLE MAGNETIC MGL100</v>
      </c>
    </row>
    <row r="941">
      <c r="A941" s="233" t="str">
        <f>IFERROR(__xludf.DUMMYFUNCTION("""COMPUTED_VALUE"""),"VIVAN Data Cable VFL100 Dark Blue (SKU RJA-VIVA-0306)")</f>
        <v>VIVAN Data Cable VFL100 Dark Blue (SKU RJA-VIVA-0306)</v>
      </c>
      <c r="F941" s="233" t="str">
        <f>IFERROR(__xludf.DUMMYFUNCTION("""COMPUTED_VALUE"""),"VIVAN Data Cable SC200 II White (SKU RJA-VIVA-0429)")</f>
        <v>VIVAN Data Cable SC200 II White (SKU RJA-VIVA-0429)</v>
      </c>
    </row>
    <row r="942">
      <c r="A942" s="233" t="str">
        <f>IFERROR(__xludf.DUMMYFUNCTION("""COMPUTED_VALUE"""),"VIVAN Data Cable VGC100 Blue (SKU RJA-VIVA-0301)")</f>
        <v>VIVAN Data Cable VGC100 Blue (SKU RJA-VIVA-0301)</v>
      </c>
      <c r="F942" s="233" t="str">
        <f>IFERROR(__xludf.DUMMYFUNCTION("""COMPUTED_VALUE"""),"VIVAN Data Cable SC200 II White (SKU RJA-VIVA-0430)")</f>
        <v>VIVAN Data Cable SC200 II White (SKU RJA-VIVA-0430)</v>
      </c>
    </row>
    <row r="943">
      <c r="A943" s="233" t="str">
        <f>IFERROR(__xludf.DUMMYFUNCTION("""COMPUTED_VALUE"""),"VIVAN Data Cable VGC100 Blue (SKU RJA-VIVA-0302)")</f>
        <v>VIVAN Data Cable VGC100 Blue (SKU RJA-VIVA-0302)</v>
      </c>
      <c r="F943" s="233" t="str">
        <f>IFERROR(__xludf.DUMMYFUNCTION("""COMPUTED_VALUE"""),"VIVAN Data Cable SL30 II White")</f>
        <v>VIVAN Data Cable SL30 II White</v>
      </c>
    </row>
    <row r="944">
      <c r="A944" s="233" t="str">
        <f>IFERROR(__xludf.DUMMYFUNCTION("""COMPUTED_VALUE"""),"Vivan Data Cable VIC100 Black (SKU RJA-VIVA-0459)")</f>
        <v>Vivan Data Cable VIC100 Black (SKU RJA-VIVA-0459)</v>
      </c>
      <c r="F944" s="233" t="str">
        <f>IFERROR(__xludf.DUMMYFUNCTION("""COMPUTED_VALUE"""),"VIVAN Data Cable VAC01 Black")</f>
        <v>VIVAN Data Cable VAC01 Black</v>
      </c>
    </row>
    <row r="945">
      <c r="A945" s="233" t="str">
        <f>IFERROR(__xludf.DUMMYFUNCTION("""COMPUTED_VALUE"""),"Vivan Data Cable VIC100 Black (SKU RJA-VIVA-0461)")</f>
        <v>Vivan Data Cable VIC100 Black (SKU RJA-VIVA-0461)</v>
      </c>
      <c r="F945" s="233" t="str">
        <f>IFERROR(__xludf.DUMMYFUNCTION("""COMPUTED_VALUE"""),"VIVAN Data Cable VAL01 Lightning TO Lihtning+DC 3.5 F Dark Gray")</f>
        <v>VIVAN Data Cable VAL01 Lightning TO Lihtning+DC 3.5 F Dark Gray</v>
      </c>
    </row>
    <row r="946">
      <c r="A946" s="233" t="str">
        <f>IFERROR(__xludf.DUMMYFUNCTION("""COMPUTED_VALUE"""),"VIVAN Data Cable VICL100S Gray")</f>
        <v>VIVAN Data Cable VICL100S Gray</v>
      </c>
      <c r="F946" s="233" t="str">
        <f>IFERROR(__xludf.DUMMYFUNCTION("""COMPUTED_VALUE"""),"Vivan Data Cable VCC100 Black (SKU RJA-VIVA-0441)")</f>
        <v>Vivan Data Cable VCC100 Black (SKU RJA-VIVA-0441)</v>
      </c>
    </row>
    <row r="947">
      <c r="A947" s="233" t="str">
        <f>IFERROR(__xludf.DUMMYFUNCTION("""COMPUTED_VALUE"""),"Vivan Data Cable VIL100 Black (SKU RJA-VIVA-0463)")</f>
        <v>Vivan Data Cable VIL100 Black (SKU RJA-VIVA-0463)</v>
      </c>
      <c r="F947" s="233" t="str">
        <f>IFERROR(__xludf.DUMMYFUNCTION("""COMPUTED_VALUE"""),"Vivan Data Cable VCC100 Black (SKU RJA-VIVA-0442)")</f>
        <v>Vivan Data Cable VCC100 Black (SKU RJA-VIVA-0442)</v>
      </c>
    </row>
    <row r="948">
      <c r="A948" s="233" t="str">
        <f>IFERROR(__xludf.DUMMYFUNCTION("""COMPUTED_VALUE"""),"Vivan Data Cable VIL100 Black (SKU RJA-VIVA-0464)")</f>
        <v>Vivan Data Cable VIL100 Black (SKU RJA-VIVA-0464)</v>
      </c>
      <c r="F948" s="233" t="str">
        <f>IFERROR(__xludf.DUMMYFUNCTION("""COMPUTED_VALUE"""),"VIVAN Data Cable VDCC120 Black")</f>
        <v>VIVAN Data Cable VDCC120 Black</v>
      </c>
    </row>
    <row r="949">
      <c r="A949" s="233" t="str">
        <f>IFERROR(__xludf.DUMMYFUNCTION("""COMPUTED_VALUE"""),"VIVAN Data Cable VKF-CL100,Fish line braid C To Lightnig 27W 3A,1m,")</f>
        <v>VIVAN Data Cable VKF-CL100,Fish line braid C To Lightnig 27W 3A,1m,</v>
      </c>
      <c r="F949" s="233" t="str">
        <f>IFERROR(__xludf.DUMMYFUNCTION("""COMPUTED_VALUE"""),"VIVAN Data Cable VDCL120 Black")</f>
        <v>VIVAN Data Cable VDCL120 Black</v>
      </c>
    </row>
    <row r="950">
      <c r="A950" s="233" t="str">
        <f>IFERROR(__xludf.DUMMYFUNCTION("""COMPUTED_VALUE"""),"VIVAN Data Cable VRS01 White")</f>
        <v>VIVAN Data Cable VRS01 White</v>
      </c>
      <c r="F950" s="233" t="str">
        <f>IFERROR(__xludf.DUMMYFUNCTION("""COMPUTED_VALUE"""),"VIVAN Data Cable VEC100 Purple")</f>
        <v>VIVAN Data Cable VEC100 Purple</v>
      </c>
    </row>
    <row r="951">
      <c r="A951" s="233" t="str">
        <f>IFERROR(__xludf.DUMMYFUNCTION("""COMPUTED_VALUE"""),"VIVAN Data Cable VRS02 Blue")</f>
        <v>VIVAN Data Cable VRS02 Blue</v>
      </c>
      <c r="F951" s="233" t="str">
        <f>IFERROR(__xludf.DUMMYFUNCTION("""COMPUTED_VALUE"""),"VIVAN Data Cable VECC100 Orange")</f>
        <v>VIVAN Data Cable VECC100 Orange</v>
      </c>
    </row>
    <row r="952">
      <c r="A952" s="233" t="str">
        <f>IFERROR(__xludf.DUMMYFUNCTION("""COMPUTED_VALUE"""),"VIVAN Data Cable VRS02 Purple (SKU RJA-VIVA-0470)")</f>
        <v>VIVAN Data Cable VRS02 Purple (SKU RJA-VIVA-0470)</v>
      </c>
      <c r="F952" s="233" t="str">
        <f>IFERROR(__xludf.DUMMYFUNCTION("""COMPUTED_VALUE"""),"Vivan Data Cable VIC100 Black (SKU RJA-VIVA-0459)")</f>
        <v>Vivan Data Cable VIC100 Black (SKU RJA-VIVA-0459)</v>
      </c>
    </row>
    <row r="953">
      <c r="A953" s="233" t="str">
        <f>IFERROR(__xludf.DUMMYFUNCTION("""COMPUTED_VALUE"""),"VIVAN Data Cable VRS02 Purple (SKU RJA-VIVA-0471)")</f>
        <v>VIVAN Data Cable VRS02 Purple (SKU RJA-VIVA-0471)</v>
      </c>
      <c r="F953" s="233" t="str">
        <f>IFERROR(__xludf.DUMMYFUNCTION("""COMPUTED_VALUE"""),"Vivan Data Cable VIC100 Black (SKU RJA-VIVA-0461)")</f>
        <v>Vivan Data Cable VIC100 Black (SKU RJA-VIVA-0461)</v>
      </c>
    </row>
    <row r="954">
      <c r="A954" s="233" t="str">
        <f>IFERROR(__xludf.DUMMYFUNCTION("""COMPUTED_VALUE"""),"VIVAN Data Cable VSCC120S Blue")</f>
        <v>VIVAN Data Cable VSCC120S Blue</v>
      </c>
      <c r="F954" s="233" t="str">
        <f>IFERROR(__xludf.DUMMYFUNCTION("""COMPUTED_VALUE"""),"VIVAN Data Cable VICL100S Gray")</f>
        <v>VIVAN Data Cable VICL100S Gray</v>
      </c>
    </row>
    <row r="955">
      <c r="A955" s="233" t="str">
        <f>IFERROR(__xludf.DUMMYFUNCTION("""COMPUTED_VALUE"""),"VIVAN Data Cable VSCL120S Blue")</f>
        <v>VIVAN Data Cable VSCL120S Blue</v>
      </c>
      <c r="F955" s="233" t="str">
        <f>IFERROR(__xludf.DUMMYFUNCTION("""COMPUTED_VALUE"""),"Vivan Data Cable VIL100 Black (SKU RJA-VIVA-0463)")</f>
        <v>Vivan Data Cable VIL100 Black (SKU RJA-VIVA-0463)</v>
      </c>
    </row>
    <row r="956">
      <c r="A956" s="233" t="str">
        <f>IFERROR(__xludf.DUMMYFUNCTION("""COMPUTED_VALUE"""),"VIVAN Data Cable VXC100S Blue")</f>
        <v>VIVAN Data Cable VXC100S Blue</v>
      </c>
      <c r="F956" s="233" t="str">
        <f>IFERROR(__xludf.DUMMYFUNCTION("""COMPUTED_VALUE"""),"Vivan Data Cable VIL100 Black (SKU RJA-VIVA-0464)")</f>
        <v>Vivan Data Cable VIL100 Black (SKU RJA-VIVA-0464)</v>
      </c>
    </row>
    <row r="957">
      <c r="A957" s="233" t="str">
        <f>IFERROR(__xludf.DUMMYFUNCTION("""COMPUTED_VALUE"""),"VIVAN Data Cable VXL100S Green")</f>
        <v>VIVAN Data Cable VXL100S Green</v>
      </c>
      <c r="F957" s="233" t="str">
        <f>IFERROR(__xludf.DUMMYFUNCTION("""COMPUTED_VALUE"""),"VIVAN Data Cable VKF-CL100,Fish line braid C To Lightnig 27W 3A,1m,")</f>
        <v>VIVAN Data Cable VKF-CL100,Fish line braid C To Lightnig 27W 3A,1m,</v>
      </c>
    </row>
    <row r="958">
      <c r="A958" s="233" t="str">
        <f>IFERROR(__xludf.DUMMYFUNCTION("""COMPUTED_VALUE"""),"VIVAN Data Cable VXM100S Silver")</f>
        <v>VIVAN Data Cable VXM100S Silver</v>
      </c>
      <c r="F958" s="233" t="str">
        <f>IFERROR(__xludf.DUMMYFUNCTION("""COMPUTED_VALUE"""),"VIVAN Data Cable VRS01 White")</f>
        <v>VIVAN Data Cable VRS01 White</v>
      </c>
    </row>
    <row r="959">
      <c r="A959" s="233" t="str">
        <f>IFERROR(__xludf.DUMMYFUNCTION("""COMPUTED_VALUE"""),"VIVAN Data Cable VYF120 White")</f>
        <v>VIVAN Data Cable VYF120 White</v>
      </c>
      <c r="F959" s="233" t="str">
        <f>IFERROR(__xludf.DUMMYFUNCTION("""COMPUTED_VALUE"""),"VIVAN Data Cable VRS02 Blue")</f>
        <v>VIVAN Data Cable VRS02 Blue</v>
      </c>
    </row>
    <row r="960">
      <c r="A960" s="233" t="str">
        <f>IFERROR(__xludf.DUMMYFUNCTION("""COMPUTED_VALUE"""),"VIVAN Data Cable VZC100S Green")</f>
        <v>VIVAN Data Cable VZC100S Green</v>
      </c>
      <c r="F960" s="233" t="str">
        <f>IFERROR(__xludf.DUMMYFUNCTION("""COMPUTED_VALUE"""),"VIVAN Data Cable VRS02 Purple (SKU RJA-VIVA-0470)")</f>
        <v>VIVAN Data Cable VRS02 Purple (SKU RJA-VIVA-0470)</v>
      </c>
    </row>
    <row r="961">
      <c r="A961" s="233" t="str">
        <f>IFERROR(__xludf.DUMMYFUNCTION("""COMPUTED_VALUE"""),"VIVAN Data Cable VZCC100 Grey (SKU RJA-VIVA-0479)")</f>
        <v>VIVAN Data Cable VZCC100 Grey (SKU RJA-VIVA-0479)</v>
      </c>
      <c r="F961" s="233" t="str">
        <f>IFERROR(__xludf.DUMMYFUNCTION("""COMPUTED_VALUE"""),"VIVAN Data Cable VRS02 Purple (SKU RJA-VIVA-0471)")</f>
        <v>VIVAN Data Cable VRS02 Purple (SKU RJA-VIVA-0471)</v>
      </c>
    </row>
    <row r="962">
      <c r="A962" s="233" t="str">
        <f>IFERROR(__xludf.DUMMYFUNCTION("""COMPUTED_VALUE"""),"VIVAN Data Cable VZCC100 Grey (SKU RJA-VIVA-0480)")</f>
        <v>VIVAN Data Cable VZCC100 Grey (SKU RJA-VIVA-0480)</v>
      </c>
      <c r="F962" s="233" t="str">
        <f>IFERROR(__xludf.DUMMYFUNCTION("""COMPUTED_VALUE"""),"VIVAN Data Cable VSCC120S Blue")</f>
        <v>VIVAN Data Cable VSCC120S Blue</v>
      </c>
    </row>
    <row r="963">
      <c r="A963" s="233" t="str">
        <f>IFERROR(__xludf.DUMMYFUNCTION("""COMPUTED_VALUE"""),"VIVAN Data Cable VZCL100 Grey")</f>
        <v>VIVAN Data Cable VZCL100 Grey</v>
      </c>
      <c r="F963" s="233" t="str">
        <f>IFERROR(__xludf.DUMMYFUNCTION("""COMPUTED_VALUE"""),"VIVAN Data Cable VSCL120S Blue")</f>
        <v>VIVAN Data Cable VSCL120S Blue</v>
      </c>
    </row>
    <row r="964">
      <c r="A964" s="233" t="str">
        <f>IFERROR(__xludf.DUMMYFUNCTION("""COMPUTED_VALUE"""),"VIVAN Data Cable VZL100S Blue")</f>
        <v>VIVAN Data Cable VZL100S Blue</v>
      </c>
      <c r="F964" s="233" t="str">
        <f>IFERROR(__xludf.DUMMYFUNCTION("""COMPUTED_VALUE"""),"VIVAN Data Cable VXC100S Blue")</f>
        <v>VIVAN Data Cable VXC100S Blue</v>
      </c>
    </row>
    <row r="965">
      <c r="A965" s="233" t="str">
        <f>IFERROR(__xludf.DUMMYFUNCTION("""COMPUTED_VALUE"""),"VIVAN Dual-wire Powerbank VPB-E10S 10000mAh 22.5W White")</f>
        <v>VIVAN Dual-wire Powerbank VPB-E10S 10000mAh 22.5W White</v>
      </c>
      <c r="F965" s="233" t="str">
        <f>IFERROR(__xludf.DUMMYFUNCTION("""COMPUTED_VALUE"""),"VIVAN Data Cable VXL100S Green")</f>
        <v>VIVAN Data Cable VXL100S Green</v>
      </c>
    </row>
    <row r="966">
      <c r="A966" s="233" t="str">
        <f>IFERROR(__xludf.DUMMYFUNCTION("""COMPUTED_VALUE"""),"VIVAN durable data cable VDUCC100")</f>
        <v>VIVAN durable data cable VDUCC100</v>
      </c>
      <c r="F966" s="233" t="str">
        <f>IFERROR(__xludf.DUMMYFUNCTION("""COMPUTED_VALUE"""),"VIVAN Data Cable VXM100S Silver")</f>
        <v>VIVAN Data Cable VXM100S Silver</v>
      </c>
    </row>
    <row r="967">
      <c r="A967" s="233" t="str">
        <f>IFERROR(__xludf.DUMMYFUNCTION("""COMPUTED_VALUE"""),"VIVAN DURABLE DATA CABLE VDUCC200")</f>
        <v>VIVAN DURABLE DATA CABLE VDUCC200</v>
      </c>
      <c r="F967" s="233" t="str">
        <f>IFERROR(__xludf.DUMMYFUNCTION("""COMPUTED_VALUE"""),"VIVAN Data Cable VYF120 White")</f>
        <v>VIVAN Data Cable VYF120 White</v>
      </c>
    </row>
    <row r="968">
      <c r="A968" s="233" t="str">
        <f>IFERROR(__xludf.DUMMYFUNCTION("""COMPUTED_VALUE"""),"VIVAN Durable Data Cable,PD3.0,100W,VDU100W,C to C 20V/5A,1m.")</f>
        <v>VIVAN Durable Data Cable,PD3.0,100W,VDU100W,C to C 20V/5A,1m.</v>
      </c>
      <c r="F968" s="233" t="str">
        <f>IFERROR(__xludf.DUMMYFUNCTION("""COMPUTED_VALUE"""),"VIVAN Data Cable VZC100S Green")</f>
        <v>VIVAN Data Cable VZC100S Green</v>
      </c>
    </row>
    <row r="969">
      <c r="A969" s="233" t="str">
        <f>IFERROR(__xludf.DUMMYFUNCTION("""COMPUTED_VALUE"""),"VIVAN ENC TWS Infinity GT2s,Powerful Bass,Superior Comfort")</f>
        <v>VIVAN ENC TWS Infinity GT2s,Powerful Bass,Superior Comfort</v>
      </c>
      <c r="F969" s="233" t="str">
        <f>IFERROR(__xludf.DUMMYFUNCTION("""COMPUTED_VALUE"""),"VIVAN Data Cable VZCC100 Grey (SKU RJA-VIVA-0479)")</f>
        <v>VIVAN Data Cable VZCC100 Grey (SKU RJA-VIVA-0479)</v>
      </c>
    </row>
    <row r="970">
      <c r="A970" s="233" t="str">
        <f>IFERROR(__xludf.DUMMYFUNCTION("""COMPUTED_VALUE"""),"VIVAN ENC TWS Liberty T100E, 42H playtime with Display POWERFUL BASS")</f>
        <v>VIVAN ENC TWS Liberty T100E, 42H playtime with Display POWERFUL BASS</v>
      </c>
      <c r="F970" s="233" t="str">
        <f>IFERROR(__xludf.DUMMYFUNCTION("""COMPUTED_VALUE"""),"VIVAN Data Cable VZCC100 Grey (SKU RJA-VIVA-0480)")</f>
        <v>VIVAN Data Cable VZCC100 Grey (SKU RJA-VIVA-0480)</v>
      </c>
    </row>
    <row r="971">
      <c r="A971" s="233" t="str">
        <f>IFERROR(__xludf.DUMMYFUNCTION("""COMPUTED_VALUE"""),"Vivan Flashdisk VF516 16Gb Usb3.0 High Speed Blue")</f>
        <v>Vivan Flashdisk VF516 16Gb Usb3.0 High Speed Blue</v>
      </c>
      <c r="F971" s="233" t="str">
        <f>IFERROR(__xludf.DUMMYFUNCTION("""COMPUTED_VALUE"""),"VIVAN Data Cable VZCL100 Grey")</f>
        <v>VIVAN Data Cable VZCL100 Grey</v>
      </c>
    </row>
    <row r="972">
      <c r="A972" s="233" t="str">
        <f>IFERROR(__xludf.DUMMYFUNCTION("""COMPUTED_VALUE"""),"VIVAN Front Films VSP01T Basic2 1pcs Crystal Clear")</f>
        <v>VIVAN Front Films VSP01T Basic2 1pcs Crystal Clear</v>
      </c>
      <c r="F972" s="233" t="str">
        <f>IFERROR(__xludf.DUMMYFUNCTION("""COMPUTED_VALUE"""),"VIVAN Data Cable VZL100S Blue")</f>
        <v>VIVAN Data Cable VZL100S Blue</v>
      </c>
    </row>
    <row r="973">
      <c r="A973" s="233" t="str">
        <f>IFERROR(__xludf.DUMMYFUNCTION("""COMPUTED_VALUE"""),"VIVAN Front Films VSP01X Basic-1pcs Crystal Clear 1pcs")</f>
        <v>VIVAN Front Films VSP01X Basic-1pcs Crystal Clear 1pcs</v>
      </c>
      <c r="F973" s="233" t="str">
        <f>IFERROR(__xludf.DUMMYFUNCTION("""COMPUTED_VALUE"""),"VIVAN durable data cable VDUCC100")</f>
        <v>VIVAN durable data cable VDUCC100</v>
      </c>
    </row>
    <row r="974">
      <c r="A974" s="233" t="str">
        <f>IFERROR(__xludf.DUMMYFUNCTION("""COMPUTED_VALUE"""),"VIVAN Front Films VSP03T Pro 1pcs Anti-glare")</f>
        <v>VIVAN Front Films VSP03T Pro 1pcs Anti-glare</v>
      </c>
      <c r="F974" s="233" t="str">
        <f>IFERROR(__xludf.DUMMYFUNCTION("""COMPUTED_VALUE"""),"VIVAN DURABLE DATA CABLE VDUCC200")</f>
        <v>VIVAN DURABLE DATA CABLE VDUCC200</v>
      </c>
    </row>
    <row r="975">
      <c r="A975" s="233" t="str">
        <f>IFERROR(__xludf.DUMMYFUNCTION("""COMPUTED_VALUE"""),"VIVAN GAN CHARGER POWER C65 BLACK 65 W USB -A+2 USB C")</f>
        <v>VIVAN GAN CHARGER POWER C65 BLACK 65 W USB -A+2 USB C</v>
      </c>
      <c r="F975" s="233" t="str">
        <f>IFERROR(__xludf.DUMMYFUNCTION("""COMPUTED_VALUE"""),"VIVAN Durable Data Cable,PD3.0,100W,VDU100W,C to C 20V/5A,1m.")</f>
        <v>VIVAN Durable Data Cable,PD3.0,100W,VDU100W,C to C 20V/5A,1m.</v>
      </c>
    </row>
    <row r="976">
      <c r="A976" s="233" t="str">
        <f>IFERROR(__xludf.DUMMYFUNCTION("""COMPUTED_VALUE"""),"VIVAN KABEL DATA VGCL120 27W")</f>
        <v>VIVAN KABEL DATA VGCL120 27W</v>
      </c>
      <c r="F976" s="233" t="str">
        <f>IFERROR(__xludf.DUMMYFUNCTION("""COMPUTED_VALUE"""),"VIVAN KABEL DATA VGCL120 27W")</f>
        <v>VIVAN KABEL DATA VGCL120 27W</v>
      </c>
    </row>
    <row r="977">
      <c r="A977" s="233" t="str">
        <f>IFERROR(__xludf.DUMMYFUNCTION("""COMPUTED_VALUE"""),"VIVAN KABEL DATA VSM100")</f>
        <v>VIVAN KABEL DATA VSM100</v>
      </c>
      <c r="F977" s="233" t="str">
        <f>IFERROR(__xludf.DUMMYFUNCTION("""COMPUTED_VALUE"""),"VIVAN KABEL DATA VSM100")</f>
        <v>VIVAN KABEL DATA VSM100</v>
      </c>
    </row>
    <row r="978">
      <c r="A978" s="233" t="str">
        <f>IFERROR(__xludf.DUMMYFUNCTION("""COMPUTED_VALUE"""),"VIVAN KABEL DATA VTHAC100 15 W")</f>
        <v>VIVAN KABEL DATA VTHAC100 15 W</v>
      </c>
      <c r="F978" s="233" t="str">
        <f>IFERROR(__xludf.DUMMYFUNCTION("""COMPUTED_VALUE"""),"VIVAN KABEL DATA VTHAC100 15 W")</f>
        <v>VIVAN KABEL DATA VTHAC100 15 W</v>
      </c>
    </row>
    <row r="979">
      <c r="A979" s="233" t="str">
        <f>IFERROR(__xludf.DUMMYFUNCTION("""COMPUTED_VALUE"""),"VIVAN KABEL DATA VTHCC100")</f>
        <v>VIVAN KABEL DATA VTHCC100</v>
      </c>
      <c r="F979" s="233" t="str">
        <f>IFERROR(__xludf.DUMMYFUNCTION("""COMPUTED_VALUE"""),"VIVAN KABEL DATA VTHCC100")</f>
        <v>VIVAN KABEL DATA VTHCC100</v>
      </c>
    </row>
    <row r="980">
      <c r="A980" s="233" t="str">
        <f>IFERROR(__xludf.DUMMYFUNCTION("""COMPUTED_VALUE"""),"VIVAN Microphone VWA-M8C Black")</f>
        <v>VIVAN Microphone VWA-M8C Black</v>
      </c>
      <c r="F980" s="233" t="str">
        <f>IFERROR(__xludf.DUMMYFUNCTION("""COMPUTED_VALUE"""),"VIVAN SC30S Data Cable White")</f>
        <v>VIVAN SC30S Data Cable White</v>
      </c>
    </row>
    <row r="981">
      <c r="A981" s="233" t="str">
        <f>IFERROR(__xludf.DUMMYFUNCTION("""COMPUTED_VALUE"""),"VIVAN Mini Fan VF01 Pink (SKU RJA-VIVA-0127)")</f>
        <v>VIVAN Mini Fan VF01 Pink (SKU RJA-VIVA-0127)</v>
      </c>
      <c r="F981" s="233" t="str">
        <f>IFERROR(__xludf.DUMMYFUNCTION("""COMPUTED_VALUE"""),"VIVAN SL200S 2A 200cm Apple Quick Charge SR")</f>
        <v>VIVAN SL200S 2A 200cm Apple Quick Charge SR</v>
      </c>
    </row>
    <row r="982">
      <c r="A982" s="233" t="str">
        <f>IFERROR(__xludf.DUMMYFUNCTION("""COMPUTED_VALUE"""),"VIVAN Mini Fan VF01 Pink (SKU RJA-VIVA-0545)")</f>
        <v>VIVAN Mini Fan VF01 Pink (SKU RJA-VIVA-0545)</v>
      </c>
      <c r="F982" s="233" t="str">
        <f>IFERROR(__xludf.DUMMYFUNCTION("""COMPUTED_VALUE"""),"VIVAN SM30S Data Cable White")</f>
        <v>VIVAN SM30S Data Cable White</v>
      </c>
    </row>
    <row r="983">
      <c r="A983" s="233" t="str">
        <f>IFERROR(__xludf.DUMMYFUNCTION("""COMPUTED_VALUE"""),"VIVAN Motorcycle Holder VMH03 Strong Stable PC+Alminium alloy Material")</f>
        <v>VIVAN Motorcycle Holder VMH03 Strong Stable PC+Alminium alloy Material</v>
      </c>
      <c r="F983" s="233" t="str">
        <f>IFERROR(__xludf.DUMMYFUNCTION("""COMPUTED_VALUE"""),"VIVAN Spiral protection data cable,3A,60W,stainless steel spiral ,VSPCC100,C TO C,1m, Black")</f>
        <v>VIVAN Spiral protection data cable,3A,60W,stainless steel spiral ,VSPCC100,C TO C,1m, Black</v>
      </c>
    </row>
    <row r="984">
      <c r="A984" s="233" t="str">
        <f>IFERROR(__xludf.DUMMYFUNCTION("""COMPUTED_VALUE"""),"Vivan OTG Flashdisk VOC232 USB3.1 Sliver 32G")</f>
        <v>Vivan OTG Flashdisk VOC232 USB3.1 Sliver 32G</v>
      </c>
      <c r="F984" s="233" t="str">
        <f>IFERROR(__xludf.DUMMYFUNCTION("""COMPUTED_VALUE"""),"VIVAN ultra-thin Aluminum housing data cable (SKU RJA-VIVA-0522)")</f>
        <v>VIVAN ultra-thin Aluminum housing data cable (SKU RJA-VIVA-0522)</v>
      </c>
    </row>
    <row r="985">
      <c r="A985" s="233" t="str">
        <f>IFERROR(__xludf.DUMMYFUNCTION("""COMPUTED_VALUE"""),"VIVAN Power 20 Charger")</f>
        <v>VIVAN Power 20 Charger</v>
      </c>
      <c r="F985" s="233" t="str">
        <f>IFERROR(__xludf.DUMMYFUNCTION("""COMPUTED_VALUE"""),"VIVAN ultra-thin Aluminum housing data cable (SKU RJA-VIVA-0523)")</f>
        <v>VIVAN ultra-thin Aluminum housing data cable (SKU RJA-VIVA-0523)</v>
      </c>
    </row>
    <row r="986">
      <c r="A986" s="233" t="str">
        <f>IFERROR(__xludf.DUMMYFUNCTION("""COMPUTED_VALUE"""),"VIVAN Power 35 Charger")</f>
        <v>VIVAN Power 35 Charger</v>
      </c>
      <c r="F986" s="233" t="str">
        <f>IFERROR(__xludf.DUMMYFUNCTION("""COMPUTED_VALUE"""),"VIVAN VARCC100 No knot,Soft to the touch,Durable Data Cable, C to C, 3A,60W,100cm,black (SKU RJA-VIVA-0524)")</f>
        <v>VIVAN VARCC100 No knot,Soft to the touch,Durable Data Cable, C to C, 3A,60W,100cm,black (SKU RJA-VIVA-0524)</v>
      </c>
    </row>
    <row r="987">
      <c r="A987" s="233" t="str">
        <f>IFERROR(__xludf.DUMMYFUNCTION("""COMPUTED_VALUE"""),"VIVAN Power Bank 20000mAh Power Bank VPB-W20 Blue")</f>
        <v>VIVAN Power Bank 20000mAh Power Bank VPB-W20 Blue</v>
      </c>
      <c r="F987" s="233" t="str">
        <f>IFERROR(__xludf.DUMMYFUNCTION("""COMPUTED_VALUE"""),"VIVAN VARCC100 No knot,Soft to the touch,Durable Data Cable, C to C, 3A,60W,100cm,black (SKU RJA-VIVA-0525)")</f>
        <v>VIVAN VARCC100 No knot,Soft to the touch,Durable Data Cable, C to C, 3A,60W,100cm,black (SKU RJA-VIVA-0525)</v>
      </c>
    </row>
    <row r="988">
      <c r="A988" s="233" t="str">
        <f>IFERROR(__xludf.DUMMYFUNCTION("""COMPUTED_VALUE"""),"VIVAN POWER DISPLAY DATA CABLE A TO C 100W VKD-AC100")</f>
        <v>VIVAN POWER DISPLAY DATA CABLE A TO C 100W VKD-AC100</v>
      </c>
      <c r="F988" s="233" t="str">
        <f>IFERROR(__xludf.DUMMYFUNCTION("""COMPUTED_VALUE"""),"VIVAN VARCL100 ,No knot,Soft to the touch,Durable Data Cable, C to Lightning 3A,27W,100cm White")</f>
        <v>VIVAN VARCL100 ,No knot,Soft to the touch,Durable Data Cable, C to Lightning 3A,27W,100cm White</v>
      </c>
    </row>
    <row r="989">
      <c r="A989" s="233" t="str">
        <f>IFERROR(__xludf.DUMMYFUNCTION("""COMPUTED_VALUE"""),"VIVAN Power ice 30 charger Blue")</f>
        <v>VIVAN Power ice 30 charger Blue</v>
      </c>
      <c r="F989" s="233" t="str">
        <f>IFERROR(__xludf.DUMMYFUNCTION("""COMPUTED_VALUE"""),"Vivan VDC100 Data Cable Black")</f>
        <v>Vivan VDC100 Data Cable Black</v>
      </c>
    </row>
    <row r="990">
      <c r="A990" s="233" t="str">
        <f>IFERROR(__xludf.DUMMYFUNCTION("""COMPUTED_VALUE"""),"VIVAN Power Oval 3.0 II 18W with a Quick Charging Cable")</f>
        <v>VIVAN Power Oval 3.0 II 18W with a Quick Charging Cable</v>
      </c>
      <c r="F990" s="233" t="str">
        <f>IFERROR(__xludf.DUMMYFUNCTION("""COMPUTED_VALUE"""),"Vivan VDM100 Data Cable BLUE")</f>
        <v>Vivan VDM100 Data Cable BLUE</v>
      </c>
    </row>
    <row r="991">
      <c r="A991" s="233" t="str">
        <f>IFERROR(__xludf.DUMMYFUNCTION("""COMPUTED_VALUE"""),"VIVAN Power Turbo 18 Charger White")</f>
        <v>VIVAN Power Turbo 18 Charger White</v>
      </c>
      <c r="F991" s="233" t="str">
        <f>IFERROR(__xludf.DUMMYFUNCTION("""COMPUTED_VALUE"""),"VIVAN VDUAC200 durable data cable ,20000 times bending, A TO C,200cm,3A,15W")</f>
        <v>VIVAN VDUAC200 durable data cable ,20000 times bending, A TO C,200cm,3A,15W</v>
      </c>
    </row>
    <row r="992">
      <c r="A992" s="233" t="str">
        <f>IFERROR(__xludf.DUMMYFUNCTION("""COMPUTED_VALUE"""),"VIVAN Q11s In-ear Metal Bass Ergonomic Design Black")</f>
        <v>VIVAN Q11s In-ear Metal Bass Ergonomic Design Black</v>
      </c>
      <c r="F992" s="233" t="str">
        <f>IFERROR(__xludf.DUMMYFUNCTION("""COMPUTED_VALUE"""),"VIVAN VFC100 6A Type-C 100cm Data Cable Dark Blue")</f>
        <v>VIVAN VFC100 6A Type-C 100cm Data Cable Dark Blue</v>
      </c>
    </row>
    <row r="993">
      <c r="A993" s="233" t="str">
        <f>IFERROR(__xludf.DUMMYFUNCTION("""COMPUTED_VALUE"""),"VIVAN Q12 Semi In-Ear Deep Bass Clear Audio Quality")</f>
        <v>VIVAN Q12 Semi In-Ear Deep Bass Clear Audio Quality</v>
      </c>
      <c r="F993" s="233" t="str">
        <f>IFERROR(__xludf.DUMMYFUNCTION("""COMPUTED_VALUE"""),"VIVAN VFCC120 60W Type-C To Type- C 120cm Data Cable Dark Blue")</f>
        <v>VIVAN VFCC120 60W Type-C To Type- C 120cm Data Cable Dark Blue</v>
      </c>
    </row>
    <row r="994">
      <c r="A994" s="233" t="str">
        <f>IFERROR(__xludf.DUMMYFUNCTION("""COMPUTED_VALUE"""),"VIVAN SC30S Data Cable White")</f>
        <v>VIVAN SC30S Data Cable White</v>
      </c>
      <c r="F994" s="233" t="str">
        <f>IFERROR(__xludf.DUMMYFUNCTION("""COMPUTED_VALUE"""),"VIVAN VORCC100, iPhone15/16 kabel data kerajinan asli, tahan terhadap tekukan 10,000 kali")</f>
        <v>VIVAN VORCC100, iPhone15/16 kabel data kerajinan asli, tahan terhadap tekukan 10,000 kali</v>
      </c>
    </row>
    <row r="995">
      <c r="A995" s="233" t="str">
        <f>IFERROR(__xludf.DUMMYFUNCTION("""COMPUTED_VALUE"""),"VIVAN SL200S 2A 200cm Apple Quick Charge SR")</f>
        <v>VIVAN SL200S 2A 200cm Apple Quick Charge SR</v>
      </c>
      <c r="F995" s="233" t="str">
        <f>IFERROR(__xludf.DUMMYFUNCTION("""COMPUTED_VALUE"""),"Vivan VQC100 Type-C 6.5A Flash Charging 100cm Data Cable White (SKU RJA-VIVA-0533)")</f>
        <v>Vivan VQC100 Type-C 6.5A Flash Charging 100cm Data Cable White (SKU RJA-VIVA-0533)</v>
      </c>
    </row>
    <row r="996">
      <c r="A996" s="233" t="str">
        <f>IFERROR(__xludf.DUMMYFUNCTION("""COMPUTED_VALUE"""),"VIVAN SM30S Data Cable White")</f>
        <v>VIVAN SM30S Data Cable White</v>
      </c>
      <c r="F996" s="233" t="str">
        <f>IFERROR(__xludf.DUMMYFUNCTION("""COMPUTED_VALUE"""),"Vivan VQC100 Type-C 6.5A Flash Charging 100cm Data Cable White (SKU RJA-VIVA-0534)")</f>
        <v>Vivan VQC100 Type-C 6.5A Flash Charging 100cm Data Cable White (SKU RJA-VIVA-0534)</v>
      </c>
    </row>
    <row r="997">
      <c r="A997" s="233" t="str">
        <f>IFERROR(__xludf.DUMMYFUNCTION("""COMPUTED_VALUE"""),"VIVAN Smart Phone Charger Power 20T Blue")</f>
        <v>VIVAN Smart Phone Charger Power 20T Blue</v>
      </c>
      <c r="F997" s="233" t="str">
        <f>IFERROR(__xludf.DUMMYFUNCTION("""COMPUTED_VALUE"""),"Vivan VSC100 3A Type-C Silicone Full SR Coverage Quick Charge Data Cable White")</f>
        <v>Vivan VSC100 3A Type-C Silicone Full SR Coverage Quick Charge Data Cable White</v>
      </c>
    </row>
    <row r="998">
      <c r="A998" s="233" t="str">
        <f>IFERROR(__xludf.DUMMYFUNCTION("""COMPUTED_VALUE"""),"VIVAN Smart Phone Charger Power C18C Black")</f>
        <v>VIVAN Smart Phone Charger Power C18C Black</v>
      </c>
      <c r="F998" s="233" t="str">
        <f>IFERROR(__xludf.DUMMYFUNCTION("""COMPUTED_VALUE"""),"VIVAN VYT120 3 In1 Flash Charging Data Cable Black")</f>
        <v>VIVAN VYT120 3 In1 Flash Charging Data Cable Black</v>
      </c>
    </row>
    <row r="999">
      <c r="A999" s="233" t="str">
        <f>IFERROR(__xludf.DUMMYFUNCTION("""COMPUTED_VALUE"""),"VIVAN Smart Phone Charger Power C20 White")</f>
        <v>VIVAN Smart Phone Charger Power C20 White</v>
      </c>
      <c r="F999" s="233" t="str">
        <f>IFERROR(__xludf.DUMMYFUNCTION("""COMPUTED_VALUE"""),"VIVAN Mini Fan VF01 Pink (SKU RJA-VIVA-0545)")</f>
        <v>VIVAN Mini Fan VF01 Pink (SKU RJA-VIVA-0545)</v>
      </c>
    </row>
    <row r="1000">
      <c r="A1000" s="233" t="str">
        <f>IFERROR(__xludf.DUMMYFUNCTION("""COMPUTED_VALUE"""),"VIVAN Smart Phone Charger Power C20SL Black")</f>
        <v>VIVAN Smart Phone Charger Power C20SL Black</v>
      </c>
      <c r="F1000" s="233" t="str">
        <f>IFERROR(__xludf.DUMMYFUNCTION("""COMPUTED_VALUE"""),"Vivan V64U10 64GB Class 10 Micro SD TF Card Black + Red")</f>
        <v>Vivan V64U10 64GB Class 10 Micro SD TF Card Black + Red</v>
      </c>
    </row>
    <row r="1001">
      <c r="A1001" s="233" t="str">
        <f>IFERROR(__xludf.DUMMYFUNCTION("""COMPUTED_VALUE"""),"VIVAN Smart Phone Charger Power C20SL White")</f>
        <v>VIVAN Smart Phone Charger Power C20SL White</v>
      </c>
      <c r="F1001" s="233" t="str">
        <f>IFERROR(__xludf.DUMMYFUNCTION("""COMPUTED_VALUE"""),"VIVAN VS32 32GB 90MB/S USB3.0 Waterproof High Speed TF Card (SD Card) Black")</f>
        <v>VIVAN VS32 32GB 90MB/S USB3.0 Waterproof High Speed TF Card (SD Card) Black</v>
      </c>
    </row>
    <row r="1002">
      <c r="A1002" s="233" t="str">
        <f>IFERROR(__xludf.DUMMYFUNCTION("""COMPUTED_VALUE"""),"VIVAN Smart Phone Charger Power C30C Black")</f>
        <v>VIVAN Smart Phone Charger Power C30C Black</v>
      </c>
      <c r="F1002" s="233" t="str">
        <f>IFERROR(__xludf.DUMMYFUNCTION("""COMPUTED_VALUE"""),"Vivan OTG Flashdisk VOC232 USB3.1 Sliver 32G")</f>
        <v>Vivan OTG Flashdisk VOC232 USB3.1 Sliver 32G</v>
      </c>
    </row>
    <row r="1003">
      <c r="A1003" s="233" t="str">
        <f>IFERROR(__xludf.DUMMYFUNCTION("""COMPUTED_VALUE"""),"VIVAN Smart Phone Charger Power C30SL Black")</f>
        <v>VIVAN Smart Phone Charger Power C30SL Black</v>
      </c>
      <c r="F1003" s="233" t="str">
        <f>IFERROR(__xludf.DUMMYFUNCTION("""COMPUTED_VALUE"""),"VIVAN Dual-wire Powerbank VPB-E10S 10000mAh 22.5W White")</f>
        <v>VIVAN Dual-wire Powerbank VPB-E10S 10000mAh 22.5W White</v>
      </c>
    </row>
    <row r="1004">
      <c r="A1004" s="233" t="str">
        <f>IFERROR(__xludf.DUMMYFUNCTION("""COMPUTED_VALUE"""),"VIVAN Smart Phone Charger Power C30SL Grey")</f>
        <v>VIVAN Smart Phone Charger Power C30SL Grey</v>
      </c>
      <c r="F1004" s="233" t="str">
        <f>IFERROR(__xludf.DUMMYFUNCTION("""COMPUTED_VALUE"""),"VIVAN Power Bank 20000mAh Power Bank VPB-W20 Blue")</f>
        <v>VIVAN Power Bank 20000mAh Power Bank VPB-W20 Blue</v>
      </c>
    </row>
    <row r="1005">
      <c r="A1005" s="233" t="str">
        <f>IFERROR(__xludf.DUMMYFUNCTION("""COMPUTED_VALUE"""),"VIVAN Smart Phone Charger Power C30SL White")</f>
        <v>VIVAN Smart Phone Charger Power C30SL White</v>
      </c>
      <c r="F1005" s="233" t="str">
        <f>IFERROR(__xludf.DUMMYFUNCTION("""COMPUTED_VALUE"""),"VIVAN Front Films VSP01T Basic2 1pcs Crystal Clear")</f>
        <v>VIVAN Front Films VSP01T Basic2 1pcs Crystal Clear</v>
      </c>
    </row>
    <row r="1006">
      <c r="A1006" s="233" t="str">
        <f>IFERROR(__xludf.DUMMYFUNCTION("""COMPUTED_VALUE"""),"VIVAN Smart Phone Charger Power X20 White")</f>
        <v>VIVAN Smart Phone Charger Power X20 White</v>
      </c>
      <c r="F1006" s="233" t="str">
        <f>IFERROR(__xludf.DUMMYFUNCTION("""COMPUTED_VALUE"""),"VIVAN Front Films VSP01X Basic-1pcs Crystal Clear 1pcs")</f>
        <v>VIVAN Front Films VSP01X Basic-1pcs Crystal Clear 1pcs</v>
      </c>
    </row>
    <row r="1007">
      <c r="A1007" s="233" t="str">
        <f>IFERROR(__xludf.DUMMYFUNCTION("""COMPUTED_VALUE"""),"VIVAN Smart Phone Charger Power X20S White")</f>
        <v>VIVAN Smart Phone Charger Power X20S White</v>
      </c>
      <c r="F1007" s="233" t="str">
        <f>IFERROR(__xludf.DUMMYFUNCTION("""COMPUTED_VALUE"""),"VIVAN Front Films VSP03T Pro 1pcs Anti-glare")</f>
        <v>VIVAN Front Films VSP03T Pro 1pcs Anti-glare</v>
      </c>
    </row>
    <row r="1008">
      <c r="A1008" s="233" t="str">
        <f>IFERROR(__xludf.DUMMYFUNCTION("""COMPUTED_VALUE"""),"VIVAN Spiral protection data cable,3A,60W,stainless steel spiral ,VSPCC100,C TO C,1m, Black")</f>
        <v>VIVAN Spiral protection data cable,3A,60W,stainless steel spiral ,VSPCC100,C TO C,1m, Black</v>
      </c>
      <c r="F1008" s="233" t="str">
        <f>IFERROR(__xludf.DUMMYFUNCTION("""COMPUTED_VALUE"""),"VIVAN VSP04T Basic Privacy&amp;Anti-glare Front Film For Phone")</f>
        <v>VIVAN VSP04T Basic Privacy&amp;Anti-glare Front Film For Phone</v>
      </c>
    </row>
    <row r="1009">
      <c r="A1009" s="233" t="str">
        <f>IFERROR(__xludf.DUMMYFUNCTION("""COMPUTED_VALUE"""),"VIVAN SPORT S OWS BLUETOOTH SPORT EARBUDS ULTRA COMFORT")</f>
        <v>VIVAN SPORT S OWS BLUETOOTH SPORT EARBUDS ULTRA COMFORT</v>
      </c>
      <c r="F1009" s="233" t="str">
        <f>IFERROR(__xludf.DUMMYFUNCTION("""COMPUTED_VALUE"""),"VIVAN VSP03X BASIC2 Anti-glare Front Film For Phone")</f>
        <v>VIVAN VSP03X BASIC2 Anti-glare Front Film For Phone</v>
      </c>
    </row>
    <row r="1010">
      <c r="A1010" s="233" t="str">
        <f>IFERROR(__xludf.DUMMYFUNCTION("""COMPUTED_VALUE"""),"VIVAN True Wireless Stereo Airbuds Infinity GT7 Black")</f>
        <v>VIVAN True Wireless Stereo Airbuds Infinity GT7 Black</v>
      </c>
      <c r="F1010" s="233" t="str">
        <f>IFERROR(__xludf.DUMMYFUNCTION("""COMPUTED_VALUE"""),"VIVAN VSP01T Basic Crystal Clear Front Film For Phone")</f>
        <v>VIVAN VSP01T Basic Crystal Clear Front Film For Phone</v>
      </c>
    </row>
    <row r="1011">
      <c r="A1011" s="233" t="str">
        <f>IFERROR(__xludf.DUMMYFUNCTION("""COMPUTED_VALUE"""),"VIVAN True Wireless Stereo Airbuds Space Mini Black")</f>
        <v>VIVAN True Wireless Stereo Airbuds Space Mini Black</v>
      </c>
      <c r="F1011" s="233" t="str">
        <f>IFERROR(__xludf.DUMMYFUNCTION("""COMPUTED_VALUE"""),"VIVAN VSP03T Pro Anti-glare Front Film For Phone")</f>
        <v>VIVAN VSP03T Pro Anti-glare Front Film For Phone</v>
      </c>
    </row>
    <row r="1012">
      <c r="A1012" s="233" t="str">
        <f>IFERROR(__xludf.DUMMYFUNCTION("""COMPUTED_VALUE"""),"VIVAN True Wireless Stereo Airbuds Space Mini Blue")</f>
        <v>VIVAN True Wireless Stereo Airbuds Space Mini Blue</v>
      </c>
      <c r="F1012" s="233" t="str">
        <f>IFERROR(__xludf.DUMMYFUNCTION("""COMPUTED_VALUE"""),"VIVAN Charger Power C20C White")</f>
        <v>VIVAN Charger Power C20C White</v>
      </c>
    </row>
    <row r="1013">
      <c r="A1013" s="233" t="str">
        <f>IFERROR(__xludf.DUMMYFUNCTION("""COMPUTED_VALUE"""),"VIVAN True Wireless Stereo Airbuds Space Mini White")</f>
        <v>VIVAN True Wireless Stereo Airbuds Space Mini White</v>
      </c>
      <c r="F1013" s="233" t="str">
        <f>IFERROR(__xludf.DUMMYFUNCTION("""COMPUTED_VALUE"""),"VIVAN Charger Power 30 White")</f>
        <v>VIVAN Charger Power 30 White</v>
      </c>
    </row>
    <row r="1014">
      <c r="A1014" s="233" t="str">
        <f>IFERROR(__xludf.DUMMYFUNCTION("""COMPUTED_VALUE"""),"VIVAN TWS Infinity GT2 Midnight Blue")</f>
        <v>VIVAN TWS Infinity GT2 Midnight Blue</v>
      </c>
      <c r="F1014" s="233" t="str">
        <f>IFERROR(__xludf.DUMMYFUNCTION("""COMPUTED_VALUE"""),"VIVAN Charger Power C20C Black (SKU RJA-VIVA-0723)")</f>
        <v>VIVAN Charger Power C20C Black (SKU RJA-VIVA-0723)</v>
      </c>
    </row>
    <row r="1015">
      <c r="A1015" s="233" t="str">
        <f>IFERROR(__xludf.DUMMYFUNCTION("""COMPUTED_VALUE"""),"VIVAN TWS Infinity GT6 Black")</f>
        <v>VIVAN TWS Infinity GT6 Black</v>
      </c>
      <c r="F1015" s="233" t="str">
        <f>IFERROR(__xludf.DUMMYFUNCTION("""COMPUTED_VALUE"""),"VIVAN Charger Power C20C Black (SKU RJA-VIVA-0724)")</f>
        <v>VIVAN Charger Power C20C Black (SKU RJA-VIVA-0724)</v>
      </c>
    </row>
    <row r="1016">
      <c r="A1016" s="233" t="str">
        <f>IFERROR(__xludf.DUMMYFUNCTION("""COMPUTED_VALUE"""),"VIVAN TWS Infinity GT6 Green")</f>
        <v>VIVAN TWS Infinity GT6 Green</v>
      </c>
      <c r="F1016" s="233" t="str">
        <f>IFERROR(__xludf.DUMMYFUNCTION("""COMPUTED_VALUE"""),"VIVAN Charger Power C20L Black")</f>
        <v>VIVAN Charger Power C20L Black</v>
      </c>
    </row>
    <row r="1017">
      <c r="A1017" s="233" t="str">
        <f>IFERROR(__xludf.DUMMYFUNCTION("""COMPUTED_VALUE"""),"VIVAN TWS Infinity GT6 White")</f>
        <v>VIVAN TWS Infinity GT6 White</v>
      </c>
      <c r="F1017" s="233" t="str">
        <f>IFERROR(__xludf.DUMMYFUNCTION("""COMPUTED_VALUE"""),"VIVAN Charger Power ice 20 Blue")</f>
        <v>VIVAN Charger Power ice 20 Blue</v>
      </c>
    </row>
    <row r="1018">
      <c r="A1018" s="233" t="str">
        <f>IFERROR(__xludf.DUMMYFUNCTION("""COMPUTED_VALUE"""),"VIVAN TWS Liberty T330 Dual ENC TWS Black")</f>
        <v>VIVAN TWS Liberty T330 Dual ENC TWS Black</v>
      </c>
      <c r="F1018" s="233" t="str">
        <f>IFERROR(__xludf.DUMMYFUNCTION("""COMPUTED_VALUE"""),"VIVAN Charger Power Nano 20 Green")</f>
        <v>VIVAN Charger Power Nano 20 Green</v>
      </c>
    </row>
    <row r="1019">
      <c r="A1019" s="233" t="str">
        <f>IFERROR(__xludf.DUMMYFUNCTION("""COMPUTED_VALUE"""),"VIVAN TWS Liberty T330 Dual ENC TWS Creamy-white")</f>
        <v>VIVAN TWS Liberty T330 Dual ENC TWS Creamy-white</v>
      </c>
      <c r="F1019" s="233" t="str">
        <f>IFERROR(__xludf.DUMMYFUNCTION("""COMPUTED_VALUE"""),"VIVAN Charger Power Nano 20 Purple")</f>
        <v>VIVAN Charger Power Nano 20 Purple</v>
      </c>
    </row>
    <row r="1020">
      <c r="A1020" s="233" t="str">
        <f>IFERROR(__xludf.DUMMYFUNCTION("""COMPUTED_VALUE"""),"VIVAN TWS Life 100 Black")</f>
        <v>VIVAN TWS Life 100 Black</v>
      </c>
      <c r="F1020" s="233" t="str">
        <f>IFERROR(__xludf.DUMMYFUNCTION("""COMPUTED_VALUE"""),"VIVAN Charger Power oval 2S Black")</f>
        <v>VIVAN Charger Power oval 2S Black</v>
      </c>
    </row>
    <row r="1021">
      <c r="A1021" s="233" t="str">
        <f>IFERROR(__xludf.DUMMYFUNCTION("""COMPUTED_VALUE"""),"VIVAN TWS Life 110 Midnight Blue")</f>
        <v>VIVAN TWS Life 110 Midnight Blue</v>
      </c>
      <c r="F1021" s="233" t="str">
        <f>IFERROR(__xludf.DUMMYFUNCTION("""COMPUTED_VALUE"""),"VIVAN Charger Power Oval 3C Black")</f>
        <v>VIVAN Charger Power Oval 3C Black</v>
      </c>
    </row>
    <row r="1022">
      <c r="A1022" s="233" t="str">
        <f>IFERROR(__xludf.DUMMYFUNCTION("""COMPUTED_VALUE"""),"VIVAN TWS Life 110 White")</f>
        <v>VIVAN TWS Life 110 White</v>
      </c>
      <c r="F1022" s="233" t="str">
        <f>IFERROR(__xludf.DUMMYFUNCTION("""COMPUTED_VALUE"""),"VIVAN Charger Power Oval 3L Black")</f>
        <v>VIVAN Charger Power Oval 3L Black</v>
      </c>
    </row>
    <row r="1023">
      <c r="A1023" s="233" t="str">
        <f>IFERROR(__xludf.DUMMYFUNCTION("""COMPUTED_VALUE"""),"VIVAN TWS Life P1 Black")</f>
        <v>VIVAN TWS Life P1 Black</v>
      </c>
      <c r="F1023" s="233" t="str">
        <f>IFERROR(__xludf.DUMMYFUNCTION("""COMPUTED_VALUE"""),"VIVAN Charger Power Super 3 Black")</f>
        <v>VIVAN Charger Power Super 3 Black</v>
      </c>
    </row>
    <row r="1024">
      <c r="A1024" s="233" t="str">
        <f>IFERROR(__xludf.DUMMYFUNCTION("""COMPUTED_VALUE"""),"VIVAN TWS Life P1 White")</f>
        <v>VIVAN TWS Life P1 White</v>
      </c>
      <c r="F1024" s="233" t="str">
        <f>IFERROR(__xludf.DUMMYFUNCTION("""COMPUTED_VALUE"""),"VIVAN GAN CHARGER POWER C65 BLACK 65 W USB -A+2 USB C")</f>
        <v>VIVAN GAN CHARGER POWER C65 BLACK 65 W USB -A+2 USB C</v>
      </c>
    </row>
    <row r="1025">
      <c r="A1025" s="233" t="str">
        <f>IFERROR(__xludf.DUMMYFUNCTION("""COMPUTED_VALUE"""),"VIVAN TWS Space T2 Black")</f>
        <v>VIVAN TWS Space T2 Black</v>
      </c>
      <c r="F1025" s="233" t="str">
        <f>IFERROR(__xludf.DUMMYFUNCTION("""COMPUTED_VALUE"""),"VIVAN Power 20 Charger")</f>
        <v>VIVAN Power 20 Charger</v>
      </c>
    </row>
    <row r="1026">
      <c r="A1026" s="233" t="str">
        <f>IFERROR(__xludf.DUMMYFUNCTION("""COMPUTED_VALUE"""),"VIVAN TWS Space T2 White")</f>
        <v>VIVAN TWS Space T2 White</v>
      </c>
      <c r="F1026" s="233" t="str">
        <f>IFERROR(__xludf.DUMMYFUNCTION("""COMPUTED_VALUE"""),"VIVAN Power 35 Charger")</f>
        <v>VIVAN Power 35 Charger</v>
      </c>
    </row>
    <row r="1027">
      <c r="A1027" s="233" t="str">
        <f>IFERROR(__xludf.DUMMYFUNCTION("""COMPUTED_VALUE"""),"VIVAN ultra-thin Aluminum housing data cable (SKU RJA-VIVA-0522)")</f>
        <v>VIVAN ultra-thin Aluminum housing data cable (SKU RJA-VIVA-0522)</v>
      </c>
      <c r="F1027" s="233" t="str">
        <f>IFERROR(__xludf.DUMMYFUNCTION("""COMPUTED_VALUE"""),"VIVAN Power ice 30 charger Blue")</f>
        <v>VIVAN Power ice 30 charger Blue</v>
      </c>
    </row>
    <row r="1028">
      <c r="A1028" s="233" t="str">
        <f>IFERROR(__xludf.DUMMYFUNCTION("""COMPUTED_VALUE"""),"VIVAN ultra-thin Aluminum housing data cable (SKU RJA-VIVA-0523)")</f>
        <v>VIVAN ultra-thin Aluminum housing data cable (SKU RJA-VIVA-0523)</v>
      </c>
      <c r="F1028" s="233" t="str">
        <f>IFERROR(__xludf.DUMMYFUNCTION("""COMPUTED_VALUE"""),"VIVAN Power Oval 3.0 II 18W with a Quick Charging Cable")</f>
        <v>VIVAN Power Oval 3.0 II 18W with a Quick Charging Cable</v>
      </c>
    </row>
    <row r="1029">
      <c r="A1029" s="233" t="str">
        <f>IFERROR(__xludf.DUMMYFUNCTION("""COMPUTED_VALUE"""),"Vivan V64U10 64GB Class 10 Micro SD TF Card Black + Red")</f>
        <v>Vivan V64U10 64GB Class 10 Micro SD TF Card Black + Red</v>
      </c>
      <c r="F1029" s="233" t="str">
        <f>IFERROR(__xludf.DUMMYFUNCTION("""COMPUTED_VALUE"""),"VIVAN Power Turbo 18 Charger White")</f>
        <v>VIVAN Power Turbo 18 Charger White</v>
      </c>
    </row>
    <row r="1030">
      <c r="A1030" s="233" t="str">
        <f>IFERROR(__xludf.DUMMYFUNCTION("""COMPUTED_VALUE"""),"VIVAN VARCC100 No knot,Soft to the touch,Durable Data Cable, C to C, 3A,60W,100cm,black (SKU RJA-VIVA-0524)")</f>
        <v>VIVAN VARCC100 No knot,Soft to the touch,Durable Data Cable, C to C, 3A,60W,100cm,black (SKU RJA-VIVA-0524)</v>
      </c>
      <c r="F1030" s="233" t="str">
        <f>IFERROR(__xludf.DUMMYFUNCTION("""COMPUTED_VALUE"""),"VIVAN Smart Phone Charger Power 20T Blue")</f>
        <v>VIVAN Smart Phone Charger Power 20T Blue</v>
      </c>
    </row>
    <row r="1031">
      <c r="A1031" s="233" t="str">
        <f>IFERROR(__xludf.DUMMYFUNCTION("""COMPUTED_VALUE"""),"VIVAN VARCC100 No knot,Soft to the touch,Durable Data Cable, C to C, 3A,60W,100cm,black (SKU RJA-VIVA-0525)")</f>
        <v>VIVAN VARCC100 No knot,Soft to the touch,Durable Data Cable, C to C, 3A,60W,100cm,black (SKU RJA-VIVA-0525)</v>
      </c>
      <c r="F1031" s="233" t="str">
        <f>IFERROR(__xludf.DUMMYFUNCTION("""COMPUTED_VALUE"""),"VIVAN Smart Phone Charger Power C18C Black")</f>
        <v>VIVAN Smart Phone Charger Power C18C Black</v>
      </c>
    </row>
    <row r="1032">
      <c r="A1032" s="233" t="str">
        <f>IFERROR(__xludf.DUMMYFUNCTION("""COMPUTED_VALUE"""),"VIVAN VARCL100 ,No knot,Soft to the touch,Durable Data Cable, C to Lightning 3A,27W,100cm White")</f>
        <v>VIVAN VARCL100 ,No knot,Soft to the touch,Durable Data Cable, C to Lightning 3A,27W,100cm White</v>
      </c>
      <c r="F1032" s="233" t="str">
        <f>IFERROR(__xludf.DUMMYFUNCTION("""COMPUTED_VALUE"""),"VIVAN Smart Phone Charger Power C20 White")</f>
        <v>VIVAN Smart Phone Charger Power C20 White</v>
      </c>
    </row>
    <row r="1033">
      <c r="A1033" s="233" t="str">
        <f>IFERROR(__xludf.DUMMYFUNCTION("""COMPUTED_VALUE"""),"VIVAN VBT01 Bluetooth Transmitter 5.0")</f>
        <v>VIVAN VBT01 Bluetooth Transmitter 5.0</v>
      </c>
      <c r="F1033" s="233" t="str">
        <f>IFERROR(__xludf.DUMMYFUNCTION("""COMPUTED_VALUE"""),"VIVAN Smart Phone Charger Power C20SL Black")</f>
        <v>VIVAN Smart Phone Charger Power C20SL Black</v>
      </c>
    </row>
    <row r="1034">
      <c r="A1034" s="233" t="str">
        <f>IFERROR(__xludf.DUMMYFUNCTION("""COMPUTED_VALUE"""),"VIVAN VCC01 2.4A Dual Port Small &amp; Portable Car Charger with 100cm Charging Cable White")</f>
        <v>VIVAN VCC01 2.4A Dual Port Small &amp; Portable Car Charger with 100cm Charging Cable White</v>
      </c>
      <c r="F1034" s="233" t="str">
        <f>IFERROR(__xludf.DUMMYFUNCTION("""COMPUTED_VALUE"""),"VIVAN Smart Phone Charger Power C20SL White")</f>
        <v>VIVAN Smart Phone Charger Power C20SL White</v>
      </c>
    </row>
    <row r="1035">
      <c r="A1035" s="233" t="str">
        <f>IFERROR(__xludf.DUMMYFUNCTION("""COMPUTED_VALUE"""),"Vivan VDC100 Data Cable Black")</f>
        <v>Vivan VDC100 Data Cable Black</v>
      </c>
      <c r="F1035" s="233" t="str">
        <f>IFERROR(__xludf.DUMMYFUNCTION("""COMPUTED_VALUE"""),"VIVAN Smart Phone Charger Power C30C Black")</f>
        <v>VIVAN Smart Phone Charger Power C30C Black</v>
      </c>
    </row>
    <row r="1036">
      <c r="A1036" s="233" t="str">
        <f>IFERROR(__xludf.DUMMYFUNCTION("""COMPUTED_VALUE"""),"Vivan VDM100 Data Cable BLUE")</f>
        <v>Vivan VDM100 Data Cable BLUE</v>
      </c>
      <c r="F1036" s="233" t="str">
        <f>IFERROR(__xludf.DUMMYFUNCTION("""COMPUTED_VALUE"""),"VIVAN Smart Phone Charger Power C30SL Black")</f>
        <v>VIVAN Smart Phone Charger Power C30SL Black</v>
      </c>
    </row>
    <row r="1037">
      <c r="A1037" s="233" t="str">
        <f>IFERROR(__xludf.DUMMYFUNCTION("""COMPUTED_VALUE"""),"VIVAN VDUAC200 durable data cable ,20000 times bending, A TO C,200cm,3A,15W")</f>
        <v>VIVAN VDUAC200 durable data cable ,20000 times bending, A TO C,200cm,3A,15W</v>
      </c>
      <c r="F1037" s="233" t="str">
        <f>IFERROR(__xludf.DUMMYFUNCTION("""COMPUTED_VALUE"""),"VIVAN Smart Phone Charger Power C30SL Grey")</f>
        <v>VIVAN Smart Phone Charger Power C30SL Grey</v>
      </c>
    </row>
    <row r="1038">
      <c r="A1038" s="233" t="str">
        <f>IFERROR(__xludf.DUMMYFUNCTION("""COMPUTED_VALUE"""),"VIVAN VFC100 6A Type-C 100cm Data Cable Dark Blue")</f>
        <v>VIVAN VFC100 6A Type-C 100cm Data Cable Dark Blue</v>
      </c>
      <c r="F1038" s="233" t="str">
        <f>IFERROR(__xludf.DUMMYFUNCTION("""COMPUTED_VALUE"""),"VIVAN Smart Phone Charger Power C30SL White")</f>
        <v>VIVAN Smart Phone Charger Power C30SL White</v>
      </c>
    </row>
    <row r="1039">
      <c r="A1039" s="233" t="str">
        <f>IFERROR(__xludf.DUMMYFUNCTION("""COMPUTED_VALUE"""),"VIVAN VFCC120 60W Type-C To Type- C 120cm Data Cable Dark Blue")</f>
        <v>VIVAN VFCC120 60W Type-C To Type- C 120cm Data Cable Dark Blue</v>
      </c>
      <c r="F1039" s="233" t="str">
        <f>IFERROR(__xludf.DUMMYFUNCTION("""COMPUTED_VALUE"""),"VIVAN Smart Phone Charger Power X20 White")</f>
        <v>VIVAN Smart Phone Charger Power X20 White</v>
      </c>
    </row>
    <row r="1040">
      <c r="A1040" s="233" t="str">
        <f>IFERROR(__xludf.DUMMYFUNCTION("""COMPUTED_VALUE"""),"VIVAN VOM132 32GB Dual Interface Micro &amp; USB-A Metal Body Flashdisk Silver")</f>
        <v>VIVAN VOM132 32GB Dual Interface Micro &amp; USB-A Metal Body Flashdisk Silver</v>
      </c>
      <c r="F1040" s="233" t="str">
        <f>IFERROR(__xludf.DUMMYFUNCTION("""COMPUTED_VALUE"""),"VIVAN Smart Phone Charger Power X20S White")</f>
        <v>VIVAN Smart Phone Charger Power X20S White</v>
      </c>
    </row>
    <row r="1041">
      <c r="A1041" s="233" t="str">
        <f>IFERROR(__xludf.DUMMYFUNCTION("""COMPUTED_VALUE"""),"VIVAN VORCC100, iPhone15/16 kabel data kerajinan asli, tahan terhadap tekukan 10,000 kali")</f>
        <v>VIVAN VORCC100, iPhone15/16 kabel data kerajinan asli, tahan terhadap tekukan 10,000 kali</v>
      </c>
      <c r="F1041" s="233" t="str">
        <f>IFERROR(__xludf.DUMMYFUNCTION("""COMPUTED_VALUE"""),"VIVAN ENC TWS Infinity GT2s,Powerful Bass,Superior Comfort")</f>
        <v>VIVAN ENC TWS Infinity GT2s,Powerful Bass,Superior Comfort</v>
      </c>
    </row>
    <row r="1042">
      <c r="A1042" s="233" t="str">
        <f>IFERROR(__xludf.DUMMYFUNCTION("""COMPUTED_VALUE"""),"Vivan VQC100 Type-C 6.5A Flash Charging 100cm Data Cable White (SKU RJA-VIVA-0533)")</f>
        <v>Vivan VQC100 Type-C 6.5A Flash Charging 100cm Data Cable White (SKU RJA-VIVA-0533)</v>
      </c>
      <c r="F1042" s="233" t="str">
        <f>IFERROR(__xludf.DUMMYFUNCTION("""COMPUTED_VALUE"""),"VIVAN ENC TWS Liberty T100E, 42H playtime with Display POWERFUL BASS")</f>
        <v>VIVAN ENC TWS Liberty T100E, 42H playtime with Display POWERFUL BASS</v>
      </c>
    </row>
    <row r="1043">
      <c r="A1043" s="233" t="str">
        <f>IFERROR(__xludf.DUMMYFUNCTION("""COMPUTED_VALUE"""),"Vivan VQC100 Type-C 6.5A Flash Charging 100cm Data Cable White (SKU RJA-VIVA-0534)")</f>
        <v>Vivan VQC100 Type-C 6.5A Flash Charging 100cm Data Cable White (SKU RJA-VIVA-0534)</v>
      </c>
      <c r="F1043" s="233" t="str">
        <f>IFERROR(__xludf.DUMMYFUNCTION("""COMPUTED_VALUE"""),"VIVAN SPORT S OWS BLUETOOTH SPORT EARBUDS ULTRA COMFORT")</f>
        <v>VIVAN SPORT S OWS BLUETOOTH SPORT EARBUDS ULTRA COMFORT</v>
      </c>
    </row>
    <row r="1044">
      <c r="A1044" s="233" t="str">
        <f>IFERROR(__xludf.DUMMYFUNCTION("""COMPUTED_VALUE"""),"VIVAN VS32 32GB 90MB/S USB3.0 Waterproof High Speed TF Card (SD Card) Black")</f>
        <v>VIVAN VS32 32GB 90MB/S USB3.0 Waterproof High Speed TF Card (SD Card) Black</v>
      </c>
      <c r="F1044" s="233" t="str">
        <f>IFERROR(__xludf.DUMMYFUNCTION("""COMPUTED_VALUE"""),"VIVAN True Wireless Stereo Airbuds Infinity GT7 Black")</f>
        <v>VIVAN True Wireless Stereo Airbuds Infinity GT7 Black</v>
      </c>
    </row>
    <row r="1045">
      <c r="A1045" s="233" t="str">
        <f>IFERROR(__xludf.DUMMYFUNCTION("""COMPUTED_VALUE"""),"Vivan VSC100 3A Type-C Silicone Full SR Coverage Quick Charge Data Cable White")</f>
        <v>Vivan VSC100 3A Type-C Silicone Full SR Coverage Quick Charge Data Cable White</v>
      </c>
      <c r="F1045" s="233" t="str">
        <f>IFERROR(__xludf.DUMMYFUNCTION("""COMPUTED_VALUE"""),"VIVAN True Wireless Stereo Airbuds Space Mini Black")</f>
        <v>VIVAN True Wireless Stereo Airbuds Space Mini Black</v>
      </c>
    </row>
    <row r="1046">
      <c r="A1046" s="233" t="str">
        <f>IFERROR(__xludf.DUMMYFUNCTION("""COMPUTED_VALUE"""),"VIVAN VSP01T Basic Crystal Clear Front Film For Phone")</f>
        <v>VIVAN VSP01T Basic Crystal Clear Front Film For Phone</v>
      </c>
      <c r="F1046" s="233" t="str">
        <f>IFERROR(__xludf.DUMMYFUNCTION("""COMPUTED_VALUE"""),"VIVAN True Wireless Stereo Airbuds Space Mini Blue")</f>
        <v>VIVAN True Wireless Stereo Airbuds Space Mini Blue</v>
      </c>
    </row>
    <row r="1047">
      <c r="A1047" s="233" t="str">
        <f>IFERROR(__xludf.DUMMYFUNCTION("""COMPUTED_VALUE"""),"VIVAN VSP03T Pro Anti-glare Front Film For Phone")</f>
        <v>VIVAN VSP03T Pro Anti-glare Front Film For Phone</v>
      </c>
      <c r="F1047" s="233" t="str">
        <f>IFERROR(__xludf.DUMMYFUNCTION("""COMPUTED_VALUE"""),"VIVAN True Wireless Stereo Airbuds Space Mini White")</f>
        <v>VIVAN True Wireless Stereo Airbuds Space Mini White</v>
      </c>
    </row>
    <row r="1048">
      <c r="A1048" s="233" t="str">
        <f>IFERROR(__xludf.DUMMYFUNCTION("""COMPUTED_VALUE"""),"VIVAN VSP03X BASIC2 Anti-glare Front Film For Phone")</f>
        <v>VIVAN VSP03X BASIC2 Anti-glare Front Film For Phone</v>
      </c>
      <c r="F1048" s="233" t="str">
        <f>IFERROR(__xludf.DUMMYFUNCTION("""COMPUTED_VALUE"""),"VIVAN TWS Infinity GT2 Midnight Blue")</f>
        <v>VIVAN TWS Infinity GT2 Midnight Blue</v>
      </c>
    </row>
    <row r="1049">
      <c r="A1049" s="233" t="str">
        <f>IFERROR(__xludf.DUMMYFUNCTION("""COMPUTED_VALUE"""),"VIVAN VSP04T Basic Privacy&amp;Anti-glare Front Film For Phone")</f>
        <v>VIVAN VSP04T Basic Privacy&amp;Anti-glare Front Film For Phone</v>
      </c>
      <c r="F1049" s="233" t="str">
        <f>IFERROR(__xludf.DUMMYFUNCTION("""COMPUTED_VALUE"""),"VIVAN TWS Infinity GT6 Black")</f>
        <v>VIVAN TWS Infinity GT6 Black</v>
      </c>
    </row>
    <row r="1050">
      <c r="A1050" s="233" t="str">
        <f>IFERROR(__xludf.DUMMYFUNCTION("""COMPUTED_VALUE"""),"vivan VSPT04T PRO")</f>
        <v>vivan VSPT04T PRO</v>
      </c>
      <c r="F1050" s="233" t="str">
        <f>IFERROR(__xludf.DUMMYFUNCTION("""COMPUTED_VALUE"""),"VIVAN TWS Infinity GT6 Green")</f>
        <v>VIVAN TWS Infinity GT6 Green</v>
      </c>
    </row>
    <row r="1051">
      <c r="A1051" s="233" t="str">
        <f>IFERROR(__xludf.DUMMYFUNCTION("""COMPUTED_VALUE"""),"VIVAN VYT120 3 In1 Flash Charging Data Cable Black")</f>
        <v>VIVAN VYT120 3 In1 Flash Charging Data Cable Black</v>
      </c>
      <c r="F1051" s="233" t="str">
        <f>IFERROR(__xludf.DUMMYFUNCTION("""COMPUTED_VALUE"""),"VIVAN TWS Infinity GT6 White")</f>
        <v>VIVAN TWS Infinity GT6 White</v>
      </c>
    </row>
    <row r="1052">
      <c r="A1052" s="233" t="str">
        <f>IFERROR(__xludf.DUMMYFUNCTION("""COMPUTED_VALUE"""),"VIVAN Wired Earphone Q15S")</f>
        <v>VIVAN Wired Earphone Q15S</v>
      </c>
      <c r="F1052" s="233" t="str">
        <f>IFERROR(__xludf.DUMMYFUNCTION("""COMPUTED_VALUE"""),"VIVAN TWS Liberty T330 Dual ENC TWS Black")</f>
        <v>VIVAN TWS Liberty T330 Dual ENC TWS Black</v>
      </c>
    </row>
    <row r="1053">
      <c r="A1053" s="233" t="str">
        <f>IFERROR(__xludf.DUMMYFUNCTION("""COMPUTED_VALUE"""),"VIVAN Wired Earphone Q17 Black")</f>
        <v>VIVAN Wired Earphone Q17 Black</v>
      </c>
      <c r="F1053" s="233" t="str">
        <f>IFERROR(__xludf.DUMMYFUNCTION("""COMPUTED_VALUE"""),"VIVAN TWS Liberty T330 Dual ENC TWS Creamy-white")</f>
        <v>VIVAN TWS Liberty T330 Dual ENC TWS Creamy-white</v>
      </c>
    </row>
    <row r="1054">
      <c r="A1054" s="233" t="str">
        <f>IFERROR(__xludf.DUMMYFUNCTION("""COMPUTED_VALUE"""),"VIVAN Wired Earphone Q18 Black")</f>
        <v>VIVAN Wired Earphone Q18 Black</v>
      </c>
      <c r="F1054" s="233" t="str">
        <f>IFERROR(__xludf.DUMMYFUNCTION("""COMPUTED_VALUE"""),"VIVAN TWS Life 100 Black")</f>
        <v>VIVAN TWS Life 100 Black</v>
      </c>
    </row>
    <row r="1055">
      <c r="A1055" s="233" t="str">
        <f>IFERROR(__xludf.DUMMYFUNCTION("""COMPUTED_VALUE"""),"VIVAN Wired Earphone Q19 Black")</f>
        <v>VIVAN Wired Earphone Q19 Black</v>
      </c>
      <c r="F1055" s="233" t="str">
        <f>IFERROR(__xludf.DUMMYFUNCTION("""COMPUTED_VALUE"""),"VIVAN TWS Life 110 Midnight Blue")</f>
        <v>VIVAN TWS Life 110 Midnight Blue</v>
      </c>
    </row>
    <row r="1056">
      <c r="A1056" s="233" t="str">
        <f>IFERROR(__xludf.DUMMYFUNCTION("""COMPUTED_VALUE"""),"VIVAN Wired Earphone Q19 WHITE")</f>
        <v>VIVAN Wired Earphone Q19 WHITE</v>
      </c>
      <c r="F1056" s="233" t="str">
        <f>IFERROR(__xludf.DUMMYFUNCTION("""COMPUTED_VALUE"""),"VIVAN TWS Life 110 White")</f>
        <v>VIVAN TWS Life 110 White</v>
      </c>
    </row>
    <row r="1057">
      <c r="A1057" s="233" t="str">
        <f>IFERROR(__xludf.DUMMYFUNCTION("""COMPUTED_VALUE"""),"VIVAN Wired Headset Q15 Black")</f>
        <v>VIVAN Wired Headset Q15 Black</v>
      </c>
      <c r="F1057" s="233" t="str">
        <f>IFERROR(__xludf.DUMMYFUNCTION("""COMPUTED_VALUE"""),"VIVAN TWS Life P1 Black")</f>
        <v>VIVAN TWS Life P1 Black</v>
      </c>
    </row>
    <row r="1058">
      <c r="A1058" s="233" t="str">
        <f>IFERROR(__xludf.DUMMYFUNCTION("""COMPUTED_VALUE"""),"VIVAN Wired Headset Q15S Black")</f>
        <v>VIVAN Wired Headset Q15S Black</v>
      </c>
      <c r="F1058" s="233" t="str">
        <f>IFERROR(__xludf.DUMMYFUNCTION("""COMPUTED_VALUE"""),"VIVAN TWS Life P1 White")</f>
        <v>VIVAN TWS Life P1 White</v>
      </c>
    </row>
    <row r="1059">
      <c r="A1059" s="233" t="str">
        <f>IFERROR(__xludf.DUMMYFUNCTION("""COMPUTED_VALUE"""),"VIVAN Wired Headset Q15SC HI-FI Audio With Pure Bass Black Type-C Wired Earphone")</f>
        <v>VIVAN Wired Headset Q15SC HI-FI Audio With Pure Bass Black Type-C Wired Earphone</v>
      </c>
      <c r="F1059" s="233" t="str">
        <f>IFERROR(__xludf.DUMMYFUNCTION("""COMPUTED_VALUE"""),"VIVAN TWS Space T2 Black")</f>
        <v>VIVAN TWS Space T2 Black</v>
      </c>
    </row>
    <row r="1060">
      <c r="A1060" s="233" t="str">
        <f>IFERROR(__xludf.DUMMYFUNCTION("""COMPUTED_VALUE"""),"VIVAN Wired Headset Q16")</f>
        <v>VIVAN Wired Headset Q16</v>
      </c>
      <c r="F1060" s="233" t="str">
        <f>IFERROR(__xludf.DUMMYFUNCTION("""COMPUTED_VALUE"""),"VIVAN TWS Space T2 White")</f>
        <v>VIVAN TWS Space T2 White</v>
      </c>
    </row>
    <row r="1061">
      <c r="A1061" s="233" t="str">
        <f>IFERROR(__xludf.DUMMYFUNCTION("""COMPUTED_VALUE"""),"VIVAN Wireless Earphone Liberty T220 White")</f>
        <v>VIVAN Wireless Earphone Liberty T220 White</v>
      </c>
      <c r="F1061" s="233" t="str">
        <f>IFERROR(__xludf.DUMMYFUNCTION("""COMPUTED_VALUE"""),"VIVAN Wireless Earphone Liberty T220 White")</f>
        <v>VIVAN Wireless Earphone Liberty T220 White</v>
      </c>
    </row>
    <row r="1062">
      <c r="A1062" s="233" t="str">
        <f>IFERROR(__xludf.DUMMYFUNCTION("""COMPUTED_VALUE"""),"VIVAN Wireless Headset Liberty H100s Black")</f>
        <v>VIVAN Wireless Headset Liberty H100s Black</v>
      </c>
      <c r="F1062" s="233" t="str">
        <f>IFERROR(__xludf.DUMMYFUNCTION("""COMPUTED_VALUE"""),"VIVAN POWER DISPLAY DATA CABLE A TO C 100W VKD-AC100")</f>
        <v>VIVAN POWER DISPLAY DATA CABLE A TO C 100W VKD-AC100</v>
      </c>
    </row>
  </sheetData>
  <drawing r:id="rId1"/>
</worksheet>
</file>